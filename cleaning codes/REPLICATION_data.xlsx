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a126da276c0787/Documents/UND/SPRING 2026/ECON 997/Elias's codes/"/>
    </mc:Choice>
  </mc:AlternateContent>
  <xr:revisionPtr revIDLastSave="334" documentId="8_{D108165B-1A9B-4828-9552-07D88D6E379C}" xr6:coauthVersionLast="47" xr6:coauthVersionMax="47" xr10:uidLastSave="{4A968177-3D2B-46DC-AA64-0E97A0F81992}"/>
  <bookViews>
    <workbookView xWindow="2688" yWindow="288" windowWidth="19512" windowHeight="13284" xr2:uid="{8FFD53E9-6876-4030-92C3-24574255E527}"/>
  </bookViews>
  <sheets>
    <sheet name="DATA" sheetId="3" r:id="rId1"/>
    <sheet name="Prices" sheetId="7" r:id="rId2"/>
    <sheet name="rates" sheetId="8" r:id="rId3"/>
    <sheet name="BLANK" sheetId="9" r:id="rId4"/>
    <sheet name="Short-term interest Rates daily" sheetId="6" state="hidden" r:id="rId5"/>
    <sheet name="STOCK DATA" sheetId="1" state="hidden" r:id="rId6"/>
    <sheet name="Policy_interest rates" sheetId="2" state="hidden" r:id="rId7"/>
    <sheet name="Tracking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2" i="3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G131" i="3"/>
  <c r="H131" i="3"/>
  <c r="G132" i="3"/>
  <c r="H132" i="3"/>
  <c r="G133" i="3"/>
  <c r="H133" i="3"/>
  <c r="G134" i="3"/>
  <c r="H134" i="3"/>
  <c r="G135" i="3"/>
  <c r="H135" i="3"/>
  <c r="G136" i="3"/>
  <c r="H136" i="3"/>
  <c r="G137" i="3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G175" i="3"/>
  <c r="H175" i="3"/>
  <c r="G176" i="3"/>
  <c r="H176" i="3"/>
  <c r="G177" i="3"/>
  <c r="H177" i="3"/>
  <c r="G178" i="3"/>
  <c r="H178" i="3"/>
  <c r="G179" i="3"/>
  <c r="H179" i="3"/>
  <c r="G180" i="3"/>
  <c r="H180" i="3"/>
  <c r="G181" i="3"/>
  <c r="H181" i="3"/>
  <c r="G182" i="3"/>
  <c r="H182" i="3"/>
  <c r="G183" i="3"/>
  <c r="H183" i="3"/>
  <c r="G184" i="3"/>
  <c r="H184" i="3"/>
  <c r="G185" i="3"/>
  <c r="H185" i="3"/>
  <c r="G186" i="3"/>
  <c r="H186" i="3"/>
  <c r="G187" i="3"/>
  <c r="H187" i="3"/>
  <c r="G188" i="3"/>
  <c r="H188" i="3"/>
  <c r="G189" i="3"/>
  <c r="H189" i="3"/>
  <c r="G190" i="3"/>
  <c r="H190" i="3"/>
  <c r="G191" i="3"/>
  <c r="H191" i="3"/>
  <c r="G192" i="3"/>
  <c r="H192" i="3"/>
  <c r="G193" i="3"/>
  <c r="H193" i="3"/>
  <c r="G194" i="3"/>
  <c r="H194" i="3"/>
  <c r="G195" i="3"/>
  <c r="H195" i="3"/>
  <c r="G196" i="3"/>
  <c r="H196" i="3"/>
  <c r="G197" i="3"/>
  <c r="H197" i="3"/>
  <c r="G198" i="3"/>
  <c r="H198" i="3"/>
  <c r="G199" i="3"/>
  <c r="H199" i="3"/>
  <c r="G200" i="3"/>
  <c r="H200" i="3"/>
  <c r="G201" i="3"/>
  <c r="H201" i="3"/>
  <c r="G202" i="3"/>
  <c r="H202" i="3"/>
  <c r="G203" i="3"/>
  <c r="H203" i="3"/>
  <c r="G204" i="3"/>
  <c r="H204" i="3"/>
  <c r="G205" i="3"/>
  <c r="H205" i="3"/>
  <c r="G206" i="3"/>
  <c r="H206" i="3"/>
  <c r="G207" i="3"/>
  <c r="H207" i="3"/>
  <c r="G208" i="3"/>
  <c r="H208" i="3"/>
  <c r="G209" i="3"/>
  <c r="H209" i="3"/>
  <c r="G210" i="3"/>
  <c r="H210" i="3"/>
  <c r="G211" i="3"/>
  <c r="H211" i="3"/>
  <c r="G212" i="3"/>
  <c r="H212" i="3"/>
  <c r="G213" i="3"/>
  <c r="H213" i="3"/>
  <c r="G214" i="3"/>
  <c r="H214" i="3"/>
  <c r="G215" i="3"/>
  <c r="H215" i="3"/>
  <c r="G216" i="3"/>
  <c r="H216" i="3"/>
  <c r="G217" i="3"/>
  <c r="H217" i="3"/>
  <c r="G218" i="3"/>
  <c r="H218" i="3"/>
  <c r="G219" i="3"/>
  <c r="H219" i="3"/>
  <c r="G220" i="3"/>
  <c r="H220" i="3"/>
  <c r="G221" i="3"/>
  <c r="H221" i="3"/>
  <c r="G222" i="3"/>
  <c r="H222" i="3"/>
  <c r="G223" i="3"/>
  <c r="H223" i="3"/>
  <c r="G224" i="3"/>
  <c r="H224" i="3"/>
  <c r="G225" i="3"/>
  <c r="H225" i="3"/>
  <c r="G226" i="3"/>
  <c r="H226" i="3"/>
  <c r="G227" i="3"/>
  <c r="H227" i="3"/>
  <c r="G228" i="3"/>
  <c r="H228" i="3"/>
  <c r="G229" i="3"/>
  <c r="H229" i="3"/>
  <c r="G230" i="3"/>
  <c r="H230" i="3"/>
  <c r="G231" i="3"/>
  <c r="H231" i="3"/>
  <c r="G232" i="3"/>
  <c r="H232" i="3"/>
  <c r="G233" i="3"/>
  <c r="H233" i="3"/>
  <c r="G234" i="3"/>
  <c r="H234" i="3"/>
  <c r="G235" i="3"/>
  <c r="H235" i="3"/>
  <c r="G236" i="3"/>
  <c r="H236" i="3"/>
  <c r="G237" i="3"/>
  <c r="H237" i="3"/>
  <c r="G238" i="3"/>
  <c r="H238" i="3"/>
  <c r="G239" i="3"/>
  <c r="H239" i="3"/>
  <c r="G240" i="3"/>
  <c r="H240" i="3"/>
  <c r="G241" i="3"/>
  <c r="H241" i="3"/>
  <c r="G242" i="3"/>
  <c r="H242" i="3"/>
  <c r="G243" i="3"/>
  <c r="H243" i="3"/>
  <c r="G244" i="3"/>
  <c r="H244" i="3"/>
  <c r="G245" i="3"/>
  <c r="H245" i="3"/>
  <c r="G246" i="3"/>
  <c r="H246" i="3"/>
  <c r="G247" i="3"/>
  <c r="H247" i="3"/>
  <c r="G248" i="3"/>
  <c r="H248" i="3"/>
  <c r="G249" i="3"/>
  <c r="H249" i="3"/>
  <c r="G250" i="3"/>
  <c r="H250" i="3"/>
  <c r="G251" i="3"/>
  <c r="H251" i="3"/>
  <c r="G252" i="3"/>
  <c r="H252" i="3"/>
  <c r="G253" i="3"/>
  <c r="H253" i="3"/>
  <c r="G254" i="3"/>
  <c r="H254" i="3"/>
  <c r="G255" i="3"/>
  <c r="H255" i="3"/>
  <c r="G256" i="3"/>
  <c r="H256" i="3"/>
  <c r="G257" i="3"/>
  <c r="H257" i="3"/>
  <c r="G258" i="3"/>
  <c r="H258" i="3"/>
  <c r="G259" i="3"/>
  <c r="H259" i="3"/>
  <c r="G260" i="3"/>
  <c r="H260" i="3"/>
  <c r="G261" i="3"/>
  <c r="H261" i="3"/>
  <c r="G262" i="3"/>
  <c r="H262" i="3"/>
  <c r="G263" i="3"/>
  <c r="H263" i="3"/>
  <c r="G264" i="3"/>
  <c r="H264" i="3"/>
  <c r="G265" i="3"/>
  <c r="H265" i="3"/>
  <c r="G266" i="3"/>
  <c r="H266" i="3"/>
  <c r="G267" i="3"/>
  <c r="H267" i="3"/>
  <c r="G268" i="3"/>
  <c r="H268" i="3"/>
  <c r="G269" i="3"/>
  <c r="H269" i="3"/>
  <c r="G270" i="3"/>
  <c r="H270" i="3"/>
  <c r="G271" i="3"/>
  <c r="H271" i="3"/>
  <c r="G272" i="3"/>
  <c r="H272" i="3"/>
  <c r="G273" i="3"/>
  <c r="H273" i="3"/>
  <c r="G274" i="3"/>
  <c r="H274" i="3"/>
  <c r="G275" i="3"/>
  <c r="H275" i="3"/>
  <c r="G276" i="3"/>
  <c r="H276" i="3"/>
  <c r="G277" i="3"/>
  <c r="H277" i="3"/>
  <c r="G278" i="3"/>
  <c r="H278" i="3"/>
  <c r="G279" i="3"/>
  <c r="H279" i="3"/>
  <c r="G280" i="3"/>
  <c r="H280" i="3"/>
  <c r="G281" i="3"/>
  <c r="H281" i="3"/>
  <c r="G282" i="3"/>
  <c r="H282" i="3"/>
  <c r="G283" i="3"/>
  <c r="H283" i="3"/>
  <c r="G284" i="3"/>
  <c r="H284" i="3"/>
  <c r="G285" i="3"/>
  <c r="H285" i="3"/>
  <c r="G286" i="3"/>
  <c r="H286" i="3"/>
  <c r="G287" i="3"/>
  <c r="H287" i="3"/>
  <c r="G288" i="3"/>
  <c r="H288" i="3"/>
  <c r="G289" i="3"/>
  <c r="H289" i="3"/>
  <c r="G290" i="3"/>
  <c r="H290" i="3"/>
  <c r="G291" i="3"/>
  <c r="H291" i="3"/>
  <c r="G292" i="3"/>
  <c r="H292" i="3"/>
  <c r="G293" i="3"/>
  <c r="H293" i="3"/>
  <c r="G294" i="3"/>
  <c r="H294" i="3"/>
  <c r="G295" i="3"/>
  <c r="H295" i="3"/>
  <c r="G296" i="3"/>
  <c r="H296" i="3"/>
  <c r="G297" i="3"/>
  <c r="H297" i="3"/>
  <c r="G298" i="3"/>
  <c r="H298" i="3"/>
  <c r="G299" i="3"/>
  <c r="H299" i="3"/>
  <c r="G300" i="3"/>
  <c r="H300" i="3"/>
  <c r="G301" i="3"/>
  <c r="H301" i="3"/>
  <c r="G302" i="3"/>
  <c r="H302" i="3"/>
  <c r="G303" i="3"/>
  <c r="H303" i="3"/>
  <c r="G304" i="3"/>
  <c r="H304" i="3"/>
  <c r="G305" i="3"/>
  <c r="H305" i="3"/>
  <c r="G306" i="3"/>
  <c r="H306" i="3"/>
  <c r="G307" i="3"/>
  <c r="H307" i="3"/>
  <c r="G308" i="3"/>
  <c r="H308" i="3"/>
  <c r="G309" i="3"/>
  <c r="H309" i="3"/>
  <c r="G310" i="3"/>
  <c r="H310" i="3"/>
  <c r="G311" i="3"/>
  <c r="H311" i="3"/>
  <c r="G312" i="3"/>
  <c r="H312" i="3"/>
  <c r="G313" i="3"/>
  <c r="H313" i="3"/>
  <c r="G314" i="3"/>
  <c r="H314" i="3"/>
  <c r="G315" i="3"/>
  <c r="H315" i="3"/>
  <c r="G316" i="3"/>
  <c r="H316" i="3"/>
  <c r="G317" i="3"/>
  <c r="H317" i="3"/>
  <c r="G318" i="3"/>
  <c r="H318" i="3"/>
  <c r="G319" i="3"/>
  <c r="H319" i="3"/>
  <c r="G320" i="3"/>
  <c r="H320" i="3"/>
  <c r="G321" i="3"/>
  <c r="H321" i="3"/>
  <c r="G322" i="3"/>
  <c r="H322" i="3"/>
  <c r="G323" i="3"/>
  <c r="H323" i="3"/>
  <c r="G324" i="3"/>
  <c r="H324" i="3"/>
  <c r="G325" i="3"/>
  <c r="H325" i="3"/>
  <c r="G326" i="3"/>
  <c r="H326" i="3"/>
  <c r="G327" i="3"/>
  <c r="H327" i="3"/>
  <c r="G328" i="3"/>
  <c r="H328" i="3"/>
  <c r="G329" i="3"/>
  <c r="H329" i="3"/>
  <c r="G330" i="3"/>
  <c r="H330" i="3"/>
  <c r="G331" i="3"/>
  <c r="H331" i="3"/>
  <c r="G332" i="3"/>
  <c r="H332" i="3"/>
  <c r="G333" i="3"/>
  <c r="H333" i="3"/>
  <c r="G334" i="3"/>
  <c r="H334" i="3"/>
  <c r="G335" i="3"/>
  <c r="H335" i="3"/>
  <c r="G336" i="3"/>
  <c r="H336" i="3"/>
  <c r="G337" i="3"/>
  <c r="H337" i="3"/>
  <c r="G338" i="3"/>
  <c r="H338" i="3"/>
  <c r="G339" i="3"/>
  <c r="H339" i="3"/>
  <c r="G340" i="3"/>
  <c r="H340" i="3"/>
  <c r="G341" i="3"/>
  <c r="H341" i="3"/>
  <c r="G342" i="3"/>
  <c r="H342" i="3"/>
  <c r="G343" i="3"/>
  <c r="H343" i="3"/>
  <c r="G344" i="3"/>
  <c r="H344" i="3"/>
  <c r="G345" i="3"/>
  <c r="H345" i="3"/>
  <c r="G346" i="3"/>
  <c r="H346" i="3"/>
  <c r="G347" i="3"/>
  <c r="H347" i="3"/>
  <c r="G348" i="3"/>
  <c r="H348" i="3"/>
  <c r="G349" i="3"/>
  <c r="H349" i="3"/>
  <c r="G350" i="3"/>
  <c r="H350" i="3"/>
  <c r="G351" i="3"/>
  <c r="H351" i="3"/>
  <c r="G352" i="3"/>
  <c r="H352" i="3"/>
  <c r="G353" i="3"/>
  <c r="H353" i="3"/>
  <c r="G354" i="3"/>
  <c r="H354" i="3"/>
  <c r="G355" i="3"/>
  <c r="H355" i="3"/>
  <c r="G356" i="3"/>
  <c r="H356" i="3"/>
  <c r="G357" i="3"/>
  <c r="H357" i="3"/>
  <c r="G358" i="3"/>
  <c r="H358" i="3"/>
  <c r="G359" i="3"/>
  <c r="H359" i="3"/>
  <c r="G360" i="3"/>
  <c r="H360" i="3"/>
  <c r="G361" i="3"/>
  <c r="H361" i="3"/>
  <c r="G362" i="3"/>
  <c r="H362" i="3"/>
  <c r="G363" i="3"/>
  <c r="H363" i="3"/>
  <c r="G364" i="3"/>
  <c r="H364" i="3"/>
  <c r="G365" i="3"/>
  <c r="H365" i="3"/>
  <c r="G366" i="3"/>
  <c r="H366" i="3"/>
  <c r="G367" i="3"/>
  <c r="H367" i="3"/>
  <c r="G368" i="3"/>
  <c r="H368" i="3"/>
  <c r="G369" i="3"/>
  <c r="H369" i="3"/>
  <c r="G370" i="3"/>
  <c r="H370" i="3"/>
  <c r="G371" i="3"/>
  <c r="H371" i="3"/>
  <c r="G372" i="3"/>
  <c r="H372" i="3"/>
  <c r="G373" i="3"/>
  <c r="H373" i="3"/>
  <c r="G374" i="3"/>
  <c r="H374" i="3"/>
  <c r="G375" i="3"/>
  <c r="H375" i="3"/>
  <c r="G376" i="3"/>
  <c r="H376" i="3"/>
  <c r="G377" i="3"/>
  <c r="H377" i="3"/>
  <c r="G378" i="3"/>
  <c r="H378" i="3"/>
  <c r="G379" i="3"/>
  <c r="H379" i="3"/>
  <c r="G380" i="3"/>
  <c r="H380" i="3"/>
  <c r="G381" i="3"/>
  <c r="H381" i="3"/>
  <c r="G382" i="3"/>
  <c r="H382" i="3"/>
  <c r="G383" i="3"/>
  <c r="H383" i="3"/>
  <c r="G384" i="3"/>
  <c r="H384" i="3"/>
  <c r="G385" i="3"/>
  <c r="H385" i="3"/>
  <c r="G386" i="3"/>
  <c r="H386" i="3"/>
  <c r="G387" i="3"/>
  <c r="H387" i="3"/>
  <c r="G388" i="3"/>
  <c r="H388" i="3"/>
  <c r="G389" i="3"/>
  <c r="H389" i="3"/>
  <c r="G390" i="3"/>
  <c r="H390" i="3"/>
  <c r="G391" i="3"/>
  <c r="H391" i="3"/>
  <c r="G392" i="3"/>
  <c r="H392" i="3"/>
  <c r="G393" i="3"/>
  <c r="H393" i="3"/>
  <c r="G394" i="3"/>
  <c r="H394" i="3"/>
  <c r="G395" i="3"/>
  <c r="H395" i="3"/>
  <c r="G396" i="3"/>
  <c r="H396" i="3"/>
  <c r="G397" i="3"/>
  <c r="H397" i="3"/>
  <c r="G398" i="3"/>
  <c r="H398" i="3"/>
  <c r="G399" i="3"/>
  <c r="H399" i="3"/>
  <c r="G400" i="3"/>
  <c r="H400" i="3"/>
  <c r="G401" i="3"/>
  <c r="H401" i="3"/>
  <c r="G402" i="3"/>
  <c r="H402" i="3"/>
  <c r="G403" i="3"/>
  <c r="H403" i="3"/>
  <c r="G404" i="3"/>
  <c r="H404" i="3"/>
  <c r="G405" i="3"/>
  <c r="H405" i="3"/>
  <c r="G406" i="3"/>
  <c r="H406" i="3"/>
  <c r="G407" i="3"/>
  <c r="H407" i="3"/>
  <c r="G408" i="3"/>
  <c r="H408" i="3"/>
  <c r="G409" i="3"/>
  <c r="H409" i="3"/>
  <c r="G410" i="3"/>
  <c r="H410" i="3"/>
  <c r="G411" i="3"/>
  <c r="H411" i="3"/>
  <c r="G412" i="3"/>
  <c r="H412" i="3"/>
  <c r="G413" i="3"/>
  <c r="H413" i="3"/>
  <c r="G414" i="3"/>
  <c r="H414" i="3"/>
  <c r="G415" i="3"/>
  <c r="H415" i="3"/>
  <c r="G416" i="3"/>
  <c r="H416" i="3"/>
  <c r="G417" i="3"/>
  <c r="H417" i="3"/>
  <c r="G418" i="3"/>
  <c r="H418" i="3"/>
  <c r="G419" i="3"/>
  <c r="H419" i="3"/>
  <c r="G420" i="3"/>
  <c r="H420" i="3"/>
  <c r="G421" i="3"/>
  <c r="H421" i="3"/>
  <c r="G422" i="3"/>
  <c r="H422" i="3"/>
  <c r="G423" i="3"/>
  <c r="H423" i="3"/>
  <c r="G424" i="3"/>
  <c r="H424" i="3"/>
  <c r="G425" i="3"/>
  <c r="H425" i="3"/>
  <c r="G426" i="3"/>
  <c r="H426" i="3"/>
  <c r="G427" i="3"/>
  <c r="H427" i="3"/>
  <c r="G428" i="3"/>
  <c r="H428" i="3"/>
  <c r="G429" i="3"/>
  <c r="H429" i="3"/>
  <c r="G430" i="3"/>
  <c r="H430" i="3"/>
  <c r="G431" i="3"/>
  <c r="H431" i="3"/>
  <c r="G432" i="3"/>
  <c r="H432" i="3"/>
  <c r="G433" i="3"/>
  <c r="H433" i="3"/>
  <c r="G434" i="3"/>
  <c r="H434" i="3"/>
  <c r="G435" i="3"/>
  <c r="H435" i="3"/>
  <c r="G436" i="3"/>
  <c r="H436" i="3"/>
  <c r="G437" i="3"/>
  <c r="H437" i="3"/>
  <c r="G438" i="3"/>
  <c r="H438" i="3"/>
  <c r="G439" i="3"/>
  <c r="H439" i="3"/>
  <c r="G440" i="3"/>
  <c r="H440" i="3"/>
  <c r="G441" i="3"/>
  <c r="H441" i="3"/>
  <c r="G442" i="3"/>
  <c r="H442" i="3"/>
  <c r="G443" i="3"/>
  <c r="H443" i="3"/>
  <c r="G444" i="3"/>
  <c r="H444" i="3"/>
  <c r="G445" i="3"/>
  <c r="H445" i="3"/>
  <c r="G446" i="3"/>
  <c r="H446" i="3"/>
  <c r="G447" i="3"/>
  <c r="H447" i="3"/>
  <c r="G448" i="3"/>
  <c r="H448" i="3"/>
  <c r="G449" i="3"/>
  <c r="H449" i="3"/>
  <c r="G450" i="3"/>
  <c r="H450" i="3"/>
  <c r="G451" i="3"/>
  <c r="H451" i="3"/>
  <c r="G452" i="3"/>
  <c r="H452" i="3"/>
  <c r="G453" i="3"/>
  <c r="H453" i="3"/>
  <c r="G454" i="3"/>
  <c r="H454" i="3"/>
  <c r="G455" i="3"/>
  <c r="H455" i="3"/>
  <c r="G456" i="3"/>
  <c r="H456" i="3"/>
  <c r="G457" i="3"/>
  <c r="H457" i="3"/>
  <c r="G458" i="3"/>
  <c r="H458" i="3"/>
  <c r="G459" i="3"/>
  <c r="H459" i="3"/>
  <c r="G460" i="3"/>
  <c r="H460" i="3"/>
  <c r="G461" i="3"/>
  <c r="H461" i="3"/>
  <c r="G462" i="3"/>
  <c r="H462" i="3"/>
  <c r="G463" i="3"/>
  <c r="H463" i="3"/>
  <c r="G464" i="3"/>
  <c r="H464" i="3"/>
  <c r="G465" i="3"/>
  <c r="H465" i="3"/>
  <c r="G466" i="3"/>
  <c r="H466" i="3"/>
  <c r="G467" i="3"/>
  <c r="H467" i="3"/>
  <c r="G468" i="3"/>
  <c r="H468" i="3"/>
  <c r="G469" i="3"/>
  <c r="H469" i="3"/>
  <c r="G470" i="3"/>
  <c r="H470" i="3"/>
  <c r="G471" i="3"/>
  <c r="H471" i="3"/>
  <c r="G472" i="3"/>
  <c r="H472" i="3"/>
  <c r="G473" i="3"/>
  <c r="H473" i="3"/>
  <c r="G474" i="3"/>
  <c r="H474" i="3"/>
  <c r="G475" i="3"/>
  <c r="H475" i="3"/>
  <c r="G476" i="3"/>
  <c r="H476" i="3"/>
  <c r="G477" i="3"/>
  <c r="H477" i="3"/>
  <c r="G478" i="3"/>
  <c r="H478" i="3"/>
  <c r="G479" i="3"/>
  <c r="H479" i="3"/>
  <c r="G480" i="3"/>
  <c r="H480" i="3"/>
  <c r="G481" i="3"/>
  <c r="H481" i="3"/>
  <c r="G482" i="3"/>
  <c r="H482" i="3"/>
  <c r="G483" i="3"/>
  <c r="H483" i="3"/>
  <c r="G484" i="3"/>
  <c r="H484" i="3"/>
  <c r="G485" i="3"/>
  <c r="H485" i="3"/>
  <c r="G486" i="3"/>
  <c r="H486" i="3"/>
  <c r="G487" i="3"/>
  <c r="H487" i="3"/>
  <c r="G488" i="3"/>
  <c r="H488" i="3"/>
  <c r="G489" i="3"/>
  <c r="H489" i="3"/>
  <c r="G490" i="3"/>
  <c r="H490" i="3"/>
  <c r="G491" i="3"/>
  <c r="H491" i="3"/>
  <c r="G492" i="3"/>
  <c r="H492" i="3"/>
  <c r="G493" i="3"/>
  <c r="H493" i="3"/>
  <c r="G494" i="3"/>
  <c r="H494" i="3"/>
  <c r="G495" i="3"/>
  <c r="H495" i="3"/>
  <c r="G496" i="3"/>
  <c r="H496" i="3"/>
  <c r="G497" i="3"/>
  <c r="H497" i="3"/>
  <c r="G498" i="3"/>
  <c r="H498" i="3"/>
  <c r="G499" i="3"/>
  <c r="H499" i="3"/>
  <c r="G500" i="3"/>
  <c r="H500" i="3"/>
  <c r="G501" i="3"/>
  <c r="H501" i="3"/>
  <c r="G502" i="3"/>
  <c r="H502" i="3"/>
  <c r="G503" i="3"/>
  <c r="H503" i="3"/>
  <c r="G504" i="3"/>
  <c r="H504" i="3"/>
  <c r="G505" i="3"/>
  <c r="H505" i="3"/>
  <c r="G506" i="3"/>
  <c r="H506" i="3"/>
  <c r="G507" i="3"/>
  <c r="H507" i="3"/>
  <c r="G508" i="3"/>
  <c r="H508" i="3"/>
  <c r="G509" i="3"/>
  <c r="H509" i="3"/>
  <c r="G510" i="3"/>
  <c r="H510" i="3"/>
  <c r="G511" i="3"/>
  <c r="H511" i="3"/>
  <c r="G512" i="3"/>
  <c r="H512" i="3"/>
  <c r="G513" i="3"/>
  <c r="H513" i="3"/>
  <c r="G514" i="3"/>
  <c r="H514" i="3"/>
  <c r="G515" i="3"/>
  <c r="H515" i="3"/>
  <c r="G516" i="3"/>
  <c r="H516" i="3"/>
  <c r="G517" i="3"/>
  <c r="H517" i="3"/>
  <c r="G518" i="3"/>
  <c r="H518" i="3"/>
  <c r="G519" i="3"/>
  <c r="H519" i="3"/>
  <c r="G520" i="3"/>
  <c r="H520" i="3"/>
  <c r="G521" i="3"/>
  <c r="H521" i="3"/>
  <c r="G522" i="3"/>
  <c r="H522" i="3"/>
  <c r="G523" i="3"/>
  <c r="H523" i="3"/>
  <c r="G524" i="3"/>
  <c r="H524" i="3"/>
  <c r="G525" i="3"/>
  <c r="H525" i="3"/>
  <c r="G526" i="3"/>
  <c r="H526" i="3"/>
  <c r="G527" i="3"/>
  <c r="H527" i="3"/>
  <c r="G528" i="3"/>
  <c r="H528" i="3"/>
  <c r="G529" i="3"/>
  <c r="H529" i="3"/>
  <c r="G530" i="3"/>
  <c r="H530" i="3"/>
  <c r="G531" i="3"/>
  <c r="H531" i="3"/>
  <c r="G532" i="3"/>
  <c r="H532" i="3"/>
  <c r="G533" i="3"/>
  <c r="H533" i="3"/>
  <c r="G534" i="3"/>
  <c r="H534" i="3"/>
  <c r="G535" i="3"/>
  <c r="H535" i="3"/>
  <c r="G536" i="3"/>
  <c r="H536" i="3"/>
  <c r="G537" i="3"/>
  <c r="H537" i="3"/>
  <c r="G538" i="3"/>
  <c r="H538" i="3"/>
  <c r="G539" i="3"/>
  <c r="H539" i="3"/>
  <c r="G540" i="3"/>
  <c r="H540" i="3"/>
  <c r="G541" i="3"/>
  <c r="H541" i="3"/>
  <c r="G542" i="3"/>
  <c r="H542" i="3"/>
  <c r="G543" i="3"/>
  <c r="H543" i="3"/>
  <c r="G544" i="3"/>
  <c r="H544" i="3"/>
  <c r="G545" i="3"/>
  <c r="H545" i="3"/>
  <c r="G546" i="3"/>
  <c r="H546" i="3"/>
  <c r="G547" i="3"/>
  <c r="H547" i="3"/>
  <c r="G548" i="3"/>
  <c r="H548" i="3"/>
  <c r="G549" i="3"/>
  <c r="H549" i="3"/>
  <c r="G550" i="3"/>
  <c r="H550" i="3"/>
  <c r="G551" i="3"/>
  <c r="H551" i="3"/>
  <c r="G552" i="3"/>
  <c r="H552" i="3"/>
  <c r="G553" i="3"/>
  <c r="H553" i="3"/>
  <c r="G554" i="3"/>
  <c r="H554" i="3"/>
  <c r="G555" i="3"/>
  <c r="H555" i="3"/>
  <c r="G556" i="3"/>
  <c r="H556" i="3"/>
  <c r="G557" i="3"/>
  <c r="H557" i="3"/>
  <c r="G558" i="3"/>
  <c r="H558" i="3"/>
  <c r="G559" i="3"/>
  <c r="H559" i="3"/>
  <c r="G560" i="3"/>
  <c r="H560" i="3"/>
  <c r="G561" i="3"/>
  <c r="H561" i="3"/>
  <c r="G562" i="3"/>
  <c r="H562" i="3"/>
  <c r="G563" i="3"/>
  <c r="H563" i="3"/>
  <c r="G564" i="3"/>
  <c r="H564" i="3"/>
  <c r="G565" i="3"/>
  <c r="H565" i="3"/>
  <c r="G566" i="3"/>
  <c r="H566" i="3"/>
  <c r="G567" i="3"/>
  <c r="H567" i="3"/>
  <c r="G568" i="3"/>
  <c r="H568" i="3"/>
  <c r="G569" i="3"/>
  <c r="H569" i="3"/>
  <c r="G570" i="3"/>
  <c r="H570" i="3"/>
  <c r="G571" i="3"/>
  <c r="H571" i="3"/>
  <c r="G572" i="3"/>
  <c r="H572" i="3"/>
  <c r="G573" i="3"/>
  <c r="H573" i="3"/>
  <c r="G574" i="3"/>
  <c r="H574" i="3"/>
  <c r="G575" i="3"/>
  <c r="H575" i="3"/>
  <c r="G576" i="3"/>
  <c r="H576" i="3"/>
  <c r="G577" i="3"/>
  <c r="H577" i="3"/>
  <c r="G578" i="3"/>
  <c r="H578" i="3"/>
  <c r="G579" i="3"/>
  <c r="H579" i="3"/>
  <c r="G580" i="3"/>
  <c r="H580" i="3"/>
  <c r="G581" i="3"/>
  <c r="H581" i="3"/>
  <c r="G582" i="3"/>
  <c r="H582" i="3"/>
  <c r="G583" i="3"/>
  <c r="H583" i="3"/>
  <c r="G584" i="3"/>
  <c r="H584" i="3"/>
  <c r="G585" i="3"/>
  <c r="H585" i="3"/>
  <c r="G586" i="3"/>
  <c r="H586" i="3"/>
  <c r="G587" i="3"/>
  <c r="H587" i="3"/>
  <c r="G588" i="3"/>
  <c r="H588" i="3"/>
  <c r="G589" i="3"/>
  <c r="H589" i="3"/>
  <c r="G590" i="3"/>
  <c r="H590" i="3"/>
  <c r="G591" i="3"/>
  <c r="H591" i="3"/>
  <c r="G592" i="3"/>
  <c r="H592" i="3"/>
  <c r="G593" i="3"/>
  <c r="H593" i="3"/>
  <c r="G594" i="3"/>
  <c r="H594" i="3"/>
  <c r="G595" i="3"/>
  <c r="H595" i="3"/>
  <c r="G596" i="3"/>
  <c r="H596" i="3"/>
  <c r="G597" i="3"/>
  <c r="H597" i="3"/>
  <c r="G598" i="3"/>
  <c r="H598" i="3"/>
  <c r="G599" i="3"/>
  <c r="H599" i="3"/>
  <c r="G600" i="3"/>
  <c r="H600" i="3"/>
  <c r="G601" i="3"/>
  <c r="H601" i="3"/>
  <c r="G602" i="3"/>
  <c r="H602" i="3"/>
  <c r="G603" i="3"/>
  <c r="H603" i="3"/>
  <c r="G604" i="3"/>
  <c r="H604" i="3"/>
  <c r="G605" i="3"/>
  <c r="H605" i="3"/>
  <c r="G606" i="3"/>
  <c r="H606" i="3"/>
  <c r="G607" i="3"/>
  <c r="H607" i="3"/>
  <c r="G608" i="3"/>
  <c r="H608" i="3"/>
  <c r="G609" i="3"/>
  <c r="H609" i="3"/>
  <c r="G610" i="3"/>
  <c r="H610" i="3"/>
  <c r="G611" i="3"/>
  <c r="H611" i="3"/>
  <c r="G612" i="3"/>
  <c r="H612" i="3"/>
  <c r="G613" i="3"/>
  <c r="H613" i="3"/>
  <c r="G614" i="3"/>
  <c r="H614" i="3"/>
  <c r="G615" i="3"/>
  <c r="H615" i="3"/>
  <c r="G616" i="3"/>
  <c r="H616" i="3"/>
  <c r="G617" i="3"/>
  <c r="H617" i="3"/>
  <c r="G618" i="3"/>
  <c r="H618" i="3"/>
  <c r="G619" i="3"/>
  <c r="H619" i="3"/>
  <c r="G620" i="3"/>
  <c r="H620" i="3"/>
  <c r="G621" i="3"/>
  <c r="H621" i="3"/>
  <c r="G622" i="3"/>
  <c r="H622" i="3"/>
  <c r="G623" i="3"/>
  <c r="H623" i="3"/>
  <c r="G624" i="3"/>
  <c r="H624" i="3"/>
  <c r="G625" i="3"/>
  <c r="H625" i="3"/>
  <c r="G626" i="3"/>
  <c r="H626" i="3"/>
  <c r="G627" i="3"/>
  <c r="H627" i="3"/>
  <c r="G628" i="3"/>
  <c r="H628" i="3"/>
  <c r="G629" i="3"/>
  <c r="H629" i="3"/>
  <c r="G630" i="3"/>
  <c r="H630" i="3"/>
  <c r="G631" i="3"/>
  <c r="H631" i="3"/>
  <c r="G632" i="3"/>
  <c r="H632" i="3"/>
  <c r="G633" i="3"/>
  <c r="H633" i="3"/>
  <c r="G634" i="3"/>
  <c r="H634" i="3"/>
  <c r="G635" i="3"/>
  <c r="H635" i="3"/>
  <c r="G636" i="3"/>
  <c r="H636" i="3"/>
  <c r="G637" i="3"/>
  <c r="H637" i="3"/>
  <c r="G638" i="3"/>
  <c r="H638" i="3"/>
  <c r="G639" i="3"/>
  <c r="H639" i="3"/>
  <c r="G640" i="3"/>
  <c r="H640" i="3"/>
  <c r="G641" i="3"/>
  <c r="H641" i="3"/>
  <c r="G642" i="3"/>
  <c r="H642" i="3"/>
  <c r="G643" i="3"/>
  <c r="H643" i="3"/>
  <c r="G644" i="3"/>
  <c r="H644" i="3"/>
  <c r="G645" i="3"/>
  <c r="H645" i="3"/>
  <c r="G646" i="3"/>
  <c r="H646" i="3"/>
  <c r="G647" i="3"/>
  <c r="H647" i="3"/>
  <c r="G648" i="3"/>
  <c r="H648" i="3"/>
  <c r="G649" i="3"/>
  <c r="H649" i="3"/>
  <c r="G650" i="3"/>
  <c r="H650" i="3"/>
  <c r="G651" i="3"/>
  <c r="H651" i="3"/>
  <c r="G652" i="3"/>
  <c r="H652" i="3"/>
  <c r="G653" i="3"/>
  <c r="H653" i="3"/>
  <c r="G654" i="3"/>
  <c r="H654" i="3"/>
  <c r="G655" i="3"/>
  <c r="H655" i="3"/>
  <c r="G656" i="3"/>
  <c r="H656" i="3"/>
  <c r="G657" i="3"/>
  <c r="H657" i="3"/>
  <c r="G658" i="3"/>
  <c r="H658" i="3"/>
  <c r="G659" i="3"/>
  <c r="H659" i="3"/>
  <c r="G660" i="3"/>
  <c r="H660" i="3"/>
  <c r="G661" i="3"/>
  <c r="H661" i="3"/>
  <c r="G662" i="3"/>
  <c r="H662" i="3"/>
  <c r="G663" i="3"/>
  <c r="H663" i="3"/>
  <c r="G664" i="3"/>
  <c r="H664" i="3"/>
  <c r="G665" i="3"/>
  <c r="H665" i="3"/>
  <c r="G666" i="3"/>
  <c r="H666" i="3"/>
  <c r="G667" i="3"/>
  <c r="H667" i="3"/>
  <c r="G668" i="3"/>
  <c r="H668" i="3"/>
  <c r="G669" i="3"/>
  <c r="H669" i="3"/>
  <c r="G670" i="3"/>
  <c r="H670" i="3"/>
  <c r="G671" i="3"/>
  <c r="H671" i="3"/>
  <c r="G672" i="3"/>
  <c r="H672" i="3"/>
  <c r="G673" i="3"/>
  <c r="H673" i="3"/>
  <c r="G674" i="3"/>
  <c r="H674" i="3"/>
  <c r="G675" i="3"/>
  <c r="H675" i="3"/>
  <c r="G676" i="3"/>
  <c r="H676" i="3"/>
  <c r="G677" i="3"/>
  <c r="H677" i="3"/>
  <c r="G678" i="3"/>
  <c r="H678" i="3"/>
  <c r="G679" i="3"/>
  <c r="H679" i="3"/>
  <c r="G680" i="3"/>
  <c r="H680" i="3"/>
  <c r="G681" i="3"/>
  <c r="H681" i="3"/>
  <c r="G682" i="3"/>
  <c r="H682" i="3"/>
  <c r="G683" i="3"/>
  <c r="H683" i="3"/>
  <c r="G684" i="3"/>
  <c r="H684" i="3"/>
  <c r="G685" i="3"/>
  <c r="H685" i="3"/>
  <c r="G686" i="3"/>
  <c r="H686" i="3"/>
  <c r="G687" i="3"/>
  <c r="H687" i="3"/>
  <c r="G688" i="3"/>
  <c r="H688" i="3"/>
  <c r="G689" i="3"/>
  <c r="H689" i="3"/>
  <c r="G690" i="3"/>
  <c r="H690" i="3"/>
  <c r="G691" i="3"/>
  <c r="H691" i="3"/>
  <c r="G692" i="3"/>
  <c r="H692" i="3"/>
  <c r="G693" i="3"/>
  <c r="H693" i="3"/>
  <c r="G694" i="3"/>
  <c r="H694" i="3"/>
  <c r="G695" i="3"/>
  <c r="H695" i="3"/>
  <c r="G696" i="3"/>
  <c r="H696" i="3"/>
  <c r="G697" i="3"/>
  <c r="H697" i="3"/>
  <c r="G698" i="3"/>
  <c r="H698" i="3"/>
  <c r="G699" i="3"/>
  <c r="H699" i="3"/>
  <c r="G700" i="3"/>
  <c r="H700" i="3"/>
  <c r="G701" i="3"/>
  <c r="H701" i="3"/>
  <c r="G702" i="3"/>
  <c r="H702" i="3"/>
  <c r="G703" i="3"/>
  <c r="H703" i="3"/>
  <c r="G704" i="3"/>
  <c r="H704" i="3"/>
  <c r="G705" i="3"/>
  <c r="H705" i="3"/>
  <c r="G706" i="3"/>
  <c r="H706" i="3"/>
  <c r="G707" i="3"/>
  <c r="H707" i="3"/>
  <c r="G708" i="3"/>
  <c r="H708" i="3"/>
  <c r="G709" i="3"/>
  <c r="H709" i="3"/>
  <c r="G710" i="3"/>
  <c r="H710" i="3"/>
  <c r="G711" i="3"/>
  <c r="H711" i="3"/>
  <c r="G712" i="3"/>
  <c r="H712" i="3"/>
  <c r="G713" i="3"/>
  <c r="H713" i="3"/>
  <c r="G714" i="3"/>
  <c r="H714" i="3"/>
  <c r="G715" i="3"/>
  <c r="H715" i="3"/>
  <c r="G716" i="3"/>
  <c r="H716" i="3"/>
  <c r="G717" i="3"/>
  <c r="H717" i="3"/>
  <c r="G718" i="3"/>
  <c r="H718" i="3"/>
  <c r="G719" i="3"/>
  <c r="H719" i="3"/>
  <c r="G720" i="3"/>
  <c r="H720" i="3"/>
  <c r="G721" i="3"/>
  <c r="H721" i="3"/>
  <c r="G722" i="3"/>
  <c r="H722" i="3"/>
  <c r="G723" i="3"/>
  <c r="H723" i="3"/>
  <c r="G724" i="3"/>
  <c r="H724" i="3"/>
  <c r="G725" i="3"/>
  <c r="H725" i="3"/>
  <c r="G726" i="3"/>
  <c r="H726" i="3"/>
  <c r="G727" i="3"/>
  <c r="H727" i="3"/>
  <c r="G728" i="3"/>
  <c r="H728" i="3"/>
  <c r="G729" i="3"/>
  <c r="H729" i="3"/>
  <c r="G730" i="3"/>
  <c r="H730" i="3"/>
  <c r="G731" i="3"/>
  <c r="H731" i="3"/>
  <c r="I3" i="3"/>
  <c r="J3" i="3"/>
  <c r="K3" i="3"/>
  <c r="L3" i="3"/>
  <c r="I4" i="3"/>
  <c r="J4" i="3"/>
  <c r="K4" i="3"/>
  <c r="L4" i="3"/>
  <c r="I5" i="3"/>
  <c r="J5" i="3"/>
  <c r="K5" i="3"/>
  <c r="L5" i="3"/>
  <c r="I6" i="3"/>
  <c r="J6" i="3"/>
  <c r="K6" i="3"/>
  <c r="L6" i="3"/>
  <c r="I7" i="3"/>
  <c r="J7" i="3"/>
  <c r="K7" i="3"/>
  <c r="L7" i="3"/>
  <c r="I8" i="3"/>
  <c r="J8" i="3"/>
  <c r="K8" i="3"/>
  <c r="L8" i="3"/>
  <c r="I9" i="3"/>
  <c r="J9" i="3"/>
  <c r="K9" i="3"/>
  <c r="L9" i="3"/>
  <c r="I10" i="3"/>
  <c r="J10" i="3"/>
  <c r="K10" i="3"/>
  <c r="L10" i="3"/>
  <c r="I11" i="3"/>
  <c r="J11" i="3"/>
  <c r="K11" i="3"/>
  <c r="L11" i="3"/>
  <c r="I12" i="3"/>
  <c r="J12" i="3"/>
  <c r="K12" i="3"/>
  <c r="L12" i="3"/>
  <c r="I13" i="3"/>
  <c r="J13" i="3"/>
  <c r="K13" i="3"/>
  <c r="L13" i="3"/>
  <c r="I14" i="3"/>
  <c r="J14" i="3"/>
  <c r="K14" i="3"/>
  <c r="L14" i="3"/>
  <c r="I15" i="3"/>
  <c r="J15" i="3"/>
  <c r="K15" i="3"/>
  <c r="L15" i="3"/>
  <c r="I16" i="3"/>
  <c r="J16" i="3"/>
  <c r="K16" i="3"/>
  <c r="L16" i="3"/>
  <c r="I17" i="3"/>
  <c r="J17" i="3"/>
  <c r="K17" i="3"/>
  <c r="L17" i="3"/>
  <c r="I18" i="3"/>
  <c r="J18" i="3"/>
  <c r="K18" i="3"/>
  <c r="L18" i="3"/>
  <c r="I19" i="3"/>
  <c r="J19" i="3"/>
  <c r="K19" i="3"/>
  <c r="L19" i="3"/>
  <c r="I20" i="3"/>
  <c r="J20" i="3"/>
  <c r="K20" i="3"/>
  <c r="L20" i="3"/>
  <c r="I21" i="3"/>
  <c r="J21" i="3"/>
  <c r="K21" i="3"/>
  <c r="L21" i="3"/>
  <c r="I22" i="3"/>
  <c r="J22" i="3"/>
  <c r="K22" i="3"/>
  <c r="L22" i="3"/>
  <c r="I23" i="3"/>
  <c r="J23" i="3"/>
  <c r="K23" i="3"/>
  <c r="L23" i="3"/>
  <c r="I24" i="3"/>
  <c r="J24" i="3"/>
  <c r="K24" i="3"/>
  <c r="L24" i="3"/>
  <c r="I25" i="3"/>
  <c r="J25" i="3"/>
  <c r="K25" i="3"/>
  <c r="L25" i="3"/>
  <c r="I26" i="3"/>
  <c r="J26" i="3"/>
  <c r="K26" i="3"/>
  <c r="L26" i="3"/>
  <c r="I27" i="3"/>
  <c r="J27" i="3"/>
  <c r="K27" i="3"/>
  <c r="L27" i="3"/>
  <c r="I28" i="3"/>
  <c r="J28" i="3"/>
  <c r="K28" i="3"/>
  <c r="L28" i="3"/>
  <c r="I29" i="3"/>
  <c r="J29" i="3"/>
  <c r="K29" i="3"/>
  <c r="L29" i="3"/>
  <c r="I30" i="3"/>
  <c r="J30" i="3"/>
  <c r="K30" i="3"/>
  <c r="L30" i="3"/>
  <c r="I31" i="3"/>
  <c r="J31" i="3"/>
  <c r="K31" i="3"/>
  <c r="L31" i="3"/>
  <c r="I32" i="3"/>
  <c r="J32" i="3"/>
  <c r="K32" i="3"/>
  <c r="L32" i="3"/>
  <c r="I33" i="3"/>
  <c r="J33" i="3"/>
  <c r="K33" i="3"/>
  <c r="L33" i="3"/>
  <c r="I34" i="3"/>
  <c r="J34" i="3"/>
  <c r="K34" i="3"/>
  <c r="L34" i="3"/>
  <c r="I35" i="3"/>
  <c r="J35" i="3"/>
  <c r="K35" i="3"/>
  <c r="L35" i="3"/>
  <c r="I36" i="3"/>
  <c r="J36" i="3"/>
  <c r="K36" i="3"/>
  <c r="L36" i="3"/>
  <c r="I37" i="3"/>
  <c r="J37" i="3"/>
  <c r="K37" i="3"/>
  <c r="L37" i="3"/>
  <c r="I38" i="3"/>
  <c r="J38" i="3"/>
  <c r="K38" i="3"/>
  <c r="L38" i="3"/>
  <c r="I39" i="3"/>
  <c r="J39" i="3"/>
  <c r="K39" i="3"/>
  <c r="L39" i="3"/>
  <c r="I40" i="3"/>
  <c r="J40" i="3"/>
  <c r="K40" i="3"/>
  <c r="L40" i="3"/>
  <c r="I41" i="3"/>
  <c r="J41" i="3"/>
  <c r="K41" i="3"/>
  <c r="L41" i="3"/>
  <c r="I42" i="3"/>
  <c r="J42" i="3"/>
  <c r="K42" i="3"/>
  <c r="L42" i="3"/>
  <c r="I43" i="3"/>
  <c r="J43" i="3"/>
  <c r="K43" i="3"/>
  <c r="L43" i="3"/>
  <c r="I44" i="3"/>
  <c r="J44" i="3"/>
  <c r="K44" i="3"/>
  <c r="L44" i="3"/>
  <c r="I45" i="3"/>
  <c r="J45" i="3"/>
  <c r="K45" i="3"/>
  <c r="L45" i="3"/>
  <c r="I46" i="3"/>
  <c r="J46" i="3"/>
  <c r="K46" i="3"/>
  <c r="L46" i="3"/>
  <c r="I47" i="3"/>
  <c r="J47" i="3"/>
  <c r="K47" i="3"/>
  <c r="L47" i="3"/>
  <c r="I48" i="3"/>
  <c r="J48" i="3"/>
  <c r="K48" i="3"/>
  <c r="L48" i="3"/>
  <c r="I49" i="3"/>
  <c r="J49" i="3"/>
  <c r="K49" i="3"/>
  <c r="L49" i="3"/>
  <c r="I50" i="3"/>
  <c r="J50" i="3"/>
  <c r="K50" i="3"/>
  <c r="L50" i="3"/>
  <c r="I51" i="3"/>
  <c r="J51" i="3"/>
  <c r="K51" i="3"/>
  <c r="L51" i="3"/>
  <c r="I52" i="3"/>
  <c r="J52" i="3"/>
  <c r="K52" i="3"/>
  <c r="L52" i="3"/>
  <c r="I53" i="3"/>
  <c r="J53" i="3"/>
  <c r="K53" i="3"/>
  <c r="L53" i="3"/>
  <c r="I54" i="3"/>
  <c r="J54" i="3"/>
  <c r="K54" i="3"/>
  <c r="L54" i="3"/>
  <c r="I55" i="3"/>
  <c r="J55" i="3"/>
  <c r="K55" i="3"/>
  <c r="L55" i="3"/>
  <c r="I56" i="3"/>
  <c r="J56" i="3"/>
  <c r="K56" i="3"/>
  <c r="L56" i="3"/>
  <c r="I57" i="3"/>
  <c r="J57" i="3"/>
  <c r="K57" i="3"/>
  <c r="L57" i="3"/>
  <c r="I58" i="3"/>
  <c r="J58" i="3"/>
  <c r="K58" i="3"/>
  <c r="L58" i="3"/>
  <c r="I59" i="3"/>
  <c r="J59" i="3"/>
  <c r="K59" i="3"/>
  <c r="L59" i="3"/>
  <c r="I60" i="3"/>
  <c r="J60" i="3"/>
  <c r="K60" i="3"/>
  <c r="L60" i="3"/>
  <c r="I61" i="3"/>
  <c r="J61" i="3"/>
  <c r="K61" i="3"/>
  <c r="L61" i="3"/>
  <c r="I62" i="3"/>
  <c r="J62" i="3"/>
  <c r="K62" i="3"/>
  <c r="L62" i="3"/>
  <c r="I63" i="3"/>
  <c r="J63" i="3"/>
  <c r="K63" i="3"/>
  <c r="L63" i="3"/>
  <c r="I64" i="3"/>
  <c r="J64" i="3"/>
  <c r="K64" i="3"/>
  <c r="L64" i="3"/>
  <c r="I65" i="3"/>
  <c r="J65" i="3"/>
  <c r="K65" i="3"/>
  <c r="L65" i="3"/>
  <c r="I66" i="3"/>
  <c r="J66" i="3"/>
  <c r="K66" i="3"/>
  <c r="L66" i="3"/>
  <c r="I67" i="3"/>
  <c r="J67" i="3"/>
  <c r="K67" i="3"/>
  <c r="L67" i="3"/>
  <c r="I68" i="3"/>
  <c r="J68" i="3"/>
  <c r="K68" i="3"/>
  <c r="L68" i="3"/>
  <c r="I69" i="3"/>
  <c r="J69" i="3"/>
  <c r="K69" i="3"/>
  <c r="L69" i="3"/>
  <c r="I70" i="3"/>
  <c r="J70" i="3"/>
  <c r="K70" i="3"/>
  <c r="L70" i="3"/>
  <c r="I71" i="3"/>
  <c r="J71" i="3"/>
  <c r="K71" i="3"/>
  <c r="L71" i="3"/>
  <c r="I72" i="3"/>
  <c r="J72" i="3"/>
  <c r="K72" i="3"/>
  <c r="L72" i="3"/>
  <c r="I73" i="3"/>
  <c r="J73" i="3"/>
  <c r="K73" i="3"/>
  <c r="L73" i="3"/>
  <c r="I74" i="3"/>
  <c r="J74" i="3"/>
  <c r="K74" i="3"/>
  <c r="L74" i="3"/>
  <c r="I75" i="3"/>
  <c r="J75" i="3"/>
  <c r="K75" i="3"/>
  <c r="L75" i="3"/>
  <c r="I76" i="3"/>
  <c r="J76" i="3"/>
  <c r="K76" i="3"/>
  <c r="L76" i="3"/>
  <c r="I77" i="3"/>
  <c r="J77" i="3"/>
  <c r="K77" i="3"/>
  <c r="L77" i="3"/>
  <c r="I78" i="3"/>
  <c r="J78" i="3"/>
  <c r="K78" i="3"/>
  <c r="L78" i="3"/>
  <c r="I79" i="3"/>
  <c r="J79" i="3"/>
  <c r="K79" i="3"/>
  <c r="L79" i="3"/>
  <c r="I80" i="3"/>
  <c r="J80" i="3"/>
  <c r="K80" i="3"/>
  <c r="L80" i="3"/>
  <c r="I81" i="3"/>
  <c r="J81" i="3"/>
  <c r="K81" i="3"/>
  <c r="L81" i="3"/>
  <c r="I82" i="3"/>
  <c r="J82" i="3"/>
  <c r="K82" i="3"/>
  <c r="L82" i="3"/>
  <c r="I83" i="3"/>
  <c r="J83" i="3"/>
  <c r="K83" i="3"/>
  <c r="L83" i="3"/>
  <c r="I84" i="3"/>
  <c r="J84" i="3"/>
  <c r="K84" i="3"/>
  <c r="L84" i="3"/>
  <c r="I85" i="3"/>
  <c r="J85" i="3"/>
  <c r="K85" i="3"/>
  <c r="L85" i="3"/>
  <c r="I86" i="3"/>
  <c r="J86" i="3"/>
  <c r="K86" i="3"/>
  <c r="L86" i="3"/>
  <c r="I87" i="3"/>
  <c r="J87" i="3"/>
  <c r="K87" i="3"/>
  <c r="L87" i="3"/>
  <c r="I88" i="3"/>
  <c r="J88" i="3"/>
  <c r="K88" i="3"/>
  <c r="L88" i="3"/>
  <c r="I89" i="3"/>
  <c r="J89" i="3"/>
  <c r="K89" i="3"/>
  <c r="L89" i="3"/>
  <c r="I90" i="3"/>
  <c r="J90" i="3"/>
  <c r="K90" i="3"/>
  <c r="L90" i="3"/>
  <c r="I91" i="3"/>
  <c r="J91" i="3"/>
  <c r="K91" i="3"/>
  <c r="L91" i="3"/>
  <c r="I92" i="3"/>
  <c r="J92" i="3"/>
  <c r="K92" i="3"/>
  <c r="L92" i="3"/>
  <c r="I93" i="3"/>
  <c r="J93" i="3"/>
  <c r="K93" i="3"/>
  <c r="L93" i="3"/>
  <c r="I94" i="3"/>
  <c r="J94" i="3"/>
  <c r="K94" i="3"/>
  <c r="L94" i="3"/>
  <c r="I95" i="3"/>
  <c r="J95" i="3"/>
  <c r="K95" i="3"/>
  <c r="L95" i="3"/>
  <c r="I96" i="3"/>
  <c r="J96" i="3"/>
  <c r="K96" i="3"/>
  <c r="L96" i="3"/>
  <c r="I97" i="3"/>
  <c r="J97" i="3"/>
  <c r="K97" i="3"/>
  <c r="L97" i="3"/>
  <c r="I98" i="3"/>
  <c r="J98" i="3"/>
  <c r="K98" i="3"/>
  <c r="L98" i="3"/>
  <c r="I99" i="3"/>
  <c r="J99" i="3"/>
  <c r="K99" i="3"/>
  <c r="L99" i="3"/>
  <c r="I100" i="3"/>
  <c r="J100" i="3"/>
  <c r="K100" i="3"/>
  <c r="L100" i="3"/>
  <c r="I101" i="3"/>
  <c r="J101" i="3"/>
  <c r="K101" i="3"/>
  <c r="L101" i="3"/>
  <c r="I102" i="3"/>
  <c r="J102" i="3"/>
  <c r="K102" i="3"/>
  <c r="L102" i="3"/>
  <c r="I103" i="3"/>
  <c r="J103" i="3"/>
  <c r="K103" i="3"/>
  <c r="L103" i="3"/>
  <c r="I104" i="3"/>
  <c r="J104" i="3"/>
  <c r="K104" i="3"/>
  <c r="L104" i="3"/>
  <c r="I105" i="3"/>
  <c r="J105" i="3"/>
  <c r="K105" i="3"/>
  <c r="L105" i="3"/>
  <c r="I106" i="3"/>
  <c r="J106" i="3"/>
  <c r="K106" i="3"/>
  <c r="L106" i="3"/>
  <c r="I107" i="3"/>
  <c r="J107" i="3"/>
  <c r="K107" i="3"/>
  <c r="L107" i="3"/>
  <c r="I108" i="3"/>
  <c r="J108" i="3"/>
  <c r="K108" i="3"/>
  <c r="L108" i="3"/>
  <c r="I109" i="3"/>
  <c r="J109" i="3"/>
  <c r="K109" i="3"/>
  <c r="L109" i="3"/>
  <c r="I110" i="3"/>
  <c r="J110" i="3"/>
  <c r="K110" i="3"/>
  <c r="L110" i="3"/>
  <c r="I111" i="3"/>
  <c r="J111" i="3"/>
  <c r="K111" i="3"/>
  <c r="L111" i="3"/>
  <c r="I112" i="3"/>
  <c r="J112" i="3"/>
  <c r="K112" i="3"/>
  <c r="L112" i="3"/>
  <c r="I113" i="3"/>
  <c r="J113" i="3"/>
  <c r="K113" i="3"/>
  <c r="L113" i="3"/>
  <c r="I114" i="3"/>
  <c r="J114" i="3"/>
  <c r="K114" i="3"/>
  <c r="L114" i="3"/>
  <c r="I115" i="3"/>
  <c r="J115" i="3"/>
  <c r="K115" i="3"/>
  <c r="L115" i="3"/>
  <c r="I116" i="3"/>
  <c r="J116" i="3"/>
  <c r="K116" i="3"/>
  <c r="L116" i="3"/>
  <c r="I117" i="3"/>
  <c r="J117" i="3"/>
  <c r="K117" i="3"/>
  <c r="L117" i="3"/>
  <c r="I118" i="3"/>
  <c r="J118" i="3"/>
  <c r="K118" i="3"/>
  <c r="L118" i="3"/>
  <c r="I119" i="3"/>
  <c r="J119" i="3"/>
  <c r="K119" i="3"/>
  <c r="L119" i="3"/>
  <c r="I120" i="3"/>
  <c r="J120" i="3"/>
  <c r="K120" i="3"/>
  <c r="L120" i="3"/>
  <c r="I121" i="3"/>
  <c r="J121" i="3"/>
  <c r="K121" i="3"/>
  <c r="L121" i="3"/>
  <c r="I122" i="3"/>
  <c r="J122" i="3"/>
  <c r="K122" i="3"/>
  <c r="L122" i="3"/>
  <c r="I123" i="3"/>
  <c r="J123" i="3"/>
  <c r="K123" i="3"/>
  <c r="L123" i="3"/>
  <c r="I124" i="3"/>
  <c r="J124" i="3"/>
  <c r="K124" i="3"/>
  <c r="L124" i="3"/>
  <c r="I125" i="3"/>
  <c r="J125" i="3"/>
  <c r="K125" i="3"/>
  <c r="L125" i="3"/>
  <c r="I126" i="3"/>
  <c r="J126" i="3"/>
  <c r="K126" i="3"/>
  <c r="L126" i="3"/>
  <c r="I127" i="3"/>
  <c r="J127" i="3"/>
  <c r="K127" i="3"/>
  <c r="L127" i="3"/>
  <c r="I128" i="3"/>
  <c r="J128" i="3"/>
  <c r="K128" i="3"/>
  <c r="L128" i="3"/>
  <c r="I129" i="3"/>
  <c r="J129" i="3"/>
  <c r="K129" i="3"/>
  <c r="L129" i="3"/>
  <c r="I130" i="3"/>
  <c r="J130" i="3"/>
  <c r="K130" i="3"/>
  <c r="L130" i="3"/>
  <c r="I131" i="3"/>
  <c r="J131" i="3"/>
  <c r="K131" i="3"/>
  <c r="L131" i="3"/>
  <c r="I132" i="3"/>
  <c r="J132" i="3"/>
  <c r="K132" i="3"/>
  <c r="L132" i="3"/>
  <c r="I133" i="3"/>
  <c r="J133" i="3"/>
  <c r="K133" i="3"/>
  <c r="L133" i="3"/>
  <c r="I134" i="3"/>
  <c r="J134" i="3"/>
  <c r="K134" i="3"/>
  <c r="L134" i="3"/>
  <c r="I135" i="3"/>
  <c r="J135" i="3"/>
  <c r="K135" i="3"/>
  <c r="L135" i="3"/>
  <c r="I136" i="3"/>
  <c r="J136" i="3"/>
  <c r="K136" i="3"/>
  <c r="L136" i="3"/>
  <c r="I137" i="3"/>
  <c r="J137" i="3"/>
  <c r="K137" i="3"/>
  <c r="L137" i="3"/>
  <c r="I138" i="3"/>
  <c r="J138" i="3"/>
  <c r="K138" i="3"/>
  <c r="L138" i="3"/>
  <c r="I139" i="3"/>
  <c r="J139" i="3"/>
  <c r="K139" i="3"/>
  <c r="L139" i="3"/>
  <c r="I140" i="3"/>
  <c r="J140" i="3"/>
  <c r="K140" i="3"/>
  <c r="L140" i="3"/>
  <c r="I141" i="3"/>
  <c r="J141" i="3"/>
  <c r="K141" i="3"/>
  <c r="L141" i="3"/>
  <c r="I142" i="3"/>
  <c r="J142" i="3"/>
  <c r="K142" i="3"/>
  <c r="L142" i="3"/>
  <c r="I143" i="3"/>
  <c r="J143" i="3"/>
  <c r="K143" i="3"/>
  <c r="L143" i="3"/>
  <c r="I144" i="3"/>
  <c r="J144" i="3"/>
  <c r="K144" i="3"/>
  <c r="L144" i="3"/>
  <c r="I145" i="3"/>
  <c r="J145" i="3"/>
  <c r="K145" i="3"/>
  <c r="L145" i="3"/>
  <c r="I146" i="3"/>
  <c r="J146" i="3"/>
  <c r="K146" i="3"/>
  <c r="L146" i="3"/>
  <c r="I147" i="3"/>
  <c r="J147" i="3"/>
  <c r="K147" i="3"/>
  <c r="L147" i="3"/>
  <c r="I148" i="3"/>
  <c r="J148" i="3"/>
  <c r="K148" i="3"/>
  <c r="L148" i="3"/>
  <c r="I149" i="3"/>
  <c r="J149" i="3"/>
  <c r="K149" i="3"/>
  <c r="L149" i="3"/>
  <c r="I150" i="3"/>
  <c r="J150" i="3"/>
  <c r="K150" i="3"/>
  <c r="L150" i="3"/>
  <c r="I151" i="3"/>
  <c r="J151" i="3"/>
  <c r="K151" i="3"/>
  <c r="L151" i="3"/>
  <c r="I152" i="3"/>
  <c r="J152" i="3"/>
  <c r="K152" i="3"/>
  <c r="L152" i="3"/>
  <c r="I153" i="3"/>
  <c r="J153" i="3"/>
  <c r="K153" i="3"/>
  <c r="L153" i="3"/>
  <c r="I154" i="3"/>
  <c r="J154" i="3"/>
  <c r="K154" i="3"/>
  <c r="L154" i="3"/>
  <c r="I155" i="3"/>
  <c r="J155" i="3"/>
  <c r="K155" i="3"/>
  <c r="L155" i="3"/>
  <c r="I156" i="3"/>
  <c r="J156" i="3"/>
  <c r="K156" i="3"/>
  <c r="L156" i="3"/>
  <c r="I157" i="3"/>
  <c r="J157" i="3"/>
  <c r="K157" i="3"/>
  <c r="L157" i="3"/>
  <c r="I158" i="3"/>
  <c r="J158" i="3"/>
  <c r="K158" i="3"/>
  <c r="L158" i="3"/>
  <c r="I159" i="3"/>
  <c r="J159" i="3"/>
  <c r="K159" i="3"/>
  <c r="L159" i="3"/>
  <c r="I160" i="3"/>
  <c r="J160" i="3"/>
  <c r="K160" i="3"/>
  <c r="L160" i="3"/>
  <c r="I161" i="3"/>
  <c r="J161" i="3"/>
  <c r="K161" i="3"/>
  <c r="L161" i="3"/>
  <c r="I162" i="3"/>
  <c r="J162" i="3"/>
  <c r="K162" i="3"/>
  <c r="L162" i="3"/>
  <c r="I163" i="3"/>
  <c r="J163" i="3"/>
  <c r="K163" i="3"/>
  <c r="L163" i="3"/>
  <c r="I164" i="3"/>
  <c r="J164" i="3"/>
  <c r="K164" i="3"/>
  <c r="L164" i="3"/>
  <c r="I165" i="3"/>
  <c r="J165" i="3"/>
  <c r="K165" i="3"/>
  <c r="L165" i="3"/>
  <c r="I166" i="3"/>
  <c r="J166" i="3"/>
  <c r="K166" i="3"/>
  <c r="L166" i="3"/>
  <c r="I167" i="3"/>
  <c r="J167" i="3"/>
  <c r="K167" i="3"/>
  <c r="L167" i="3"/>
  <c r="I168" i="3"/>
  <c r="J168" i="3"/>
  <c r="K168" i="3"/>
  <c r="L168" i="3"/>
  <c r="I169" i="3"/>
  <c r="J169" i="3"/>
  <c r="K169" i="3"/>
  <c r="L169" i="3"/>
  <c r="I170" i="3"/>
  <c r="J170" i="3"/>
  <c r="K170" i="3"/>
  <c r="L170" i="3"/>
  <c r="I171" i="3"/>
  <c r="J171" i="3"/>
  <c r="K171" i="3"/>
  <c r="L171" i="3"/>
  <c r="I172" i="3"/>
  <c r="J172" i="3"/>
  <c r="K172" i="3"/>
  <c r="L172" i="3"/>
  <c r="I173" i="3"/>
  <c r="J173" i="3"/>
  <c r="K173" i="3"/>
  <c r="L173" i="3"/>
  <c r="I174" i="3"/>
  <c r="J174" i="3"/>
  <c r="K174" i="3"/>
  <c r="L174" i="3"/>
  <c r="I175" i="3"/>
  <c r="J175" i="3"/>
  <c r="K175" i="3"/>
  <c r="L175" i="3"/>
  <c r="I176" i="3"/>
  <c r="J176" i="3"/>
  <c r="K176" i="3"/>
  <c r="L176" i="3"/>
  <c r="I177" i="3"/>
  <c r="J177" i="3"/>
  <c r="K177" i="3"/>
  <c r="L177" i="3"/>
  <c r="I178" i="3"/>
  <c r="J178" i="3"/>
  <c r="K178" i="3"/>
  <c r="L178" i="3"/>
  <c r="I179" i="3"/>
  <c r="J179" i="3"/>
  <c r="K179" i="3"/>
  <c r="L179" i="3"/>
  <c r="I180" i="3"/>
  <c r="J180" i="3"/>
  <c r="K180" i="3"/>
  <c r="L180" i="3"/>
  <c r="I181" i="3"/>
  <c r="J181" i="3"/>
  <c r="K181" i="3"/>
  <c r="L181" i="3"/>
  <c r="I182" i="3"/>
  <c r="J182" i="3"/>
  <c r="K182" i="3"/>
  <c r="L182" i="3"/>
  <c r="I183" i="3"/>
  <c r="J183" i="3"/>
  <c r="K183" i="3"/>
  <c r="L183" i="3"/>
  <c r="I184" i="3"/>
  <c r="J184" i="3"/>
  <c r="K184" i="3"/>
  <c r="L184" i="3"/>
  <c r="I185" i="3"/>
  <c r="J185" i="3"/>
  <c r="K185" i="3"/>
  <c r="L185" i="3"/>
  <c r="I186" i="3"/>
  <c r="J186" i="3"/>
  <c r="K186" i="3"/>
  <c r="L186" i="3"/>
  <c r="I187" i="3"/>
  <c r="J187" i="3"/>
  <c r="K187" i="3"/>
  <c r="L187" i="3"/>
  <c r="I188" i="3"/>
  <c r="J188" i="3"/>
  <c r="K188" i="3"/>
  <c r="L188" i="3"/>
  <c r="I189" i="3"/>
  <c r="J189" i="3"/>
  <c r="K189" i="3"/>
  <c r="L189" i="3"/>
  <c r="I190" i="3"/>
  <c r="J190" i="3"/>
  <c r="K190" i="3"/>
  <c r="L190" i="3"/>
  <c r="I191" i="3"/>
  <c r="J191" i="3"/>
  <c r="K191" i="3"/>
  <c r="L191" i="3"/>
  <c r="I192" i="3"/>
  <c r="J192" i="3"/>
  <c r="K192" i="3"/>
  <c r="L192" i="3"/>
  <c r="I193" i="3"/>
  <c r="J193" i="3"/>
  <c r="K193" i="3"/>
  <c r="L193" i="3"/>
  <c r="I194" i="3"/>
  <c r="J194" i="3"/>
  <c r="K194" i="3"/>
  <c r="L194" i="3"/>
  <c r="I195" i="3"/>
  <c r="J195" i="3"/>
  <c r="K195" i="3"/>
  <c r="L195" i="3"/>
  <c r="I196" i="3"/>
  <c r="J196" i="3"/>
  <c r="K196" i="3"/>
  <c r="L196" i="3"/>
  <c r="I197" i="3"/>
  <c r="J197" i="3"/>
  <c r="K197" i="3"/>
  <c r="L197" i="3"/>
  <c r="I198" i="3"/>
  <c r="J198" i="3"/>
  <c r="K198" i="3"/>
  <c r="L198" i="3"/>
  <c r="I199" i="3"/>
  <c r="J199" i="3"/>
  <c r="K199" i="3"/>
  <c r="L199" i="3"/>
  <c r="I200" i="3"/>
  <c r="J200" i="3"/>
  <c r="K200" i="3"/>
  <c r="L200" i="3"/>
  <c r="I201" i="3"/>
  <c r="J201" i="3"/>
  <c r="K201" i="3"/>
  <c r="L201" i="3"/>
  <c r="I202" i="3"/>
  <c r="J202" i="3"/>
  <c r="K202" i="3"/>
  <c r="L202" i="3"/>
  <c r="I203" i="3"/>
  <c r="J203" i="3"/>
  <c r="K203" i="3"/>
  <c r="L203" i="3"/>
  <c r="I204" i="3"/>
  <c r="J204" i="3"/>
  <c r="K204" i="3"/>
  <c r="L204" i="3"/>
  <c r="I205" i="3"/>
  <c r="J205" i="3"/>
  <c r="K205" i="3"/>
  <c r="L205" i="3"/>
  <c r="I206" i="3"/>
  <c r="J206" i="3"/>
  <c r="K206" i="3"/>
  <c r="L206" i="3"/>
  <c r="I207" i="3"/>
  <c r="J207" i="3"/>
  <c r="K207" i="3"/>
  <c r="L207" i="3"/>
  <c r="I208" i="3"/>
  <c r="J208" i="3"/>
  <c r="K208" i="3"/>
  <c r="L208" i="3"/>
  <c r="I209" i="3"/>
  <c r="J209" i="3"/>
  <c r="K209" i="3"/>
  <c r="L209" i="3"/>
  <c r="I210" i="3"/>
  <c r="J210" i="3"/>
  <c r="K210" i="3"/>
  <c r="L210" i="3"/>
  <c r="I211" i="3"/>
  <c r="J211" i="3"/>
  <c r="K211" i="3"/>
  <c r="L211" i="3"/>
  <c r="I212" i="3"/>
  <c r="J212" i="3"/>
  <c r="K212" i="3"/>
  <c r="L212" i="3"/>
  <c r="I213" i="3"/>
  <c r="J213" i="3"/>
  <c r="K213" i="3"/>
  <c r="L213" i="3"/>
  <c r="I214" i="3"/>
  <c r="J214" i="3"/>
  <c r="K214" i="3"/>
  <c r="L214" i="3"/>
  <c r="I215" i="3"/>
  <c r="J215" i="3"/>
  <c r="K215" i="3"/>
  <c r="L215" i="3"/>
  <c r="I216" i="3"/>
  <c r="J216" i="3"/>
  <c r="K216" i="3"/>
  <c r="L216" i="3"/>
  <c r="I217" i="3"/>
  <c r="J217" i="3"/>
  <c r="K217" i="3"/>
  <c r="L217" i="3"/>
  <c r="I218" i="3"/>
  <c r="J218" i="3"/>
  <c r="K218" i="3"/>
  <c r="L218" i="3"/>
  <c r="I219" i="3"/>
  <c r="J219" i="3"/>
  <c r="K219" i="3"/>
  <c r="L219" i="3"/>
  <c r="I220" i="3"/>
  <c r="J220" i="3"/>
  <c r="K220" i="3"/>
  <c r="L220" i="3"/>
  <c r="I221" i="3"/>
  <c r="J221" i="3"/>
  <c r="K221" i="3"/>
  <c r="L221" i="3"/>
  <c r="I222" i="3"/>
  <c r="J222" i="3"/>
  <c r="K222" i="3"/>
  <c r="L222" i="3"/>
  <c r="I223" i="3"/>
  <c r="J223" i="3"/>
  <c r="K223" i="3"/>
  <c r="L223" i="3"/>
  <c r="I224" i="3"/>
  <c r="J224" i="3"/>
  <c r="K224" i="3"/>
  <c r="L224" i="3"/>
  <c r="I225" i="3"/>
  <c r="J225" i="3"/>
  <c r="K225" i="3"/>
  <c r="L225" i="3"/>
  <c r="I226" i="3"/>
  <c r="J226" i="3"/>
  <c r="K226" i="3"/>
  <c r="L226" i="3"/>
  <c r="I227" i="3"/>
  <c r="J227" i="3"/>
  <c r="K227" i="3"/>
  <c r="L227" i="3"/>
  <c r="I228" i="3"/>
  <c r="J228" i="3"/>
  <c r="K228" i="3"/>
  <c r="L228" i="3"/>
  <c r="I229" i="3"/>
  <c r="J229" i="3"/>
  <c r="K229" i="3"/>
  <c r="L229" i="3"/>
  <c r="I230" i="3"/>
  <c r="J230" i="3"/>
  <c r="K230" i="3"/>
  <c r="L230" i="3"/>
  <c r="I231" i="3"/>
  <c r="J231" i="3"/>
  <c r="K231" i="3"/>
  <c r="L231" i="3"/>
  <c r="I232" i="3"/>
  <c r="J232" i="3"/>
  <c r="K232" i="3"/>
  <c r="L232" i="3"/>
  <c r="I233" i="3"/>
  <c r="J233" i="3"/>
  <c r="K233" i="3"/>
  <c r="L233" i="3"/>
  <c r="I234" i="3"/>
  <c r="J234" i="3"/>
  <c r="K234" i="3"/>
  <c r="L234" i="3"/>
  <c r="I235" i="3"/>
  <c r="J235" i="3"/>
  <c r="K235" i="3"/>
  <c r="L235" i="3"/>
  <c r="I236" i="3"/>
  <c r="J236" i="3"/>
  <c r="K236" i="3"/>
  <c r="L236" i="3"/>
  <c r="I237" i="3"/>
  <c r="J237" i="3"/>
  <c r="K237" i="3"/>
  <c r="L237" i="3"/>
  <c r="I238" i="3"/>
  <c r="J238" i="3"/>
  <c r="K238" i="3"/>
  <c r="L238" i="3"/>
  <c r="I239" i="3"/>
  <c r="J239" i="3"/>
  <c r="K239" i="3"/>
  <c r="L239" i="3"/>
  <c r="I240" i="3"/>
  <c r="J240" i="3"/>
  <c r="K240" i="3"/>
  <c r="L240" i="3"/>
  <c r="I241" i="3"/>
  <c r="J241" i="3"/>
  <c r="K241" i="3"/>
  <c r="L241" i="3"/>
  <c r="I242" i="3"/>
  <c r="J242" i="3"/>
  <c r="K242" i="3"/>
  <c r="L242" i="3"/>
  <c r="I243" i="3"/>
  <c r="J243" i="3"/>
  <c r="K243" i="3"/>
  <c r="L243" i="3"/>
  <c r="I244" i="3"/>
  <c r="J244" i="3"/>
  <c r="K244" i="3"/>
  <c r="L244" i="3"/>
  <c r="I245" i="3"/>
  <c r="J245" i="3"/>
  <c r="K245" i="3"/>
  <c r="L245" i="3"/>
  <c r="I246" i="3"/>
  <c r="J246" i="3"/>
  <c r="K246" i="3"/>
  <c r="L246" i="3"/>
  <c r="I247" i="3"/>
  <c r="J247" i="3"/>
  <c r="K247" i="3"/>
  <c r="L247" i="3"/>
  <c r="I248" i="3"/>
  <c r="J248" i="3"/>
  <c r="K248" i="3"/>
  <c r="L248" i="3"/>
  <c r="I249" i="3"/>
  <c r="J249" i="3"/>
  <c r="K249" i="3"/>
  <c r="L249" i="3"/>
  <c r="I250" i="3"/>
  <c r="J250" i="3"/>
  <c r="K250" i="3"/>
  <c r="L250" i="3"/>
  <c r="I251" i="3"/>
  <c r="J251" i="3"/>
  <c r="K251" i="3"/>
  <c r="L251" i="3"/>
  <c r="I252" i="3"/>
  <c r="J252" i="3"/>
  <c r="K252" i="3"/>
  <c r="L252" i="3"/>
  <c r="I253" i="3"/>
  <c r="J253" i="3"/>
  <c r="K253" i="3"/>
  <c r="L253" i="3"/>
  <c r="I254" i="3"/>
  <c r="J254" i="3"/>
  <c r="K254" i="3"/>
  <c r="L254" i="3"/>
  <c r="I255" i="3"/>
  <c r="J255" i="3"/>
  <c r="K255" i="3"/>
  <c r="L255" i="3"/>
  <c r="I256" i="3"/>
  <c r="J256" i="3"/>
  <c r="K256" i="3"/>
  <c r="L256" i="3"/>
  <c r="I257" i="3"/>
  <c r="J257" i="3"/>
  <c r="K257" i="3"/>
  <c r="L257" i="3"/>
  <c r="I258" i="3"/>
  <c r="J258" i="3"/>
  <c r="K258" i="3"/>
  <c r="L258" i="3"/>
  <c r="I259" i="3"/>
  <c r="J259" i="3"/>
  <c r="K259" i="3"/>
  <c r="L259" i="3"/>
  <c r="I260" i="3"/>
  <c r="J260" i="3"/>
  <c r="K260" i="3"/>
  <c r="L260" i="3"/>
  <c r="I261" i="3"/>
  <c r="J261" i="3"/>
  <c r="K261" i="3"/>
  <c r="L261" i="3"/>
  <c r="I262" i="3"/>
  <c r="J262" i="3"/>
  <c r="K262" i="3"/>
  <c r="L262" i="3"/>
  <c r="I263" i="3"/>
  <c r="J263" i="3"/>
  <c r="K263" i="3"/>
  <c r="L263" i="3"/>
  <c r="I264" i="3"/>
  <c r="J264" i="3"/>
  <c r="K264" i="3"/>
  <c r="L264" i="3"/>
  <c r="I265" i="3"/>
  <c r="J265" i="3"/>
  <c r="K265" i="3"/>
  <c r="L265" i="3"/>
  <c r="I266" i="3"/>
  <c r="J266" i="3"/>
  <c r="K266" i="3"/>
  <c r="L266" i="3"/>
  <c r="I267" i="3"/>
  <c r="J267" i="3"/>
  <c r="K267" i="3"/>
  <c r="L267" i="3"/>
  <c r="I268" i="3"/>
  <c r="J268" i="3"/>
  <c r="K268" i="3"/>
  <c r="L268" i="3"/>
  <c r="I269" i="3"/>
  <c r="J269" i="3"/>
  <c r="K269" i="3"/>
  <c r="L269" i="3"/>
  <c r="I270" i="3"/>
  <c r="J270" i="3"/>
  <c r="K270" i="3"/>
  <c r="L270" i="3"/>
  <c r="I271" i="3"/>
  <c r="J271" i="3"/>
  <c r="K271" i="3"/>
  <c r="L271" i="3"/>
  <c r="I272" i="3"/>
  <c r="J272" i="3"/>
  <c r="K272" i="3"/>
  <c r="L272" i="3"/>
  <c r="I273" i="3"/>
  <c r="J273" i="3"/>
  <c r="K273" i="3"/>
  <c r="L273" i="3"/>
  <c r="I274" i="3"/>
  <c r="J274" i="3"/>
  <c r="K274" i="3"/>
  <c r="L274" i="3"/>
  <c r="I275" i="3"/>
  <c r="J275" i="3"/>
  <c r="K275" i="3"/>
  <c r="L275" i="3"/>
  <c r="I276" i="3"/>
  <c r="J276" i="3"/>
  <c r="K276" i="3"/>
  <c r="L276" i="3"/>
  <c r="I277" i="3"/>
  <c r="J277" i="3"/>
  <c r="K277" i="3"/>
  <c r="L277" i="3"/>
  <c r="I278" i="3"/>
  <c r="J278" i="3"/>
  <c r="K278" i="3"/>
  <c r="L278" i="3"/>
  <c r="I279" i="3"/>
  <c r="J279" i="3"/>
  <c r="K279" i="3"/>
  <c r="L279" i="3"/>
  <c r="I280" i="3"/>
  <c r="J280" i="3"/>
  <c r="K280" i="3"/>
  <c r="L280" i="3"/>
  <c r="I281" i="3"/>
  <c r="J281" i="3"/>
  <c r="K281" i="3"/>
  <c r="L281" i="3"/>
  <c r="I282" i="3"/>
  <c r="J282" i="3"/>
  <c r="K282" i="3"/>
  <c r="L282" i="3"/>
  <c r="I283" i="3"/>
  <c r="J283" i="3"/>
  <c r="K283" i="3"/>
  <c r="L283" i="3"/>
  <c r="I284" i="3"/>
  <c r="J284" i="3"/>
  <c r="K284" i="3"/>
  <c r="L284" i="3"/>
  <c r="I285" i="3"/>
  <c r="J285" i="3"/>
  <c r="K285" i="3"/>
  <c r="L285" i="3"/>
  <c r="I286" i="3"/>
  <c r="J286" i="3"/>
  <c r="K286" i="3"/>
  <c r="L286" i="3"/>
  <c r="I287" i="3"/>
  <c r="J287" i="3"/>
  <c r="K287" i="3"/>
  <c r="L287" i="3"/>
  <c r="I288" i="3"/>
  <c r="J288" i="3"/>
  <c r="K288" i="3"/>
  <c r="L288" i="3"/>
  <c r="I289" i="3"/>
  <c r="J289" i="3"/>
  <c r="K289" i="3"/>
  <c r="L289" i="3"/>
  <c r="I290" i="3"/>
  <c r="J290" i="3"/>
  <c r="K290" i="3"/>
  <c r="L290" i="3"/>
  <c r="I291" i="3"/>
  <c r="J291" i="3"/>
  <c r="K291" i="3"/>
  <c r="L291" i="3"/>
  <c r="I292" i="3"/>
  <c r="J292" i="3"/>
  <c r="K292" i="3"/>
  <c r="L292" i="3"/>
  <c r="I293" i="3"/>
  <c r="J293" i="3"/>
  <c r="K293" i="3"/>
  <c r="L293" i="3"/>
  <c r="I294" i="3"/>
  <c r="J294" i="3"/>
  <c r="K294" i="3"/>
  <c r="L294" i="3"/>
  <c r="I295" i="3"/>
  <c r="J295" i="3"/>
  <c r="K295" i="3"/>
  <c r="L295" i="3"/>
  <c r="I296" i="3"/>
  <c r="J296" i="3"/>
  <c r="K296" i="3"/>
  <c r="L296" i="3"/>
  <c r="I297" i="3"/>
  <c r="J297" i="3"/>
  <c r="K297" i="3"/>
  <c r="L297" i="3"/>
  <c r="I298" i="3"/>
  <c r="J298" i="3"/>
  <c r="K298" i="3"/>
  <c r="L298" i="3"/>
  <c r="I299" i="3"/>
  <c r="J299" i="3"/>
  <c r="K299" i="3"/>
  <c r="L299" i="3"/>
  <c r="I300" i="3"/>
  <c r="J300" i="3"/>
  <c r="K300" i="3"/>
  <c r="L300" i="3"/>
  <c r="I301" i="3"/>
  <c r="J301" i="3"/>
  <c r="K301" i="3"/>
  <c r="L301" i="3"/>
  <c r="I302" i="3"/>
  <c r="J302" i="3"/>
  <c r="K302" i="3"/>
  <c r="L302" i="3"/>
  <c r="I303" i="3"/>
  <c r="J303" i="3"/>
  <c r="K303" i="3"/>
  <c r="L303" i="3"/>
  <c r="I304" i="3"/>
  <c r="J304" i="3"/>
  <c r="K304" i="3"/>
  <c r="L304" i="3"/>
  <c r="I305" i="3"/>
  <c r="J305" i="3"/>
  <c r="K305" i="3"/>
  <c r="L305" i="3"/>
  <c r="I306" i="3"/>
  <c r="J306" i="3"/>
  <c r="K306" i="3"/>
  <c r="L306" i="3"/>
  <c r="I307" i="3"/>
  <c r="J307" i="3"/>
  <c r="K307" i="3"/>
  <c r="L307" i="3"/>
  <c r="I308" i="3"/>
  <c r="J308" i="3"/>
  <c r="K308" i="3"/>
  <c r="L308" i="3"/>
  <c r="I309" i="3"/>
  <c r="J309" i="3"/>
  <c r="K309" i="3"/>
  <c r="L309" i="3"/>
  <c r="I310" i="3"/>
  <c r="J310" i="3"/>
  <c r="K310" i="3"/>
  <c r="L310" i="3"/>
  <c r="I311" i="3"/>
  <c r="J311" i="3"/>
  <c r="K311" i="3"/>
  <c r="L311" i="3"/>
  <c r="I312" i="3"/>
  <c r="J312" i="3"/>
  <c r="K312" i="3"/>
  <c r="L312" i="3"/>
  <c r="I313" i="3"/>
  <c r="J313" i="3"/>
  <c r="K313" i="3"/>
  <c r="L313" i="3"/>
  <c r="I314" i="3"/>
  <c r="J314" i="3"/>
  <c r="K314" i="3"/>
  <c r="L314" i="3"/>
  <c r="I315" i="3"/>
  <c r="J315" i="3"/>
  <c r="K315" i="3"/>
  <c r="L315" i="3"/>
  <c r="I316" i="3"/>
  <c r="J316" i="3"/>
  <c r="K316" i="3"/>
  <c r="L316" i="3"/>
  <c r="I317" i="3"/>
  <c r="J317" i="3"/>
  <c r="K317" i="3"/>
  <c r="L317" i="3"/>
  <c r="I318" i="3"/>
  <c r="J318" i="3"/>
  <c r="K318" i="3"/>
  <c r="L318" i="3"/>
  <c r="I319" i="3"/>
  <c r="J319" i="3"/>
  <c r="K319" i="3"/>
  <c r="L319" i="3"/>
  <c r="I320" i="3"/>
  <c r="J320" i="3"/>
  <c r="K320" i="3"/>
  <c r="L320" i="3"/>
  <c r="I321" i="3"/>
  <c r="J321" i="3"/>
  <c r="K321" i="3"/>
  <c r="L321" i="3"/>
  <c r="I322" i="3"/>
  <c r="J322" i="3"/>
  <c r="K322" i="3"/>
  <c r="L322" i="3"/>
  <c r="I323" i="3"/>
  <c r="J323" i="3"/>
  <c r="K323" i="3"/>
  <c r="L323" i="3"/>
  <c r="I324" i="3"/>
  <c r="J324" i="3"/>
  <c r="K324" i="3"/>
  <c r="L324" i="3"/>
  <c r="I325" i="3"/>
  <c r="J325" i="3"/>
  <c r="K325" i="3"/>
  <c r="L325" i="3"/>
  <c r="I326" i="3"/>
  <c r="J326" i="3"/>
  <c r="K326" i="3"/>
  <c r="L326" i="3"/>
  <c r="I327" i="3"/>
  <c r="J327" i="3"/>
  <c r="K327" i="3"/>
  <c r="L327" i="3"/>
  <c r="I328" i="3"/>
  <c r="J328" i="3"/>
  <c r="K328" i="3"/>
  <c r="L328" i="3"/>
  <c r="I329" i="3"/>
  <c r="J329" i="3"/>
  <c r="K329" i="3"/>
  <c r="L329" i="3"/>
  <c r="I330" i="3"/>
  <c r="J330" i="3"/>
  <c r="K330" i="3"/>
  <c r="L330" i="3"/>
  <c r="I331" i="3"/>
  <c r="J331" i="3"/>
  <c r="K331" i="3"/>
  <c r="L331" i="3"/>
  <c r="I332" i="3"/>
  <c r="J332" i="3"/>
  <c r="K332" i="3"/>
  <c r="L332" i="3"/>
  <c r="I333" i="3"/>
  <c r="J333" i="3"/>
  <c r="K333" i="3"/>
  <c r="L333" i="3"/>
  <c r="I334" i="3"/>
  <c r="J334" i="3"/>
  <c r="K334" i="3"/>
  <c r="L334" i="3"/>
  <c r="I335" i="3"/>
  <c r="J335" i="3"/>
  <c r="K335" i="3"/>
  <c r="L335" i="3"/>
  <c r="I336" i="3"/>
  <c r="J336" i="3"/>
  <c r="K336" i="3"/>
  <c r="L336" i="3"/>
  <c r="I337" i="3"/>
  <c r="J337" i="3"/>
  <c r="K337" i="3"/>
  <c r="L337" i="3"/>
  <c r="I338" i="3"/>
  <c r="J338" i="3"/>
  <c r="K338" i="3"/>
  <c r="L338" i="3"/>
  <c r="I339" i="3"/>
  <c r="J339" i="3"/>
  <c r="K339" i="3"/>
  <c r="L339" i="3"/>
  <c r="I340" i="3"/>
  <c r="J340" i="3"/>
  <c r="K340" i="3"/>
  <c r="L340" i="3"/>
  <c r="I341" i="3"/>
  <c r="J341" i="3"/>
  <c r="K341" i="3"/>
  <c r="L341" i="3"/>
  <c r="I342" i="3"/>
  <c r="J342" i="3"/>
  <c r="K342" i="3"/>
  <c r="L342" i="3"/>
  <c r="I343" i="3"/>
  <c r="J343" i="3"/>
  <c r="K343" i="3"/>
  <c r="L343" i="3"/>
  <c r="I344" i="3"/>
  <c r="J344" i="3"/>
  <c r="K344" i="3"/>
  <c r="L344" i="3"/>
  <c r="I345" i="3"/>
  <c r="J345" i="3"/>
  <c r="K345" i="3"/>
  <c r="L345" i="3"/>
  <c r="I346" i="3"/>
  <c r="J346" i="3"/>
  <c r="K346" i="3"/>
  <c r="L346" i="3"/>
  <c r="I347" i="3"/>
  <c r="J347" i="3"/>
  <c r="K347" i="3"/>
  <c r="L347" i="3"/>
  <c r="I348" i="3"/>
  <c r="J348" i="3"/>
  <c r="K348" i="3"/>
  <c r="L348" i="3"/>
  <c r="I349" i="3"/>
  <c r="J349" i="3"/>
  <c r="K349" i="3"/>
  <c r="L349" i="3"/>
  <c r="I350" i="3"/>
  <c r="J350" i="3"/>
  <c r="K350" i="3"/>
  <c r="L350" i="3"/>
  <c r="I351" i="3"/>
  <c r="J351" i="3"/>
  <c r="K351" i="3"/>
  <c r="L351" i="3"/>
  <c r="I352" i="3"/>
  <c r="J352" i="3"/>
  <c r="K352" i="3"/>
  <c r="L352" i="3"/>
  <c r="I353" i="3"/>
  <c r="J353" i="3"/>
  <c r="K353" i="3"/>
  <c r="L353" i="3"/>
  <c r="I354" i="3"/>
  <c r="J354" i="3"/>
  <c r="K354" i="3"/>
  <c r="L354" i="3"/>
  <c r="I355" i="3"/>
  <c r="J355" i="3"/>
  <c r="K355" i="3"/>
  <c r="L355" i="3"/>
  <c r="I356" i="3"/>
  <c r="J356" i="3"/>
  <c r="K356" i="3"/>
  <c r="L356" i="3"/>
  <c r="I357" i="3"/>
  <c r="J357" i="3"/>
  <c r="K357" i="3"/>
  <c r="L357" i="3"/>
  <c r="I358" i="3"/>
  <c r="J358" i="3"/>
  <c r="K358" i="3"/>
  <c r="L358" i="3"/>
  <c r="I359" i="3"/>
  <c r="J359" i="3"/>
  <c r="K359" i="3"/>
  <c r="L359" i="3"/>
  <c r="I360" i="3"/>
  <c r="J360" i="3"/>
  <c r="K360" i="3"/>
  <c r="L360" i="3"/>
  <c r="I361" i="3"/>
  <c r="J361" i="3"/>
  <c r="K361" i="3"/>
  <c r="L361" i="3"/>
  <c r="I362" i="3"/>
  <c r="J362" i="3"/>
  <c r="K362" i="3"/>
  <c r="L362" i="3"/>
  <c r="I363" i="3"/>
  <c r="J363" i="3"/>
  <c r="K363" i="3"/>
  <c r="L363" i="3"/>
  <c r="I364" i="3"/>
  <c r="J364" i="3"/>
  <c r="K364" i="3"/>
  <c r="L364" i="3"/>
  <c r="I365" i="3"/>
  <c r="J365" i="3"/>
  <c r="K365" i="3"/>
  <c r="L365" i="3"/>
  <c r="I366" i="3"/>
  <c r="J366" i="3"/>
  <c r="K366" i="3"/>
  <c r="L366" i="3"/>
  <c r="I367" i="3"/>
  <c r="J367" i="3"/>
  <c r="K367" i="3"/>
  <c r="L367" i="3"/>
  <c r="I368" i="3"/>
  <c r="J368" i="3"/>
  <c r="K368" i="3"/>
  <c r="L368" i="3"/>
  <c r="I369" i="3"/>
  <c r="J369" i="3"/>
  <c r="K369" i="3"/>
  <c r="L369" i="3"/>
  <c r="I370" i="3"/>
  <c r="J370" i="3"/>
  <c r="K370" i="3"/>
  <c r="L370" i="3"/>
  <c r="I371" i="3"/>
  <c r="J371" i="3"/>
  <c r="K371" i="3"/>
  <c r="L371" i="3"/>
  <c r="I372" i="3"/>
  <c r="J372" i="3"/>
  <c r="K372" i="3"/>
  <c r="L372" i="3"/>
  <c r="I373" i="3"/>
  <c r="J373" i="3"/>
  <c r="K373" i="3"/>
  <c r="L373" i="3"/>
  <c r="I374" i="3"/>
  <c r="J374" i="3"/>
  <c r="K374" i="3"/>
  <c r="L374" i="3"/>
  <c r="I375" i="3"/>
  <c r="J375" i="3"/>
  <c r="K375" i="3"/>
  <c r="L375" i="3"/>
  <c r="I376" i="3"/>
  <c r="J376" i="3"/>
  <c r="K376" i="3"/>
  <c r="L376" i="3"/>
  <c r="I377" i="3"/>
  <c r="J377" i="3"/>
  <c r="K377" i="3"/>
  <c r="L377" i="3"/>
  <c r="I378" i="3"/>
  <c r="J378" i="3"/>
  <c r="K378" i="3"/>
  <c r="L378" i="3"/>
  <c r="I379" i="3"/>
  <c r="J379" i="3"/>
  <c r="K379" i="3"/>
  <c r="L379" i="3"/>
  <c r="I380" i="3"/>
  <c r="J380" i="3"/>
  <c r="K380" i="3"/>
  <c r="L380" i="3"/>
  <c r="I381" i="3"/>
  <c r="J381" i="3"/>
  <c r="K381" i="3"/>
  <c r="L381" i="3"/>
  <c r="I382" i="3"/>
  <c r="J382" i="3"/>
  <c r="K382" i="3"/>
  <c r="L382" i="3"/>
  <c r="I383" i="3"/>
  <c r="J383" i="3"/>
  <c r="K383" i="3"/>
  <c r="L383" i="3"/>
  <c r="I384" i="3"/>
  <c r="J384" i="3"/>
  <c r="K384" i="3"/>
  <c r="L384" i="3"/>
  <c r="I385" i="3"/>
  <c r="J385" i="3"/>
  <c r="K385" i="3"/>
  <c r="L385" i="3"/>
  <c r="I386" i="3"/>
  <c r="J386" i="3"/>
  <c r="K386" i="3"/>
  <c r="L386" i="3"/>
  <c r="I387" i="3"/>
  <c r="J387" i="3"/>
  <c r="K387" i="3"/>
  <c r="L387" i="3"/>
  <c r="I388" i="3"/>
  <c r="J388" i="3"/>
  <c r="K388" i="3"/>
  <c r="L388" i="3"/>
  <c r="I389" i="3"/>
  <c r="J389" i="3"/>
  <c r="K389" i="3"/>
  <c r="L389" i="3"/>
  <c r="I390" i="3"/>
  <c r="J390" i="3"/>
  <c r="K390" i="3"/>
  <c r="L390" i="3"/>
  <c r="I391" i="3"/>
  <c r="J391" i="3"/>
  <c r="K391" i="3"/>
  <c r="L391" i="3"/>
  <c r="I392" i="3"/>
  <c r="J392" i="3"/>
  <c r="K392" i="3"/>
  <c r="L392" i="3"/>
  <c r="I393" i="3"/>
  <c r="J393" i="3"/>
  <c r="K393" i="3"/>
  <c r="L393" i="3"/>
  <c r="I394" i="3"/>
  <c r="J394" i="3"/>
  <c r="K394" i="3"/>
  <c r="L394" i="3"/>
  <c r="I395" i="3"/>
  <c r="J395" i="3"/>
  <c r="K395" i="3"/>
  <c r="L395" i="3"/>
  <c r="I396" i="3"/>
  <c r="J396" i="3"/>
  <c r="K396" i="3"/>
  <c r="L396" i="3"/>
  <c r="I397" i="3"/>
  <c r="J397" i="3"/>
  <c r="K397" i="3"/>
  <c r="L397" i="3"/>
  <c r="I398" i="3"/>
  <c r="J398" i="3"/>
  <c r="K398" i="3"/>
  <c r="L398" i="3"/>
  <c r="I399" i="3"/>
  <c r="J399" i="3"/>
  <c r="K399" i="3"/>
  <c r="L399" i="3"/>
  <c r="I400" i="3"/>
  <c r="J400" i="3"/>
  <c r="K400" i="3"/>
  <c r="L400" i="3"/>
  <c r="I401" i="3"/>
  <c r="J401" i="3"/>
  <c r="K401" i="3"/>
  <c r="L401" i="3"/>
  <c r="I402" i="3"/>
  <c r="J402" i="3"/>
  <c r="K402" i="3"/>
  <c r="L402" i="3"/>
  <c r="I403" i="3"/>
  <c r="J403" i="3"/>
  <c r="K403" i="3"/>
  <c r="L403" i="3"/>
  <c r="I404" i="3"/>
  <c r="J404" i="3"/>
  <c r="K404" i="3"/>
  <c r="L404" i="3"/>
  <c r="I405" i="3"/>
  <c r="J405" i="3"/>
  <c r="K405" i="3"/>
  <c r="L405" i="3"/>
  <c r="I406" i="3"/>
  <c r="J406" i="3"/>
  <c r="K406" i="3"/>
  <c r="L406" i="3"/>
  <c r="I407" i="3"/>
  <c r="J407" i="3"/>
  <c r="K407" i="3"/>
  <c r="L407" i="3"/>
  <c r="I408" i="3"/>
  <c r="J408" i="3"/>
  <c r="K408" i="3"/>
  <c r="L408" i="3"/>
  <c r="I409" i="3"/>
  <c r="J409" i="3"/>
  <c r="K409" i="3"/>
  <c r="L409" i="3"/>
  <c r="I410" i="3"/>
  <c r="J410" i="3"/>
  <c r="K410" i="3"/>
  <c r="L410" i="3"/>
  <c r="I411" i="3"/>
  <c r="J411" i="3"/>
  <c r="K411" i="3"/>
  <c r="L411" i="3"/>
  <c r="I412" i="3"/>
  <c r="J412" i="3"/>
  <c r="K412" i="3"/>
  <c r="L412" i="3"/>
  <c r="I413" i="3"/>
  <c r="J413" i="3"/>
  <c r="K413" i="3"/>
  <c r="L413" i="3"/>
  <c r="I414" i="3"/>
  <c r="J414" i="3"/>
  <c r="K414" i="3"/>
  <c r="L414" i="3"/>
  <c r="I415" i="3"/>
  <c r="J415" i="3"/>
  <c r="K415" i="3"/>
  <c r="L415" i="3"/>
  <c r="I416" i="3"/>
  <c r="J416" i="3"/>
  <c r="K416" i="3"/>
  <c r="L416" i="3"/>
  <c r="I417" i="3"/>
  <c r="J417" i="3"/>
  <c r="K417" i="3"/>
  <c r="L417" i="3"/>
  <c r="I418" i="3"/>
  <c r="J418" i="3"/>
  <c r="K418" i="3"/>
  <c r="L418" i="3"/>
  <c r="I419" i="3"/>
  <c r="J419" i="3"/>
  <c r="K419" i="3"/>
  <c r="L419" i="3"/>
  <c r="I420" i="3"/>
  <c r="J420" i="3"/>
  <c r="K420" i="3"/>
  <c r="L420" i="3"/>
  <c r="I421" i="3"/>
  <c r="J421" i="3"/>
  <c r="K421" i="3"/>
  <c r="L421" i="3"/>
  <c r="I422" i="3"/>
  <c r="J422" i="3"/>
  <c r="K422" i="3"/>
  <c r="L422" i="3"/>
  <c r="I423" i="3"/>
  <c r="J423" i="3"/>
  <c r="K423" i="3"/>
  <c r="L423" i="3"/>
  <c r="I424" i="3"/>
  <c r="J424" i="3"/>
  <c r="K424" i="3"/>
  <c r="L424" i="3"/>
  <c r="I425" i="3"/>
  <c r="J425" i="3"/>
  <c r="K425" i="3"/>
  <c r="L425" i="3"/>
  <c r="I426" i="3"/>
  <c r="J426" i="3"/>
  <c r="K426" i="3"/>
  <c r="L426" i="3"/>
  <c r="I427" i="3"/>
  <c r="J427" i="3"/>
  <c r="K427" i="3"/>
  <c r="L427" i="3"/>
  <c r="I428" i="3"/>
  <c r="J428" i="3"/>
  <c r="K428" i="3"/>
  <c r="L428" i="3"/>
  <c r="I429" i="3"/>
  <c r="J429" i="3"/>
  <c r="K429" i="3"/>
  <c r="L429" i="3"/>
  <c r="I430" i="3"/>
  <c r="J430" i="3"/>
  <c r="K430" i="3"/>
  <c r="L430" i="3"/>
  <c r="I431" i="3"/>
  <c r="J431" i="3"/>
  <c r="K431" i="3"/>
  <c r="L431" i="3"/>
  <c r="I432" i="3"/>
  <c r="J432" i="3"/>
  <c r="K432" i="3"/>
  <c r="L432" i="3"/>
  <c r="I433" i="3"/>
  <c r="J433" i="3"/>
  <c r="K433" i="3"/>
  <c r="L433" i="3"/>
  <c r="I434" i="3"/>
  <c r="J434" i="3"/>
  <c r="K434" i="3"/>
  <c r="L434" i="3"/>
  <c r="I435" i="3"/>
  <c r="J435" i="3"/>
  <c r="K435" i="3"/>
  <c r="L435" i="3"/>
  <c r="I436" i="3"/>
  <c r="J436" i="3"/>
  <c r="K436" i="3"/>
  <c r="L436" i="3"/>
  <c r="I437" i="3"/>
  <c r="J437" i="3"/>
  <c r="K437" i="3"/>
  <c r="L437" i="3"/>
  <c r="I438" i="3"/>
  <c r="J438" i="3"/>
  <c r="K438" i="3"/>
  <c r="L438" i="3"/>
  <c r="I439" i="3"/>
  <c r="J439" i="3"/>
  <c r="K439" i="3"/>
  <c r="L439" i="3"/>
  <c r="I440" i="3"/>
  <c r="J440" i="3"/>
  <c r="K440" i="3"/>
  <c r="L440" i="3"/>
  <c r="I441" i="3"/>
  <c r="J441" i="3"/>
  <c r="K441" i="3"/>
  <c r="L441" i="3"/>
  <c r="I442" i="3"/>
  <c r="J442" i="3"/>
  <c r="K442" i="3"/>
  <c r="L442" i="3"/>
  <c r="I443" i="3"/>
  <c r="J443" i="3"/>
  <c r="K443" i="3"/>
  <c r="L443" i="3"/>
  <c r="I444" i="3"/>
  <c r="J444" i="3"/>
  <c r="K444" i="3"/>
  <c r="L444" i="3"/>
  <c r="I445" i="3"/>
  <c r="J445" i="3"/>
  <c r="K445" i="3"/>
  <c r="L445" i="3"/>
  <c r="I446" i="3"/>
  <c r="J446" i="3"/>
  <c r="K446" i="3"/>
  <c r="L446" i="3"/>
  <c r="I447" i="3"/>
  <c r="J447" i="3"/>
  <c r="K447" i="3"/>
  <c r="L447" i="3"/>
  <c r="I448" i="3"/>
  <c r="J448" i="3"/>
  <c r="K448" i="3"/>
  <c r="L448" i="3"/>
  <c r="I449" i="3"/>
  <c r="J449" i="3"/>
  <c r="K449" i="3"/>
  <c r="L449" i="3"/>
  <c r="I450" i="3"/>
  <c r="J450" i="3"/>
  <c r="K450" i="3"/>
  <c r="L450" i="3"/>
  <c r="I451" i="3"/>
  <c r="J451" i="3"/>
  <c r="K451" i="3"/>
  <c r="L451" i="3"/>
  <c r="I452" i="3"/>
  <c r="J452" i="3"/>
  <c r="K452" i="3"/>
  <c r="L452" i="3"/>
  <c r="I453" i="3"/>
  <c r="J453" i="3"/>
  <c r="K453" i="3"/>
  <c r="L453" i="3"/>
  <c r="I454" i="3"/>
  <c r="J454" i="3"/>
  <c r="K454" i="3"/>
  <c r="L454" i="3"/>
  <c r="I455" i="3"/>
  <c r="J455" i="3"/>
  <c r="K455" i="3"/>
  <c r="L455" i="3"/>
  <c r="I456" i="3"/>
  <c r="J456" i="3"/>
  <c r="K456" i="3"/>
  <c r="L456" i="3"/>
  <c r="I457" i="3"/>
  <c r="J457" i="3"/>
  <c r="K457" i="3"/>
  <c r="L457" i="3"/>
  <c r="I458" i="3"/>
  <c r="J458" i="3"/>
  <c r="K458" i="3"/>
  <c r="L458" i="3"/>
  <c r="I459" i="3"/>
  <c r="J459" i="3"/>
  <c r="K459" i="3"/>
  <c r="L459" i="3"/>
  <c r="I460" i="3"/>
  <c r="J460" i="3"/>
  <c r="K460" i="3"/>
  <c r="L460" i="3"/>
  <c r="I461" i="3"/>
  <c r="J461" i="3"/>
  <c r="K461" i="3"/>
  <c r="L461" i="3"/>
  <c r="I462" i="3"/>
  <c r="J462" i="3"/>
  <c r="K462" i="3"/>
  <c r="L462" i="3"/>
  <c r="I463" i="3"/>
  <c r="J463" i="3"/>
  <c r="K463" i="3"/>
  <c r="L463" i="3"/>
  <c r="I464" i="3"/>
  <c r="J464" i="3"/>
  <c r="K464" i="3"/>
  <c r="L464" i="3"/>
  <c r="I465" i="3"/>
  <c r="J465" i="3"/>
  <c r="K465" i="3"/>
  <c r="L465" i="3"/>
  <c r="I466" i="3"/>
  <c r="J466" i="3"/>
  <c r="K466" i="3"/>
  <c r="L466" i="3"/>
  <c r="I467" i="3"/>
  <c r="J467" i="3"/>
  <c r="K467" i="3"/>
  <c r="L467" i="3"/>
  <c r="I468" i="3"/>
  <c r="J468" i="3"/>
  <c r="K468" i="3"/>
  <c r="L468" i="3"/>
  <c r="I469" i="3"/>
  <c r="J469" i="3"/>
  <c r="K469" i="3"/>
  <c r="L469" i="3"/>
  <c r="I470" i="3"/>
  <c r="J470" i="3"/>
  <c r="K470" i="3"/>
  <c r="L470" i="3"/>
  <c r="I471" i="3"/>
  <c r="J471" i="3"/>
  <c r="K471" i="3"/>
  <c r="L471" i="3"/>
  <c r="I472" i="3"/>
  <c r="J472" i="3"/>
  <c r="K472" i="3"/>
  <c r="L472" i="3"/>
  <c r="I473" i="3"/>
  <c r="J473" i="3"/>
  <c r="K473" i="3"/>
  <c r="L473" i="3"/>
  <c r="I474" i="3"/>
  <c r="J474" i="3"/>
  <c r="K474" i="3"/>
  <c r="L474" i="3"/>
  <c r="I475" i="3"/>
  <c r="J475" i="3"/>
  <c r="K475" i="3"/>
  <c r="L475" i="3"/>
  <c r="I476" i="3"/>
  <c r="J476" i="3"/>
  <c r="K476" i="3"/>
  <c r="L476" i="3"/>
  <c r="I477" i="3"/>
  <c r="J477" i="3"/>
  <c r="K477" i="3"/>
  <c r="L477" i="3"/>
  <c r="I478" i="3"/>
  <c r="J478" i="3"/>
  <c r="K478" i="3"/>
  <c r="L478" i="3"/>
  <c r="I479" i="3"/>
  <c r="J479" i="3"/>
  <c r="K479" i="3"/>
  <c r="L479" i="3"/>
  <c r="I480" i="3"/>
  <c r="J480" i="3"/>
  <c r="K480" i="3"/>
  <c r="L480" i="3"/>
  <c r="I481" i="3"/>
  <c r="J481" i="3"/>
  <c r="K481" i="3"/>
  <c r="L481" i="3"/>
  <c r="I482" i="3"/>
  <c r="J482" i="3"/>
  <c r="K482" i="3"/>
  <c r="L482" i="3"/>
  <c r="I483" i="3"/>
  <c r="J483" i="3"/>
  <c r="K483" i="3"/>
  <c r="L483" i="3"/>
  <c r="I484" i="3"/>
  <c r="J484" i="3"/>
  <c r="K484" i="3"/>
  <c r="L484" i="3"/>
  <c r="I485" i="3"/>
  <c r="J485" i="3"/>
  <c r="K485" i="3"/>
  <c r="L485" i="3"/>
  <c r="I486" i="3"/>
  <c r="J486" i="3"/>
  <c r="K486" i="3"/>
  <c r="L486" i="3"/>
  <c r="I487" i="3"/>
  <c r="J487" i="3"/>
  <c r="K487" i="3"/>
  <c r="L487" i="3"/>
  <c r="I488" i="3"/>
  <c r="J488" i="3"/>
  <c r="K488" i="3"/>
  <c r="L488" i="3"/>
  <c r="I489" i="3"/>
  <c r="J489" i="3"/>
  <c r="K489" i="3"/>
  <c r="L489" i="3"/>
  <c r="I490" i="3"/>
  <c r="J490" i="3"/>
  <c r="K490" i="3"/>
  <c r="L490" i="3"/>
  <c r="I491" i="3"/>
  <c r="J491" i="3"/>
  <c r="K491" i="3"/>
  <c r="L491" i="3"/>
  <c r="I492" i="3"/>
  <c r="J492" i="3"/>
  <c r="K492" i="3"/>
  <c r="L492" i="3"/>
  <c r="I493" i="3"/>
  <c r="J493" i="3"/>
  <c r="K493" i="3"/>
  <c r="L493" i="3"/>
  <c r="I494" i="3"/>
  <c r="J494" i="3"/>
  <c r="K494" i="3"/>
  <c r="L494" i="3"/>
  <c r="I495" i="3"/>
  <c r="J495" i="3"/>
  <c r="K495" i="3"/>
  <c r="L495" i="3"/>
  <c r="I496" i="3"/>
  <c r="J496" i="3"/>
  <c r="K496" i="3"/>
  <c r="L496" i="3"/>
  <c r="I497" i="3"/>
  <c r="J497" i="3"/>
  <c r="K497" i="3"/>
  <c r="L497" i="3"/>
  <c r="I498" i="3"/>
  <c r="J498" i="3"/>
  <c r="K498" i="3"/>
  <c r="L498" i="3"/>
  <c r="I499" i="3"/>
  <c r="J499" i="3"/>
  <c r="K499" i="3"/>
  <c r="L499" i="3"/>
  <c r="I500" i="3"/>
  <c r="J500" i="3"/>
  <c r="K500" i="3"/>
  <c r="L500" i="3"/>
  <c r="I501" i="3"/>
  <c r="J501" i="3"/>
  <c r="K501" i="3"/>
  <c r="L501" i="3"/>
  <c r="I502" i="3"/>
  <c r="J502" i="3"/>
  <c r="K502" i="3"/>
  <c r="L502" i="3"/>
  <c r="I503" i="3"/>
  <c r="J503" i="3"/>
  <c r="K503" i="3"/>
  <c r="L503" i="3"/>
  <c r="I504" i="3"/>
  <c r="J504" i="3"/>
  <c r="K504" i="3"/>
  <c r="L504" i="3"/>
  <c r="I505" i="3"/>
  <c r="J505" i="3"/>
  <c r="K505" i="3"/>
  <c r="L505" i="3"/>
  <c r="I506" i="3"/>
  <c r="J506" i="3"/>
  <c r="K506" i="3"/>
  <c r="L506" i="3"/>
  <c r="I507" i="3"/>
  <c r="J507" i="3"/>
  <c r="K507" i="3"/>
  <c r="L507" i="3"/>
  <c r="I508" i="3"/>
  <c r="J508" i="3"/>
  <c r="K508" i="3"/>
  <c r="L508" i="3"/>
  <c r="I509" i="3"/>
  <c r="J509" i="3"/>
  <c r="K509" i="3"/>
  <c r="L509" i="3"/>
  <c r="I510" i="3"/>
  <c r="J510" i="3"/>
  <c r="K510" i="3"/>
  <c r="L510" i="3"/>
  <c r="I511" i="3"/>
  <c r="J511" i="3"/>
  <c r="K511" i="3"/>
  <c r="L511" i="3"/>
  <c r="I512" i="3"/>
  <c r="J512" i="3"/>
  <c r="K512" i="3"/>
  <c r="L512" i="3"/>
  <c r="I513" i="3"/>
  <c r="J513" i="3"/>
  <c r="K513" i="3"/>
  <c r="L513" i="3"/>
  <c r="I514" i="3"/>
  <c r="J514" i="3"/>
  <c r="K514" i="3"/>
  <c r="L514" i="3"/>
  <c r="I515" i="3"/>
  <c r="J515" i="3"/>
  <c r="K515" i="3"/>
  <c r="L515" i="3"/>
  <c r="I516" i="3"/>
  <c r="J516" i="3"/>
  <c r="K516" i="3"/>
  <c r="L516" i="3"/>
  <c r="I517" i="3"/>
  <c r="J517" i="3"/>
  <c r="K517" i="3"/>
  <c r="L517" i="3"/>
  <c r="I518" i="3"/>
  <c r="J518" i="3"/>
  <c r="K518" i="3"/>
  <c r="L518" i="3"/>
  <c r="I519" i="3"/>
  <c r="J519" i="3"/>
  <c r="K519" i="3"/>
  <c r="L519" i="3"/>
  <c r="I520" i="3"/>
  <c r="J520" i="3"/>
  <c r="K520" i="3"/>
  <c r="L520" i="3"/>
  <c r="I521" i="3"/>
  <c r="J521" i="3"/>
  <c r="K521" i="3"/>
  <c r="L521" i="3"/>
  <c r="I522" i="3"/>
  <c r="J522" i="3"/>
  <c r="K522" i="3"/>
  <c r="L522" i="3"/>
  <c r="I523" i="3"/>
  <c r="J523" i="3"/>
  <c r="K523" i="3"/>
  <c r="L523" i="3"/>
  <c r="I524" i="3"/>
  <c r="J524" i="3"/>
  <c r="K524" i="3"/>
  <c r="L524" i="3"/>
  <c r="I525" i="3"/>
  <c r="J525" i="3"/>
  <c r="K525" i="3"/>
  <c r="L525" i="3"/>
  <c r="I526" i="3"/>
  <c r="J526" i="3"/>
  <c r="K526" i="3"/>
  <c r="L526" i="3"/>
  <c r="I527" i="3"/>
  <c r="J527" i="3"/>
  <c r="K527" i="3"/>
  <c r="L527" i="3"/>
  <c r="I528" i="3"/>
  <c r="J528" i="3"/>
  <c r="K528" i="3"/>
  <c r="L528" i="3"/>
  <c r="I529" i="3"/>
  <c r="J529" i="3"/>
  <c r="K529" i="3"/>
  <c r="L529" i="3"/>
  <c r="I530" i="3"/>
  <c r="J530" i="3"/>
  <c r="K530" i="3"/>
  <c r="L530" i="3"/>
  <c r="I531" i="3"/>
  <c r="J531" i="3"/>
  <c r="K531" i="3"/>
  <c r="L531" i="3"/>
  <c r="I532" i="3"/>
  <c r="J532" i="3"/>
  <c r="K532" i="3"/>
  <c r="L532" i="3"/>
  <c r="I533" i="3"/>
  <c r="J533" i="3"/>
  <c r="K533" i="3"/>
  <c r="L533" i="3"/>
  <c r="I534" i="3"/>
  <c r="J534" i="3"/>
  <c r="K534" i="3"/>
  <c r="L534" i="3"/>
  <c r="I535" i="3"/>
  <c r="J535" i="3"/>
  <c r="K535" i="3"/>
  <c r="L535" i="3"/>
  <c r="I536" i="3"/>
  <c r="J536" i="3"/>
  <c r="K536" i="3"/>
  <c r="L536" i="3"/>
  <c r="I537" i="3"/>
  <c r="J537" i="3"/>
  <c r="K537" i="3"/>
  <c r="L537" i="3"/>
  <c r="I538" i="3"/>
  <c r="J538" i="3"/>
  <c r="K538" i="3"/>
  <c r="L538" i="3"/>
  <c r="I539" i="3"/>
  <c r="J539" i="3"/>
  <c r="K539" i="3"/>
  <c r="L539" i="3"/>
  <c r="I540" i="3"/>
  <c r="J540" i="3"/>
  <c r="K540" i="3"/>
  <c r="L540" i="3"/>
  <c r="I541" i="3"/>
  <c r="J541" i="3"/>
  <c r="K541" i="3"/>
  <c r="L541" i="3"/>
  <c r="I542" i="3"/>
  <c r="J542" i="3"/>
  <c r="K542" i="3"/>
  <c r="L542" i="3"/>
  <c r="I543" i="3"/>
  <c r="J543" i="3"/>
  <c r="K543" i="3"/>
  <c r="L543" i="3"/>
  <c r="I544" i="3"/>
  <c r="J544" i="3"/>
  <c r="K544" i="3"/>
  <c r="L544" i="3"/>
  <c r="I545" i="3"/>
  <c r="J545" i="3"/>
  <c r="K545" i="3"/>
  <c r="L545" i="3"/>
  <c r="I546" i="3"/>
  <c r="J546" i="3"/>
  <c r="K546" i="3"/>
  <c r="L546" i="3"/>
  <c r="I547" i="3"/>
  <c r="J547" i="3"/>
  <c r="K547" i="3"/>
  <c r="L547" i="3"/>
  <c r="I548" i="3"/>
  <c r="J548" i="3"/>
  <c r="K548" i="3"/>
  <c r="L548" i="3"/>
  <c r="I549" i="3"/>
  <c r="J549" i="3"/>
  <c r="K549" i="3"/>
  <c r="L549" i="3"/>
  <c r="I550" i="3"/>
  <c r="J550" i="3"/>
  <c r="K550" i="3"/>
  <c r="L550" i="3"/>
  <c r="I551" i="3"/>
  <c r="J551" i="3"/>
  <c r="K551" i="3"/>
  <c r="L551" i="3"/>
  <c r="I552" i="3"/>
  <c r="J552" i="3"/>
  <c r="K552" i="3"/>
  <c r="L552" i="3"/>
  <c r="I553" i="3"/>
  <c r="J553" i="3"/>
  <c r="K553" i="3"/>
  <c r="L553" i="3"/>
  <c r="I554" i="3"/>
  <c r="J554" i="3"/>
  <c r="K554" i="3"/>
  <c r="L554" i="3"/>
  <c r="I555" i="3"/>
  <c r="J555" i="3"/>
  <c r="K555" i="3"/>
  <c r="L555" i="3"/>
  <c r="I556" i="3"/>
  <c r="J556" i="3"/>
  <c r="K556" i="3"/>
  <c r="L556" i="3"/>
  <c r="I557" i="3"/>
  <c r="J557" i="3"/>
  <c r="K557" i="3"/>
  <c r="L557" i="3"/>
  <c r="I558" i="3"/>
  <c r="J558" i="3"/>
  <c r="K558" i="3"/>
  <c r="L558" i="3"/>
  <c r="I559" i="3"/>
  <c r="J559" i="3"/>
  <c r="K559" i="3"/>
  <c r="L559" i="3"/>
  <c r="I560" i="3"/>
  <c r="J560" i="3"/>
  <c r="K560" i="3"/>
  <c r="L560" i="3"/>
  <c r="I561" i="3"/>
  <c r="J561" i="3"/>
  <c r="K561" i="3"/>
  <c r="L561" i="3"/>
  <c r="I562" i="3"/>
  <c r="J562" i="3"/>
  <c r="K562" i="3"/>
  <c r="L562" i="3"/>
  <c r="I563" i="3"/>
  <c r="J563" i="3"/>
  <c r="K563" i="3"/>
  <c r="L563" i="3"/>
  <c r="I564" i="3"/>
  <c r="J564" i="3"/>
  <c r="K564" i="3"/>
  <c r="L564" i="3"/>
  <c r="I565" i="3"/>
  <c r="J565" i="3"/>
  <c r="K565" i="3"/>
  <c r="L565" i="3"/>
  <c r="I566" i="3"/>
  <c r="J566" i="3"/>
  <c r="K566" i="3"/>
  <c r="L566" i="3"/>
  <c r="I567" i="3"/>
  <c r="J567" i="3"/>
  <c r="K567" i="3"/>
  <c r="L567" i="3"/>
  <c r="I568" i="3"/>
  <c r="J568" i="3"/>
  <c r="K568" i="3"/>
  <c r="L568" i="3"/>
  <c r="I569" i="3"/>
  <c r="J569" i="3"/>
  <c r="K569" i="3"/>
  <c r="L569" i="3"/>
  <c r="I570" i="3"/>
  <c r="J570" i="3"/>
  <c r="K570" i="3"/>
  <c r="L570" i="3"/>
  <c r="I571" i="3"/>
  <c r="J571" i="3"/>
  <c r="K571" i="3"/>
  <c r="L571" i="3"/>
  <c r="I572" i="3"/>
  <c r="J572" i="3"/>
  <c r="K572" i="3"/>
  <c r="L572" i="3"/>
  <c r="I573" i="3"/>
  <c r="J573" i="3"/>
  <c r="K573" i="3"/>
  <c r="L573" i="3"/>
  <c r="I574" i="3"/>
  <c r="J574" i="3"/>
  <c r="K574" i="3"/>
  <c r="L574" i="3"/>
  <c r="I575" i="3"/>
  <c r="J575" i="3"/>
  <c r="K575" i="3"/>
  <c r="L575" i="3"/>
  <c r="I576" i="3"/>
  <c r="J576" i="3"/>
  <c r="K576" i="3"/>
  <c r="L576" i="3"/>
  <c r="I577" i="3"/>
  <c r="J577" i="3"/>
  <c r="K577" i="3"/>
  <c r="L577" i="3"/>
  <c r="I578" i="3"/>
  <c r="J578" i="3"/>
  <c r="K578" i="3"/>
  <c r="L578" i="3"/>
  <c r="I579" i="3"/>
  <c r="J579" i="3"/>
  <c r="K579" i="3"/>
  <c r="L579" i="3"/>
  <c r="I580" i="3"/>
  <c r="J580" i="3"/>
  <c r="K580" i="3"/>
  <c r="L580" i="3"/>
  <c r="I581" i="3"/>
  <c r="J581" i="3"/>
  <c r="K581" i="3"/>
  <c r="L581" i="3"/>
  <c r="I582" i="3"/>
  <c r="J582" i="3"/>
  <c r="K582" i="3"/>
  <c r="L582" i="3"/>
  <c r="I583" i="3"/>
  <c r="J583" i="3"/>
  <c r="K583" i="3"/>
  <c r="L583" i="3"/>
  <c r="I584" i="3"/>
  <c r="J584" i="3"/>
  <c r="K584" i="3"/>
  <c r="L584" i="3"/>
  <c r="I585" i="3"/>
  <c r="J585" i="3"/>
  <c r="K585" i="3"/>
  <c r="L585" i="3"/>
  <c r="I586" i="3"/>
  <c r="J586" i="3"/>
  <c r="K586" i="3"/>
  <c r="L586" i="3"/>
  <c r="I587" i="3"/>
  <c r="J587" i="3"/>
  <c r="K587" i="3"/>
  <c r="L587" i="3"/>
  <c r="I588" i="3"/>
  <c r="J588" i="3"/>
  <c r="K588" i="3"/>
  <c r="L588" i="3"/>
  <c r="I589" i="3"/>
  <c r="J589" i="3"/>
  <c r="K589" i="3"/>
  <c r="L589" i="3"/>
  <c r="I590" i="3"/>
  <c r="J590" i="3"/>
  <c r="K590" i="3"/>
  <c r="L590" i="3"/>
  <c r="I591" i="3"/>
  <c r="J591" i="3"/>
  <c r="K591" i="3"/>
  <c r="L591" i="3"/>
  <c r="I592" i="3"/>
  <c r="J592" i="3"/>
  <c r="K592" i="3"/>
  <c r="L592" i="3"/>
  <c r="I593" i="3"/>
  <c r="J593" i="3"/>
  <c r="K593" i="3"/>
  <c r="L593" i="3"/>
  <c r="I594" i="3"/>
  <c r="J594" i="3"/>
  <c r="K594" i="3"/>
  <c r="L594" i="3"/>
  <c r="I595" i="3"/>
  <c r="J595" i="3"/>
  <c r="K595" i="3"/>
  <c r="L595" i="3"/>
  <c r="I596" i="3"/>
  <c r="J596" i="3"/>
  <c r="K596" i="3"/>
  <c r="L596" i="3"/>
  <c r="I597" i="3"/>
  <c r="J597" i="3"/>
  <c r="K597" i="3"/>
  <c r="L597" i="3"/>
  <c r="I598" i="3"/>
  <c r="J598" i="3"/>
  <c r="K598" i="3"/>
  <c r="L598" i="3"/>
  <c r="I599" i="3"/>
  <c r="J599" i="3"/>
  <c r="K599" i="3"/>
  <c r="L599" i="3"/>
  <c r="I600" i="3"/>
  <c r="J600" i="3"/>
  <c r="K600" i="3"/>
  <c r="L600" i="3"/>
  <c r="I601" i="3"/>
  <c r="J601" i="3"/>
  <c r="K601" i="3"/>
  <c r="L601" i="3"/>
  <c r="I602" i="3"/>
  <c r="J602" i="3"/>
  <c r="K602" i="3"/>
  <c r="L602" i="3"/>
  <c r="I603" i="3"/>
  <c r="J603" i="3"/>
  <c r="K603" i="3"/>
  <c r="L603" i="3"/>
  <c r="I604" i="3"/>
  <c r="J604" i="3"/>
  <c r="K604" i="3"/>
  <c r="L604" i="3"/>
  <c r="I605" i="3"/>
  <c r="J605" i="3"/>
  <c r="K605" i="3"/>
  <c r="L605" i="3"/>
  <c r="I606" i="3"/>
  <c r="J606" i="3"/>
  <c r="K606" i="3"/>
  <c r="L606" i="3"/>
  <c r="I607" i="3"/>
  <c r="J607" i="3"/>
  <c r="K607" i="3"/>
  <c r="L607" i="3"/>
  <c r="I608" i="3"/>
  <c r="J608" i="3"/>
  <c r="K608" i="3"/>
  <c r="L608" i="3"/>
  <c r="I609" i="3"/>
  <c r="J609" i="3"/>
  <c r="K609" i="3"/>
  <c r="L609" i="3"/>
  <c r="I610" i="3"/>
  <c r="J610" i="3"/>
  <c r="K610" i="3"/>
  <c r="L610" i="3"/>
  <c r="I611" i="3"/>
  <c r="J611" i="3"/>
  <c r="K611" i="3"/>
  <c r="L611" i="3"/>
  <c r="I612" i="3"/>
  <c r="J612" i="3"/>
  <c r="K612" i="3"/>
  <c r="L612" i="3"/>
  <c r="I613" i="3"/>
  <c r="J613" i="3"/>
  <c r="K613" i="3"/>
  <c r="L613" i="3"/>
  <c r="I614" i="3"/>
  <c r="J614" i="3"/>
  <c r="K614" i="3"/>
  <c r="L614" i="3"/>
  <c r="I615" i="3"/>
  <c r="J615" i="3"/>
  <c r="K615" i="3"/>
  <c r="L615" i="3"/>
  <c r="I616" i="3"/>
  <c r="J616" i="3"/>
  <c r="K616" i="3"/>
  <c r="L616" i="3"/>
  <c r="I617" i="3"/>
  <c r="J617" i="3"/>
  <c r="K617" i="3"/>
  <c r="L617" i="3"/>
  <c r="I618" i="3"/>
  <c r="J618" i="3"/>
  <c r="K618" i="3"/>
  <c r="L618" i="3"/>
  <c r="I619" i="3"/>
  <c r="J619" i="3"/>
  <c r="K619" i="3"/>
  <c r="L619" i="3"/>
  <c r="I620" i="3"/>
  <c r="J620" i="3"/>
  <c r="K620" i="3"/>
  <c r="L620" i="3"/>
  <c r="I621" i="3"/>
  <c r="J621" i="3"/>
  <c r="K621" i="3"/>
  <c r="L621" i="3"/>
  <c r="I622" i="3"/>
  <c r="J622" i="3"/>
  <c r="K622" i="3"/>
  <c r="L622" i="3"/>
  <c r="I623" i="3"/>
  <c r="J623" i="3"/>
  <c r="K623" i="3"/>
  <c r="L623" i="3"/>
  <c r="I624" i="3"/>
  <c r="J624" i="3"/>
  <c r="K624" i="3"/>
  <c r="L624" i="3"/>
  <c r="I625" i="3"/>
  <c r="J625" i="3"/>
  <c r="K625" i="3"/>
  <c r="L625" i="3"/>
  <c r="I626" i="3"/>
  <c r="J626" i="3"/>
  <c r="K626" i="3"/>
  <c r="L626" i="3"/>
  <c r="I627" i="3"/>
  <c r="J627" i="3"/>
  <c r="K627" i="3"/>
  <c r="L627" i="3"/>
  <c r="I628" i="3"/>
  <c r="J628" i="3"/>
  <c r="K628" i="3"/>
  <c r="L628" i="3"/>
  <c r="I629" i="3"/>
  <c r="J629" i="3"/>
  <c r="K629" i="3"/>
  <c r="L629" i="3"/>
  <c r="I630" i="3"/>
  <c r="J630" i="3"/>
  <c r="K630" i="3"/>
  <c r="L630" i="3"/>
  <c r="I631" i="3"/>
  <c r="J631" i="3"/>
  <c r="K631" i="3"/>
  <c r="L631" i="3"/>
  <c r="I632" i="3"/>
  <c r="J632" i="3"/>
  <c r="K632" i="3"/>
  <c r="L632" i="3"/>
  <c r="I633" i="3"/>
  <c r="J633" i="3"/>
  <c r="K633" i="3"/>
  <c r="L633" i="3"/>
  <c r="I634" i="3"/>
  <c r="J634" i="3"/>
  <c r="K634" i="3"/>
  <c r="L634" i="3"/>
  <c r="I635" i="3"/>
  <c r="J635" i="3"/>
  <c r="K635" i="3"/>
  <c r="L635" i="3"/>
  <c r="I636" i="3"/>
  <c r="J636" i="3"/>
  <c r="K636" i="3"/>
  <c r="L636" i="3"/>
  <c r="I637" i="3"/>
  <c r="J637" i="3"/>
  <c r="K637" i="3"/>
  <c r="L637" i="3"/>
  <c r="I638" i="3"/>
  <c r="J638" i="3"/>
  <c r="K638" i="3"/>
  <c r="L638" i="3"/>
  <c r="I639" i="3"/>
  <c r="J639" i="3"/>
  <c r="K639" i="3"/>
  <c r="L639" i="3"/>
  <c r="I640" i="3"/>
  <c r="J640" i="3"/>
  <c r="K640" i="3"/>
  <c r="L640" i="3"/>
  <c r="I641" i="3"/>
  <c r="J641" i="3"/>
  <c r="K641" i="3"/>
  <c r="L641" i="3"/>
  <c r="I642" i="3"/>
  <c r="J642" i="3"/>
  <c r="K642" i="3"/>
  <c r="L642" i="3"/>
  <c r="I643" i="3"/>
  <c r="J643" i="3"/>
  <c r="K643" i="3"/>
  <c r="L643" i="3"/>
  <c r="I644" i="3"/>
  <c r="J644" i="3"/>
  <c r="K644" i="3"/>
  <c r="L644" i="3"/>
  <c r="I645" i="3"/>
  <c r="J645" i="3"/>
  <c r="K645" i="3"/>
  <c r="L645" i="3"/>
  <c r="I646" i="3"/>
  <c r="J646" i="3"/>
  <c r="K646" i="3"/>
  <c r="L646" i="3"/>
  <c r="I647" i="3"/>
  <c r="J647" i="3"/>
  <c r="K647" i="3"/>
  <c r="L647" i="3"/>
  <c r="I648" i="3"/>
  <c r="J648" i="3"/>
  <c r="K648" i="3"/>
  <c r="L648" i="3"/>
  <c r="I649" i="3"/>
  <c r="J649" i="3"/>
  <c r="K649" i="3"/>
  <c r="L649" i="3"/>
  <c r="I650" i="3"/>
  <c r="J650" i="3"/>
  <c r="K650" i="3"/>
  <c r="L650" i="3"/>
  <c r="I651" i="3"/>
  <c r="J651" i="3"/>
  <c r="K651" i="3"/>
  <c r="L651" i="3"/>
  <c r="I652" i="3"/>
  <c r="J652" i="3"/>
  <c r="K652" i="3"/>
  <c r="L652" i="3"/>
  <c r="I653" i="3"/>
  <c r="J653" i="3"/>
  <c r="K653" i="3"/>
  <c r="L653" i="3"/>
  <c r="I654" i="3"/>
  <c r="J654" i="3"/>
  <c r="K654" i="3"/>
  <c r="L654" i="3"/>
  <c r="I655" i="3"/>
  <c r="J655" i="3"/>
  <c r="K655" i="3"/>
  <c r="L655" i="3"/>
  <c r="I656" i="3"/>
  <c r="J656" i="3"/>
  <c r="K656" i="3"/>
  <c r="L656" i="3"/>
  <c r="I657" i="3"/>
  <c r="J657" i="3"/>
  <c r="K657" i="3"/>
  <c r="L657" i="3"/>
  <c r="I658" i="3"/>
  <c r="J658" i="3"/>
  <c r="K658" i="3"/>
  <c r="L658" i="3"/>
  <c r="I659" i="3"/>
  <c r="J659" i="3"/>
  <c r="K659" i="3"/>
  <c r="L659" i="3"/>
  <c r="I660" i="3"/>
  <c r="J660" i="3"/>
  <c r="K660" i="3"/>
  <c r="L660" i="3"/>
  <c r="I661" i="3"/>
  <c r="J661" i="3"/>
  <c r="K661" i="3"/>
  <c r="L661" i="3"/>
  <c r="I662" i="3"/>
  <c r="J662" i="3"/>
  <c r="K662" i="3"/>
  <c r="L662" i="3"/>
  <c r="I663" i="3"/>
  <c r="J663" i="3"/>
  <c r="K663" i="3"/>
  <c r="L663" i="3"/>
  <c r="I664" i="3"/>
  <c r="J664" i="3"/>
  <c r="K664" i="3"/>
  <c r="L664" i="3"/>
  <c r="I665" i="3"/>
  <c r="J665" i="3"/>
  <c r="K665" i="3"/>
  <c r="L665" i="3"/>
  <c r="I666" i="3"/>
  <c r="J666" i="3"/>
  <c r="K666" i="3"/>
  <c r="L666" i="3"/>
  <c r="I667" i="3"/>
  <c r="J667" i="3"/>
  <c r="K667" i="3"/>
  <c r="L667" i="3"/>
  <c r="I668" i="3"/>
  <c r="J668" i="3"/>
  <c r="K668" i="3"/>
  <c r="L668" i="3"/>
  <c r="I669" i="3"/>
  <c r="J669" i="3"/>
  <c r="K669" i="3"/>
  <c r="L669" i="3"/>
  <c r="I670" i="3"/>
  <c r="J670" i="3"/>
  <c r="K670" i="3"/>
  <c r="L670" i="3"/>
  <c r="I671" i="3"/>
  <c r="J671" i="3"/>
  <c r="K671" i="3"/>
  <c r="L671" i="3"/>
  <c r="I672" i="3"/>
  <c r="J672" i="3"/>
  <c r="K672" i="3"/>
  <c r="L672" i="3"/>
  <c r="I673" i="3"/>
  <c r="J673" i="3"/>
  <c r="K673" i="3"/>
  <c r="L673" i="3"/>
  <c r="I674" i="3"/>
  <c r="J674" i="3"/>
  <c r="K674" i="3"/>
  <c r="L674" i="3"/>
  <c r="I675" i="3"/>
  <c r="J675" i="3"/>
  <c r="K675" i="3"/>
  <c r="L675" i="3"/>
  <c r="I676" i="3"/>
  <c r="J676" i="3"/>
  <c r="K676" i="3"/>
  <c r="L676" i="3"/>
  <c r="I677" i="3"/>
  <c r="J677" i="3"/>
  <c r="K677" i="3"/>
  <c r="L677" i="3"/>
  <c r="I678" i="3"/>
  <c r="J678" i="3"/>
  <c r="K678" i="3"/>
  <c r="L678" i="3"/>
  <c r="I679" i="3"/>
  <c r="J679" i="3"/>
  <c r="K679" i="3"/>
  <c r="L679" i="3"/>
  <c r="I680" i="3"/>
  <c r="J680" i="3"/>
  <c r="K680" i="3"/>
  <c r="L680" i="3"/>
  <c r="I681" i="3"/>
  <c r="J681" i="3"/>
  <c r="K681" i="3"/>
  <c r="L681" i="3"/>
  <c r="I682" i="3"/>
  <c r="J682" i="3"/>
  <c r="K682" i="3"/>
  <c r="L682" i="3"/>
  <c r="I683" i="3"/>
  <c r="J683" i="3"/>
  <c r="K683" i="3"/>
  <c r="L683" i="3"/>
  <c r="I684" i="3"/>
  <c r="J684" i="3"/>
  <c r="K684" i="3"/>
  <c r="L684" i="3"/>
  <c r="I685" i="3"/>
  <c r="J685" i="3"/>
  <c r="K685" i="3"/>
  <c r="L685" i="3"/>
  <c r="I686" i="3"/>
  <c r="J686" i="3"/>
  <c r="K686" i="3"/>
  <c r="L686" i="3"/>
  <c r="I687" i="3"/>
  <c r="J687" i="3"/>
  <c r="K687" i="3"/>
  <c r="L687" i="3"/>
  <c r="I688" i="3"/>
  <c r="J688" i="3"/>
  <c r="K688" i="3"/>
  <c r="L688" i="3"/>
  <c r="I689" i="3"/>
  <c r="J689" i="3"/>
  <c r="K689" i="3"/>
  <c r="L689" i="3"/>
  <c r="I690" i="3"/>
  <c r="J690" i="3"/>
  <c r="K690" i="3"/>
  <c r="L690" i="3"/>
  <c r="I691" i="3"/>
  <c r="J691" i="3"/>
  <c r="K691" i="3"/>
  <c r="L691" i="3"/>
  <c r="I692" i="3"/>
  <c r="J692" i="3"/>
  <c r="K692" i="3"/>
  <c r="L692" i="3"/>
  <c r="I693" i="3"/>
  <c r="J693" i="3"/>
  <c r="K693" i="3"/>
  <c r="L693" i="3"/>
  <c r="I694" i="3"/>
  <c r="J694" i="3"/>
  <c r="K694" i="3"/>
  <c r="L694" i="3"/>
  <c r="I695" i="3"/>
  <c r="J695" i="3"/>
  <c r="K695" i="3"/>
  <c r="L695" i="3"/>
  <c r="I696" i="3"/>
  <c r="J696" i="3"/>
  <c r="K696" i="3"/>
  <c r="L696" i="3"/>
  <c r="I697" i="3"/>
  <c r="J697" i="3"/>
  <c r="K697" i="3"/>
  <c r="L697" i="3"/>
  <c r="I698" i="3"/>
  <c r="J698" i="3"/>
  <c r="K698" i="3"/>
  <c r="L698" i="3"/>
  <c r="I699" i="3"/>
  <c r="J699" i="3"/>
  <c r="K699" i="3"/>
  <c r="L699" i="3"/>
  <c r="I700" i="3"/>
  <c r="J700" i="3"/>
  <c r="K700" i="3"/>
  <c r="L700" i="3"/>
  <c r="I701" i="3"/>
  <c r="J701" i="3"/>
  <c r="K701" i="3"/>
  <c r="L701" i="3"/>
  <c r="I702" i="3"/>
  <c r="J702" i="3"/>
  <c r="K702" i="3"/>
  <c r="L702" i="3"/>
  <c r="I703" i="3"/>
  <c r="J703" i="3"/>
  <c r="K703" i="3"/>
  <c r="L703" i="3"/>
  <c r="I704" i="3"/>
  <c r="J704" i="3"/>
  <c r="K704" i="3"/>
  <c r="L704" i="3"/>
  <c r="I705" i="3"/>
  <c r="J705" i="3"/>
  <c r="K705" i="3"/>
  <c r="L705" i="3"/>
  <c r="I706" i="3"/>
  <c r="J706" i="3"/>
  <c r="K706" i="3"/>
  <c r="L706" i="3"/>
  <c r="I707" i="3"/>
  <c r="J707" i="3"/>
  <c r="K707" i="3"/>
  <c r="L707" i="3"/>
  <c r="I708" i="3"/>
  <c r="J708" i="3"/>
  <c r="K708" i="3"/>
  <c r="L708" i="3"/>
  <c r="I709" i="3"/>
  <c r="J709" i="3"/>
  <c r="K709" i="3"/>
  <c r="L709" i="3"/>
  <c r="I710" i="3"/>
  <c r="J710" i="3"/>
  <c r="K710" i="3"/>
  <c r="L710" i="3"/>
  <c r="I711" i="3"/>
  <c r="J711" i="3"/>
  <c r="K711" i="3"/>
  <c r="L711" i="3"/>
  <c r="I712" i="3"/>
  <c r="J712" i="3"/>
  <c r="K712" i="3"/>
  <c r="L712" i="3"/>
  <c r="I713" i="3"/>
  <c r="J713" i="3"/>
  <c r="K713" i="3"/>
  <c r="L713" i="3"/>
  <c r="I714" i="3"/>
  <c r="J714" i="3"/>
  <c r="K714" i="3"/>
  <c r="L714" i="3"/>
  <c r="I715" i="3"/>
  <c r="J715" i="3"/>
  <c r="K715" i="3"/>
  <c r="L715" i="3"/>
  <c r="I716" i="3"/>
  <c r="J716" i="3"/>
  <c r="K716" i="3"/>
  <c r="L716" i="3"/>
  <c r="I717" i="3"/>
  <c r="J717" i="3"/>
  <c r="K717" i="3"/>
  <c r="L717" i="3"/>
  <c r="I718" i="3"/>
  <c r="J718" i="3"/>
  <c r="K718" i="3"/>
  <c r="L718" i="3"/>
  <c r="I719" i="3"/>
  <c r="J719" i="3"/>
  <c r="K719" i="3"/>
  <c r="L719" i="3"/>
  <c r="I720" i="3"/>
  <c r="J720" i="3"/>
  <c r="K720" i="3"/>
  <c r="L720" i="3"/>
  <c r="I721" i="3"/>
  <c r="J721" i="3"/>
  <c r="K721" i="3"/>
  <c r="L721" i="3"/>
  <c r="I722" i="3"/>
  <c r="J722" i="3"/>
  <c r="K722" i="3"/>
  <c r="L722" i="3"/>
  <c r="I723" i="3"/>
  <c r="J723" i="3"/>
  <c r="K723" i="3"/>
  <c r="L723" i="3"/>
  <c r="I724" i="3"/>
  <c r="J724" i="3"/>
  <c r="K724" i="3"/>
  <c r="L724" i="3"/>
  <c r="I725" i="3"/>
  <c r="J725" i="3"/>
  <c r="K725" i="3"/>
  <c r="L725" i="3"/>
  <c r="I726" i="3"/>
  <c r="J726" i="3"/>
  <c r="K726" i="3"/>
  <c r="L726" i="3"/>
  <c r="I727" i="3"/>
  <c r="J727" i="3"/>
  <c r="K727" i="3"/>
  <c r="L727" i="3"/>
  <c r="I728" i="3"/>
  <c r="J728" i="3"/>
  <c r="K728" i="3"/>
  <c r="L728" i="3"/>
  <c r="I729" i="3"/>
  <c r="J729" i="3"/>
  <c r="K729" i="3"/>
  <c r="L729" i="3"/>
  <c r="I730" i="3"/>
  <c r="J730" i="3"/>
  <c r="K730" i="3"/>
  <c r="L730" i="3"/>
  <c r="I731" i="3"/>
  <c r="J731" i="3"/>
  <c r="K731" i="3"/>
  <c r="L731" i="3"/>
  <c r="I2" i="3"/>
  <c r="L2" i="3"/>
  <c r="K2" i="3"/>
  <c r="J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F2" i="3"/>
  <c r="E2" i="3"/>
  <c r="D2" i="3"/>
  <c r="C2" i="3"/>
  <c r="B2" i="3"/>
  <c r="B4" i="3"/>
  <c r="B5" i="3"/>
  <c r="B6" i="3"/>
  <c r="B7" i="3"/>
  <c r="B8" i="3"/>
  <c r="B9" i="3"/>
  <c r="B10" i="3"/>
  <c r="B11" i="3"/>
  <c r="B12" i="3"/>
  <c r="B13" i="3"/>
  <c r="B14" i="3"/>
  <c r="B15" i="3"/>
  <c r="B3" i="3"/>
</calcChain>
</file>

<file path=xl/sharedStrings.xml><?xml version="1.0" encoding="utf-8"?>
<sst xmlns="http://schemas.openxmlformats.org/spreadsheetml/2006/main" count="81" uniqueCount="47">
  <si>
    <t>Date</t>
  </si>
  <si>
    <t>^AEX</t>
  </si>
  <si>
    <t>^AORD</t>
  </si>
  <si>
    <t>^FTSE</t>
  </si>
  <si>
    <t>^GSPC</t>
  </si>
  <si>
    <t>^GSPTSE</t>
  </si>
  <si>
    <t>^HSI</t>
  </si>
  <si>
    <t>^N225</t>
  </si>
  <si>
    <t>Australia</t>
  </si>
  <si>
    <t>Canada</t>
  </si>
  <si>
    <t>United_Kingdom</t>
  </si>
  <si>
    <t>Hong_Kong</t>
  </si>
  <si>
    <t>Japan</t>
  </si>
  <si>
    <t>Netherlands</t>
  </si>
  <si>
    <t>United_States</t>
  </si>
  <si>
    <t>Countries</t>
  </si>
  <si>
    <t>Returns</t>
  </si>
  <si>
    <t>Short-term interest rates</t>
  </si>
  <si>
    <t>USA</t>
  </si>
  <si>
    <t>Source</t>
  </si>
  <si>
    <t>Central bank policy rates - data | BIS Data Portal</t>
  </si>
  <si>
    <t>Policy_interest rates</t>
  </si>
  <si>
    <t>SP500</t>
  </si>
  <si>
    <t>yes</t>
  </si>
  <si>
    <t>3M-Tbill</t>
  </si>
  <si>
    <t>TSX Composite</t>
  </si>
  <si>
    <t>Canada 3m tbill</t>
  </si>
  <si>
    <t>AUORD</t>
  </si>
  <si>
    <t>3-month bank accepted bill</t>
  </si>
  <si>
    <t>3-month bond yield</t>
  </si>
  <si>
    <t>No</t>
  </si>
  <si>
    <t>Not available</t>
  </si>
  <si>
    <t>Yes</t>
  </si>
  <si>
    <t>Official Discount Rates</t>
  </si>
  <si>
    <t>Nikkei225</t>
  </si>
  <si>
    <t>Australia_3M_Bank_Accepted_Bill</t>
  </si>
  <si>
    <t>Canada_3mtbill</t>
  </si>
  <si>
    <t>FTSE</t>
  </si>
  <si>
    <t>UK_3mbond_yield</t>
  </si>
  <si>
    <t>US_3MTBILLYIELD</t>
  </si>
  <si>
    <t>prices_UK</t>
  </si>
  <si>
    <t>prices_AU</t>
  </si>
  <si>
    <t>prices_CAN</t>
  </si>
  <si>
    <t>prices_US</t>
  </si>
  <si>
    <t>france</t>
  </si>
  <si>
    <t>germany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</si>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</sst>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is.org/topics/CBPOL/dat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DTB3" TargetMode="External"/><Relationship Id="rId2" Type="http://schemas.openxmlformats.org/officeDocument/2006/relationships/hyperlink" Target="https://www150.statcan.gc.ca/t1/tbl1/en/tv.action?pid=1010013901&amp;cubeTimeFrame.startDaily=1986-01-01&amp;cubeTimeFrame.endDaily=1987-12-31&amp;referencePeriods=19860101%2C19871231" TargetMode="External"/><Relationship Id="rId1" Type="http://schemas.openxmlformats.org/officeDocument/2006/relationships/hyperlink" Target="https://www.rba.gov.au/statistics/historical-data.html" TargetMode="External"/><Relationship Id="rId5" Type="http://schemas.openxmlformats.org/officeDocument/2006/relationships/hyperlink" Target="https://www.stat-search.boj.or.jp/ssi/html/nme_R020DD.621522.20260222081626.01.html" TargetMode="External"/><Relationship Id="rId4" Type="http://schemas.openxmlformats.org/officeDocument/2006/relationships/hyperlink" Target="https://www.investing.com/rates-bonds/uk-3-month-bond-yield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3BA2-CF7F-4D36-8364-29BF3F4F6C17}">
  <dimension ref="A1:R731"/>
  <sheetViews>
    <sheetView tabSelected="1" workbookViewId="0">
      <selection activeCell="G1" sqref="G1:H1048576"/>
    </sheetView>
  </sheetViews>
  <sheetFormatPr defaultRowHeight="14.4" x14ac:dyDescent="0.3"/>
  <cols>
    <col min="1" max="1" width="10.33203125" bestFit="1" customWidth="1"/>
    <col min="10" max="10" width="10.33203125" bestFit="1" customWidth="1"/>
    <col min="12" max="12" width="15.33203125" bestFit="1" customWidth="1"/>
  </cols>
  <sheetData>
    <row r="1" spans="1:18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35</v>
      </c>
      <c r="J1" t="s">
        <v>36</v>
      </c>
      <c r="K1" t="s">
        <v>38</v>
      </c>
      <c r="L1" t="s">
        <v>39</v>
      </c>
    </row>
    <row r="2" spans="1:18" x14ac:dyDescent="0.3">
      <c r="A2" s="1">
        <v>31413</v>
      </c>
      <c r="B2" t="e">
        <f>VLOOKUP($A2,'STOCK DATA'!A2:H521,2,FALSE)</f>
        <v>#N/A</v>
      </c>
      <c r="C2" t="e">
        <f>VLOOKUP($A2,'STOCK DATA'!$A$2:H$521,3,FALSE)</f>
        <v>#N/A</v>
      </c>
      <c r="D2" t="e">
        <f>VLOOKUP($A2,'STOCK DATA'!$A$2:$H$521,3,FALSE)</f>
        <v>#N/A</v>
      </c>
      <c r="E2" t="e">
        <f>VLOOKUP($A2,'STOCK DATA'!$A$2:$H$521,3,FALSE)</f>
        <v>#N/A</v>
      </c>
      <c r="F2" t="e">
        <f>VLOOKUP($A2,'STOCK DATA'!$A$2:$H$521,3,FALSE)</f>
        <v>#N/A</v>
      </c>
      <c r="G2" t="e">
        <f>VLOOKUP($A2,'STOCK DATA'!$A$2:$H$521,3,FALSE)</f>
        <v>#N/A</v>
      </c>
      <c r="H2" t="e">
        <f>VLOOKUP($A2,'STOCK DATA'!$A$2:$H$521,3,FALSE)</f>
        <v>#N/A</v>
      </c>
      <c r="I2">
        <f>VLOOKUP(A2,'Short-term interest Rates daily'!$A:$E,2,FALSE)</f>
        <v>0</v>
      </c>
      <c r="J2">
        <f>VLOOKUP(A2,'Short-term interest Rates daily'!$A:$E,3,FALSE)</f>
        <v>0</v>
      </c>
      <c r="K2">
        <f>VLOOKUP(A2,'Short-term interest Rates daily'!$A:$E,4,FALSE)</f>
        <v>11.23</v>
      </c>
      <c r="L2" t="e">
        <f>VLOOKUP(A2,'Short-term interest Rates daily'!$A:$E,5,FALSE)</f>
        <v>#N/A</v>
      </c>
    </row>
    <row r="3" spans="1:18" x14ac:dyDescent="0.3">
      <c r="A3" s="1">
        <v>31414</v>
      </c>
      <c r="B3">
        <f>VLOOKUP(A3,'STOCK DATA'!$A$2:$H$522,2,FALSE)</f>
        <v>121.22</v>
      </c>
      <c r="C3">
        <f>VLOOKUP($A3,'STOCK DATA'!$A$2:H$521,3,FALSE)</f>
        <v>1010.8</v>
      </c>
      <c r="D3">
        <f>VLOOKUP($A3,'STOCK DATA'!$A$2:$H$521,3,FALSE)</f>
        <v>1010.8</v>
      </c>
      <c r="E3">
        <f>VLOOKUP($A3,'STOCK DATA'!$A$2:$H$521,3,FALSE)</f>
        <v>1010.8</v>
      </c>
      <c r="F3">
        <f>VLOOKUP($A3,'STOCK DATA'!$A$2:$H$521,3,FALSE)</f>
        <v>1010.8</v>
      </c>
      <c r="G3">
        <f>VLOOKUP($A3,'STOCK DATA'!$A$2:$H$521,3,FALSE)</f>
        <v>1010.8</v>
      </c>
      <c r="H3">
        <f>VLOOKUP($A3,'STOCK DATA'!$A$2:$H$521,3,FALSE)</f>
        <v>1010.8</v>
      </c>
      <c r="I3">
        <f>VLOOKUP(A3,'Short-term interest Rates daily'!$A:$E,2,FALSE)</f>
        <v>18.75</v>
      </c>
      <c r="J3">
        <f>VLOOKUP(A3,'Short-term interest Rates daily'!$A:$E,3,FALSE)</f>
        <v>9.39</v>
      </c>
      <c r="K3">
        <f>VLOOKUP(A3,'Short-term interest Rates daily'!$A:$E,4,FALSE)</f>
        <v>11.21</v>
      </c>
      <c r="L3">
        <f>VLOOKUP(A3,'Short-term interest Rates daily'!$A:$E,5,FALSE)</f>
        <v>7.1</v>
      </c>
    </row>
    <row r="4" spans="1:18" x14ac:dyDescent="0.3">
      <c r="A4" s="1">
        <v>31415</v>
      </c>
      <c r="B4">
        <f>VLOOKUP(A4,'STOCK DATA'!$A$2:$H$522,2,FALSE)</f>
        <v>121.52</v>
      </c>
      <c r="C4">
        <f>VLOOKUP($A4,'STOCK DATA'!$A$2:H$521,3,FALSE)</f>
        <v>1020.4</v>
      </c>
      <c r="D4">
        <f>VLOOKUP($A4,'STOCK DATA'!$A$2:$H$521,3,FALSE)</f>
        <v>1020.4</v>
      </c>
      <c r="E4">
        <f>VLOOKUP($A4,'STOCK DATA'!$A$2:$H$521,3,FALSE)</f>
        <v>1020.4</v>
      </c>
      <c r="F4">
        <f>VLOOKUP($A4,'STOCK DATA'!$A$2:$H$521,3,FALSE)</f>
        <v>1020.4</v>
      </c>
      <c r="G4">
        <f>VLOOKUP($A4,'STOCK DATA'!$A$2:$H$521,3,FALSE)</f>
        <v>1020.4</v>
      </c>
      <c r="H4">
        <f>VLOOKUP($A4,'STOCK DATA'!$A$2:$H$521,3,FALSE)</f>
        <v>1020.4</v>
      </c>
      <c r="I4">
        <f>VLOOKUP(A4,'Short-term interest Rates daily'!$A:$E,2,FALSE)</f>
        <v>18.5</v>
      </c>
      <c r="J4">
        <f>VLOOKUP(A4,'Short-term interest Rates daily'!$A:$E,3,FALSE)</f>
        <v>9.68</v>
      </c>
      <c r="K4">
        <f>VLOOKUP(A4,'Short-term interest Rates daily'!$A:$E,4,FALSE)</f>
        <v>11.21</v>
      </c>
      <c r="L4">
        <f>VLOOKUP(A4,'Short-term interest Rates daily'!$A:$E,5,FALSE)</f>
        <v>7.07</v>
      </c>
    </row>
    <row r="5" spans="1:18" x14ac:dyDescent="0.3">
      <c r="A5" s="1">
        <v>31416</v>
      </c>
      <c r="B5" t="e">
        <f>VLOOKUP(A5,'STOCK DATA'!$A$2:$H$522,2,FALSE)</f>
        <v>#N/A</v>
      </c>
      <c r="C5" t="e">
        <f>VLOOKUP($A5,'STOCK DATA'!$A$2:H$521,3,FALSE)</f>
        <v>#N/A</v>
      </c>
      <c r="D5" t="e">
        <f>VLOOKUP($A5,'STOCK DATA'!$A$2:$H$521,3,FALSE)</f>
        <v>#N/A</v>
      </c>
      <c r="E5" t="e">
        <f>VLOOKUP($A5,'STOCK DATA'!$A$2:$H$521,3,FALSE)</f>
        <v>#N/A</v>
      </c>
      <c r="F5" t="e">
        <f>VLOOKUP($A5,'STOCK DATA'!$A$2:$H$521,3,FALSE)</f>
        <v>#N/A</v>
      </c>
      <c r="G5" t="e">
        <f>VLOOKUP($A5,'STOCK DATA'!$A$2:$H$521,3,FALSE)</f>
        <v>#N/A</v>
      </c>
      <c r="H5" t="e">
        <f>VLOOKUP($A5,'STOCK DATA'!$A$2:$H$521,3,FALSE)</f>
        <v>#N/A</v>
      </c>
      <c r="I5" t="e">
        <f>VLOOKUP(A5,'Short-term interest Rates daily'!$A:$E,2,FALSE)</f>
        <v>#N/A</v>
      </c>
      <c r="J5" t="e">
        <f>VLOOKUP(A5,'Short-term interest Rates daily'!$A:$E,3,FALSE)</f>
        <v>#N/A</v>
      </c>
      <c r="K5" t="e">
        <f>VLOOKUP(A5,'Short-term interest Rates daily'!$A:$E,4,FALSE)</f>
        <v>#N/A</v>
      </c>
      <c r="L5" t="e">
        <f>VLOOKUP(A5,'Short-term interest Rates daily'!$A:$E,5,FALSE)</f>
        <v>#N/A</v>
      </c>
    </row>
    <row r="6" spans="1:18" x14ac:dyDescent="0.3">
      <c r="A6" s="1">
        <v>31417</v>
      </c>
      <c r="B6" t="e">
        <f>VLOOKUP(A6,'STOCK DATA'!$A$2:$H$522,2,FALSE)</f>
        <v>#N/A</v>
      </c>
      <c r="C6" t="e">
        <f>VLOOKUP($A6,'STOCK DATA'!$A$2:H$521,3,FALSE)</f>
        <v>#N/A</v>
      </c>
      <c r="D6" t="e">
        <f>VLOOKUP($A6,'STOCK DATA'!$A$2:$H$521,3,FALSE)</f>
        <v>#N/A</v>
      </c>
      <c r="E6" t="e">
        <f>VLOOKUP($A6,'STOCK DATA'!$A$2:$H$521,3,FALSE)</f>
        <v>#N/A</v>
      </c>
      <c r="F6" t="e">
        <f>VLOOKUP($A6,'STOCK DATA'!$A$2:$H$521,3,FALSE)</f>
        <v>#N/A</v>
      </c>
      <c r="G6" t="e">
        <f>VLOOKUP($A6,'STOCK DATA'!$A$2:$H$521,3,FALSE)</f>
        <v>#N/A</v>
      </c>
      <c r="H6" t="e">
        <f>VLOOKUP($A6,'STOCK DATA'!$A$2:$H$521,3,FALSE)</f>
        <v>#N/A</v>
      </c>
      <c r="I6" t="e">
        <f>VLOOKUP(A6,'Short-term interest Rates daily'!$A:$E,2,FALSE)</f>
        <v>#N/A</v>
      </c>
      <c r="J6" t="e">
        <f>VLOOKUP(A6,'Short-term interest Rates daily'!$A:$E,3,FALSE)</f>
        <v>#N/A</v>
      </c>
      <c r="K6" t="e">
        <f>VLOOKUP(A6,'Short-term interest Rates daily'!$A:$E,4,FALSE)</f>
        <v>#N/A</v>
      </c>
      <c r="L6" t="e">
        <f>VLOOKUP(A6,'Short-term interest Rates daily'!$A:$E,5,FALSE)</f>
        <v>#N/A</v>
      </c>
    </row>
    <row r="7" spans="1:18" x14ac:dyDescent="0.3">
      <c r="A7" s="1">
        <v>31418</v>
      </c>
      <c r="B7">
        <f>VLOOKUP(A7,'STOCK DATA'!$A$2:$H$522,2,FALSE)</f>
        <v>125.13</v>
      </c>
      <c r="C7">
        <f>VLOOKUP($A7,'STOCK DATA'!$A$2:H$521,3,FALSE)</f>
        <v>1028</v>
      </c>
      <c r="D7">
        <f>VLOOKUP($A7,'STOCK DATA'!$A$2:$H$521,3,FALSE)</f>
        <v>1028</v>
      </c>
      <c r="E7">
        <f>VLOOKUP($A7,'STOCK DATA'!$A$2:$H$521,3,FALSE)</f>
        <v>1028</v>
      </c>
      <c r="F7">
        <f>VLOOKUP($A7,'STOCK DATA'!$A$2:$H$521,3,FALSE)</f>
        <v>1028</v>
      </c>
      <c r="G7">
        <f>VLOOKUP($A7,'STOCK DATA'!$A$2:$H$521,3,FALSE)</f>
        <v>1028</v>
      </c>
      <c r="H7">
        <f>VLOOKUP($A7,'STOCK DATA'!$A$2:$H$521,3,FALSE)</f>
        <v>1028</v>
      </c>
      <c r="I7">
        <f>VLOOKUP(A7,'Short-term interest Rates daily'!$A:$E,2,FALSE)</f>
        <v>19</v>
      </c>
      <c r="J7">
        <f>VLOOKUP(A7,'Short-term interest Rates daily'!$A:$E,3,FALSE)</f>
        <v>9.82</v>
      </c>
      <c r="K7">
        <f>VLOOKUP(A7,'Short-term interest Rates daily'!$A:$E,4,FALSE)</f>
        <v>11.25</v>
      </c>
      <c r="L7">
        <f>VLOOKUP(A7,'Short-term interest Rates daily'!$A:$E,5,FALSE)</f>
        <v>7.06</v>
      </c>
    </row>
    <row r="8" spans="1:18" x14ac:dyDescent="0.3">
      <c r="A8" s="1">
        <v>31419</v>
      </c>
      <c r="B8">
        <f>VLOOKUP(A8,'STOCK DATA'!$A$2:$H$522,2,FALSE)</f>
        <v>124.98</v>
      </c>
      <c r="C8">
        <f>VLOOKUP($A8,'STOCK DATA'!$A$2:H$521,3,FALSE)</f>
        <v>1032.4000000000001</v>
      </c>
      <c r="D8">
        <f>VLOOKUP($A8,'STOCK DATA'!$A$2:$H$521,3,FALSE)</f>
        <v>1032.4000000000001</v>
      </c>
      <c r="E8">
        <f>VLOOKUP($A8,'STOCK DATA'!$A$2:$H$521,3,FALSE)</f>
        <v>1032.4000000000001</v>
      </c>
      <c r="F8">
        <f>VLOOKUP($A8,'STOCK DATA'!$A$2:$H$521,3,FALSE)</f>
        <v>1032.4000000000001</v>
      </c>
      <c r="G8">
        <f>VLOOKUP($A8,'STOCK DATA'!$A$2:$H$521,3,FALSE)</f>
        <v>1032.4000000000001</v>
      </c>
      <c r="H8">
        <f>VLOOKUP($A8,'STOCK DATA'!$A$2:$H$521,3,FALSE)</f>
        <v>1032.4000000000001</v>
      </c>
      <c r="I8">
        <f>VLOOKUP(A8,'Short-term interest Rates daily'!$A:$E,2,FALSE)</f>
        <v>18.88</v>
      </c>
      <c r="J8">
        <f>VLOOKUP(A8,'Short-term interest Rates daily'!$A:$E,3,FALSE)</f>
        <v>9.7200000000000006</v>
      </c>
      <c r="K8">
        <f>VLOOKUP(A8,'Short-term interest Rates daily'!$A:$E,4,FALSE)</f>
        <v>11.5</v>
      </c>
      <c r="L8">
        <f>VLOOKUP(A8,'Short-term interest Rates daily'!$A:$E,5,FALSE)</f>
        <v>7.03</v>
      </c>
    </row>
    <row r="9" spans="1:18" x14ac:dyDescent="0.3">
      <c r="A9" s="1">
        <v>31420</v>
      </c>
      <c r="B9">
        <f>VLOOKUP(A9,'STOCK DATA'!$A$2:$H$522,2,FALSE)</f>
        <v>126.5</v>
      </c>
      <c r="C9">
        <f>VLOOKUP($A9,'STOCK DATA'!$A$2:H$521,3,FALSE)</f>
        <v>1041.5999999999999</v>
      </c>
      <c r="D9">
        <f>VLOOKUP($A9,'STOCK DATA'!$A$2:$H$521,3,FALSE)</f>
        <v>1041.5999999999999</v>
      </c>
      <c r="E9">
        <f>VLOOKUP($A9,'STOCK DATA'!$A$2:$H$521,3,FALSE)</f>
        <v>1041.5999999999999</v>
      </c>
      <c r="F9">
        <f>VLOOKUP($A9,'STOCK DATA'!$A$2:$H$521,3,FALSE)</f>
        <v>1041.5999999999999</v>
      </c>
      <c r="G9">
        <f>VLOOKUP($A9,'STOCK DATA'!$A$2:$H$521,3,FALSE)</f>
        <v>1041.5999999999999</v>
      </c>
      <c r="H9">
        <f>VLOOKUP($A9,'STOCK DATA'!$A$2:$H$521,3,FALSE)</f>
        <v>1041.5999999999999</v>
      </c>
      <c r="I9">
        <f>VLOOKUP(A9,'Short-term interest Rates daily'!$A:$E,2,FALSE)</f>
        <v>18.75</v>
      </c>
      <c r="J9">
        <f>VLOOKUP(A9,'Short-term interest Rates daily'!$A:$E,3,FALSE)</f>
        <v>9.91</v>
      </c>
      <c r="K9">
        <f>VLOOKUP(A9,'Short-term interest Rates daily'!$A:$E,4,FALSE)</f>
        <v>11.88</v>
      </c>
      <c r="L9">
        <f>VLOOKUP(A9,'Short-term interest Rates daily'!$A:$E,5,FALSE)</f>
        <v>7.17</v>
      </c>
      <c r="O9" t="s">
        <v>35</v>
      </c>
      <c r="P9" t="s">
        <v>36</v>
      </c>
      <c r="Q9" t="s">
        <v>38</v>
      </c>
      <c r="R9" t="s">
        <v>39</v>
      </c>
    </row>
    <row r="10" spans="1:18" x14ac:dyDescent="0.3">
      <c r="A10" s="1">
        <v>31421</v>
      </c>
      <c r="B10">
        <f>VLOOKUP(A10,'STOCK DATA'!$A$2:$H$522,2,FALSE)</f>
        <v>123.56</v>
      </c>
      <c r="C10">
        <f>VLOOKUP($A10,'STOCK DATA'!$A$2:H$521,3,FALSE)</f>
        <v>1043.9000000000001</v>
      </c>
      <c r="D10">
        <f>VLOOKUP($A10,'STOCK DATA'!$A$2:$H$521,3,FALSE)</f>
        <v>1043.9000000000001</v>
      </c>
      <c r="E10">
        <f>VLOOKUP($A10,'STOCK DATA'!$A$2:$H$521,3,FALSE)</f>
        <v>1043.9000000000001</v>
      </c>
      <c r="F10">
        <f>VLOOKUP($A10,'STOCK DATA'!$A$2:$H$521,3,FALSE)</f>
        <v>1043.9000000000001</v>
      </c>
      <c r="G10">
        <f>VLOOKUP($A10,'STOCK DATA'!$A$2:$H$521,3,FALSE)</f>
        <v>1043.9000000000001</v>
      </c>
      <c r="H10">
        <f>VLOOKUP($A10,'STOCK DATA'!$A$2:$H$521,3,FALSE)</f>
        <v>1043.9000000000001</v>
      </c>
      <c r="I10">
        <f>VLOOKUP(A10,'Short-term interest Rates daily'!$A:$E,2,FALSE)</f>
        <v>19.13</v>
      </c>
      <c r="J10">
        <f>VLOOKUP(A10,'Short-term interest Rates daily'!$A:$E,3,FALSE)</f>
        <v>9.9600000000000009</v>
      </c>
      <c r="K10">
        <f>VLOOKUP(A10,'Short-term interest Rates daily'!$A:$E,4,FALSE)</f>
        <v>12.44</v>
      </c>
      <c r="L10">
        <f>VLOOKUP(A10,'Short-term interest Rates daily'!$A:$E,5,FALSE)</f>
        <v>7.18</v>
      </c>
    </row>
    <row r="11" spans="1:18" x14ac:dyDescent="0.3">
      <c r="A11" s="1">
        <v>31422</v>
      </c>
      <c r="B11">
        <f>VLOOKUP(A11,'STOCK DATA'!$A$2:$H$522,2,FALSE)</f>
        <v>123.83</v>
      </c>
      <c r="C11">
        <f>VLOOKUP($A11,'STOCK DATA'!$A$2:H$521,3,FALSE)</f>
        <v>1044.2</v>
      </c>
      <c r="D11">
        <f>VLOOKUP($A11,'STOCK DATA'!$A$2:$H$521,3,FALSE)</f>
        <v>1044.2</v>
      </c>
      <c r="E11">
        <f>VLOOKUP($A11,'STOCK DATA'!$A$2:$H$521,3,FALSE)</f>
        <v>1044.2</v>
      </c>
      <c r="F11">
        <f>VLOOKUP($A11,'STOCK DATA'!$A$2:$H$521,3,FALSE)</f>
        <v>1044.2</v>
      </c>
      <c r="G11">
        <f>VLOOKUP($A11,'STOCK DATA'!$A$2:$H$521,3,FALSE)</f>
        <v>1044.2</v>
      </c>
      <c r="H11">
        <f>VLOOKUP($A11,'STOCK DATA'!$A$2:$H$521,3,FALSE)</f>
        <v>1044.2</v>
      </c>
      <c r="I11">
        <f>VLOOKUP(A11,'Short-term interest Rates daily'!$A:$E,2,FALSE)</f>
        <v>19.25</v>
      </c>
      <c r="J11">
        <f>VLOOKUP(A11,'Short-term interest Rates daily'!$A:$E,3,FALSE)</f>
        <v>9.89</v>
      </c>
      <c r="K11">
        <f>VLOOKUP(A11,'Short-term interest Rates daily'!$A:$E,4,FALSE)</f>
        <v>12.25</v>
      </c>
      <c r="L11">
        <f>VLOOKUP(A11,'Short-term interest Rates daily'!$A:$E,5,FALSE)</f>
        <v>7.21</v>
      </c>
    </row>
    <row r="12" spans="1:18" x14ac:dyDescent="0.3">
      <c r="A12" s="1">
        <v>31423</v>
      </c>
      <c r="B12" t="e">
        <f>VLOOKUP(A12,'STOCK DATA'!$A$2:$H$522,2,FALSE)</f>
        <v>#N/A</v>
      </c>
      <c r="C12" t="e">
        <f>VLOOKUP($A12,'STOCK DATA'!$A$2:H$521,3,FALSE)</f>
        <v>#N/A</v>
      </c>
      <c r="D12" t="e">
        <f>VLOOKUP($A12,'STOCK DATA'!$A$2:$H$521,3,FALSE)</f>
        <v>#N/A</v>
      </c>
      <c r="E12" t="e">
        <f>VLOOKUP($A12,'STOCK DATA'!$A$2:$H$521,3,FALSE)</f>
        <v>#N/A</v>
      </c>
      <c r="F12" t="e">
        <f>VLOOKUP($A12,'STOCK DATA'!$A$2:$H$521,3,FALSE)</f>
        <v>#N/A</v>
      </c>
      <c r="G12" t="e">
        <f>VLOOKUP($A12,'STOCK DATA'!$A$2:$H$521,3,FALSE)</f>
        <v>#N/A</v>
      </c>
      <c r="H12" t="e">
        <f>VLOOKUP($A12,'STOCK DATA'!$A$2:$H$521,3,FALSE)</f>
        <v>#N/A</v>
      </c>
      <c r="I12" t="e">
        <f>VLOOKUP(A12,'Short-term interest Rates daily'!$A:$E,2,FALSE)</f>
        <v>#N/A</v>
      </c>
      <c r="J12" t="e">
        <f>VLOOKUP(A12,'Short-term interest Rates daily'!$A:$E,3,FALSE)</f>
        <v>#N/A</v>
      </c>
      <c r="K12" t="e">
        <f>VLOOKUP(A12,'Short-term interest Rates daily'!$A:$E,4,FALSE)</f>
        <v>#N/A</v>
      </c>
      <c r="L12" t="e">
        <f>VLOOKUP(A12,'Short-term interest Rates daily'!$A:$E,5,FALSE)</f>
        <v>#N/A</v>
      </c>
    </row>
    <row r="13" spans="1:18" x14ac:dyDescent="0.3">
      <c r="A13" s="1">
        <v>31424</v>
      </c>
      <c r="B13" t="e">
        <f>VLOOKUP(A13,'STOCK DATA'!$A$2:$H$522,2,FALSE)</f>
        <v>#N/A</v>
      </c>
      <c r="C13" t="e">
        <f>VLOOKUP($A13,'STOCK DATA'!$A$2:H$521,3,FALSE)</f>
        <v>#N/A</v>
      </c>
      <c r="D13" t="e">
        <f>VLOOKUP($A13,'STOCK DATA'!$A$2:$H$521,3,FALSE)</f>
        <v>#N/A</v>
      </c>
      <c r="E13" t="e">
        <f>VLOOKUP($A13,'STOCK DATA'!$A$2:$H$521,3,FALSE)</f>
        <v>#N/A</v>
      </c>
      <c r="F13" t="e">
        <f>VLOOKUP($A13,'STOCK DATA'!$A$2:$H$521,3,FALSE)</f>
        <v>#N/A</v>
      </c>
      <c r="G13" t="e">
        <f>VLOOKUP($A13,'STOCK DATA'!$A$2:$H$521,3,FALSE)</f>
        <v>#N/A</v>
      </c>
      <c r="H13" t="e">
        <f>VLOOKUP($A13,'STOCK DATA'!$A$2:$H$521,3,FALSE)</f>
        <v>#N/A</v>
      </c>
      <c r="I13" t="e">
        <f>VLOOKUP(A13,'Short-term interest Rates daily'!$A:$E,2,FALSE)</f>
        <v>#N/A</v>
      </c>
      <c r="J13" t="e">
        <f>VLOOKUP(A13,'Short-term interest Rates daily'!$A:$E,3,FALSE)</f>
        <v>#N/A</v>
      </c>
      <c r="K13" t="e">
        <f>VLOOKUP(A13,'Short-term interest Rates daily'!$A:$E,4,FALSE)</f>
        <v>#N/A</v>
      </c>
      <c r="L13" t="e">
        <f>VLOOKUP(A13,'Short-term interest Rates daily'!$A:$E,5,FALSE)</f>
        <v>#N/A</v>
      </c>
    </row>
    <row r="14" spans="1:18" x14ac:dyDescent="0.3">
      <c r="A14" s="1">
        <v>31425</v>
      </c>
      <c r="B14">
        <f>VLOOKUP(A14,'STOCK DATA'!$A$2:$H$522,2,FALSE)</f>
        <v>121.62</v>
      </c>
      <c r="C14">
        <f>VLOOKUP($A14,'STOCK DATA'!$A$2:H$521,3,FALSE)</f>
        <v>1051.0999999999999</v>
      </c>
      <c r="D14">
        <f>VLOOKUP($A14,'STOCK DATA'!$A$2:$H$521,3,FALSE)</f>
        <v>1051.0999999999999</v>
      </c>
      <c r="E14">
        <f>VLOOKUP($A14,'STOCK DATA'!$A$2:$H$521,3,FALSE)</f>
        <v>1051.0999999999999</v>
      </c>
      <c r="F14">
        <f>VLOOKUP($A14,'STOCK DATA'!$A$2:$H$521,3,FALSE)</f>
        <v>1051.0999999999999</v>
      </c>
      <c r="G14">
        <f>VLOOKUP($A14,'STOCK DATA'!$A$2:$H$521,3,FALSE)</f>
        <v>1051.0999999999999</v>
      </c>
      <c r="H14">
        <f>VLOOKUP($A14,'STOCK DATA'!$A$2:$H$521,3,FALSE)</f>
        <v>1051.0999999999999</v>
      </c>
      <c r="I14">
        <f>VLOOKUP(A14,'Short-term interest Rates daily'!$A:$E,2,FALSE)</f>
        <v>19.25</v>
      </c>
      <c r="J14">
        <f>VLOOKUP(A14,'Short-term interest Rates daily'!$A:$E,3,FALSE)</f>
        <v>10</v>
      </c>
      <c r="K14">
        <f>VLOOKUP(A14,'Short-term interest Rates daily'!$A:$E,4,FALSE)</f>
        <v>12.3</v>
      </c>
      <c r="L14">
        <f>VLOOKUP(A14,'Short-term interest Rates daily'!$A:$E,5,FALSE)</f>
        <v>7.24</v>
      </c>
    </row>
    <row r="15" spans="1:18" x14ac:dyDescent="0.3">
      <c r="A15" s="1">
        <v>31426</v>
      </c>
      <c r="B15">
        <f>VLOOKUP(A15,'STOCK DATA'!$A$2:$H$522,2,FALSE)</f>
        <v>122.62</v>
      </c>
      <c r="C15">
        <f>VLOOKUP($A15,'STOCK DATA'!$A$2:H$521,3,FALSE)</f>
        <v>1048.9000000000001</v>
      </c>
      <c r="D15">
        <f>VLOOKUP($A15,'STOCK DATA'!$A$2:$H$521,3,FALSE)</f>
        <v>1048.9000000000001</v>
      </c>
      <c r="E15">
        <f>VLOOKUP($A15,'STOCK DATA'!$A$2:$H$521,3,FALSE)</f>
        <v>1048.9000000000001</v>
      </c>
      <c r="F15">
        <f>VLOOKUP($A15,'STOCK DATA'!$A$2:$H$521,3,FALSE)</f>
        <v>1048.9000000000001</v>
      </c>
      <c r="G15">
        <f>VLOOKUP($A15,'STOCK DATA'!$A$2:$H$521,3,FALSE)</f>
        <v>1048.9000000000001</v>
      </c>
      <c r="H15">
        <f>VLOOKUP($A15,'STOCK DATA'!$A$2:$H$521,3,FALSE)</f>
        <v>1048.9000000000001</v>
      </c>
      <c r="I15">
        <f>VLOOKUP(A15,'Short-term interest Rates daily'!$A:$E,2,FALSE)</f>
        <v>19.38</v>
      </c>
      <c r="J15">
        <f>VLOOKUP(A15,'Short-term interest Rates daily'!$A:$E,3,FALSE)</f>
        <v>10.09</v>
      </c>
      <c r="K15">
        <f>VLOOKUP(A15,'Short-term interest Rates daily'!$A:$E,4,FALSE)</f>
        <v>12.3</v>
      </c>
      <c r="L15">
        <f>VLOOKUP(A15,'Short-term interest Rates daily'!$A:$E,5,FALSE)</f>
        <v>7.24</v>
      </c>
    </row>
    <row r="16" spans="1:18" x14ac:dyDescent="0.3">
      <c r="A16" s="1">
        <v>31427</v>
      </c>
      <c r="B16">
        <f>VLOOKUP(A16,'STOCK DATA'!$A$2:$H$522,2,FALSE)</f>
        <v>124.53</v>
      </c>
      <c r="C16">
        <f>VLOOKUP($A16,'STOCK DATA'!$A$2:H$521,3,FALSE)</f>
        <v>1050.5</v>
      </c>
      <c r="D16">
        <f>VLOOKUP($A16,'STOCK DATA'!$A$2:$H$521,3,FALSE)</f>
        <v>1050.5</v>
      </c>
      <c r="E16">
        <f>VLOOKUP($A16,'STOCK DATA'!$A$2:$H$521,3,FALSE)</f>
        <v>1050.5</v>
      </c>
      <c r="F16">
        <f>VLOOKUP($A16,'STOCK DATA'!$A$2:$H$521,3,FALSE)</f>
        <v>1050.5</v>
      </c>
      <c r="G16">
        <f>VLOOKUP($A16,'STOCK DATA'!$A$2:$H$521,3,FALSE)</f>
        <v>1050.5</v>
      </c>
      <c r="H16">
        <f>VLOOKUP($A16,'STOCK DATA'!$A$2:$H$521,3,FALSE)</f>
        <v>1050.5</v>
      </c>
      <c r="I16">
        <f>VLOOKUP(A16,'Short-term interest Rates daily'!$A:$E,2,FALSE)</f>
        <v>19.25</v>
      </c>
      <c r="J16">
        <f>VLOOKUP(A16,'Short-term interest Rates daily'!$A:$E,3,FALSE)</f>
        <v>10.130000000000001</v>
      </c>
      <c r="K16">
        <f>VLOOKUP(A16,'Short-term interest Rates daily'!$A:$E,4,FALSE)</f>
        <v>12.5</v>
      </c>
      <c r="L16">
        <f>VLOOKUP(A16,'Short-term interest Rates daily'!$A:$E,5,FALSE)</f>
        <v>7.19</v>
      </c>
    </row>
    <row r="17" spans="1:12" x14ac:dyDescent="0.3">
      <c r="A17" s="1">
        <v>31428</v>
      </c>
      <c r="B17">
        <f>VLOOKUP(A17,'STOCK DATA'!$A$2:$H$522,2,FALSE)</f>
        <v>125.98</v>
      </c>
      <c r="C17">
        <f>VLOOKUP($A17,'STOCK DATA'!$A$2:H$521,3,FALSE)</f>
        <v>1060.9000000000001</v>
      </c>
      <c r="D17">
        <f>VLOOKUP($A17,'STOCK DATA'!$A$2:$H$521,3,FALSE)</f>
        <v>1060.9000000000001</v>
      </c>
      <c r="E17">
        <f>VLOOKUP($A17,'STOCK DATA'!$A$2:$H$521,3,FALSE)</f>
        <v>1060.9000000000001</v>
      </c>
      <c r="F17">
        <f>VLOOKUP($A17,'STOCK DATA'!$A$2:$H$521,3,FALSE)</f>
        <v>1060.9000000000001</v>
      </c>
      <c r="G17">
        <f>VLOOKUP($A17,'STOCK DATA'!$A$2:$H$521,3,FALSE)</f>
        <v>1060.9000000000001</v>
      </c>
      <c r="H17">
        <f>VLOOKUP($A17,'STOCK DATA'!$A$2:$H$521,3,FALSE)</f>
        <v>1060.9000000000001</v>
      </c>
      <c r="I17">
        <f>VLOOKUP(A17,'Short-term interest Rates daily'!$A:$E,2,FALSE)</f>
        <v>19.25</v>
      </c>
      <c r="J17">
        <f>VLOOKUP(A17,'Short-term interest Rates daily'!$A:$E,3,FALSE)</f>
        <v>10.119999999999999</v>
      </c>
      <c r="K17">
        <f>VLOOKUP(A17,'Short-term interest Rates daily'!$A:$E,4,FALSE)</f>
        <v>12.22</v>
      </c>
      <c r="L17">
        <f>VLOOKUP(A17,'Short-term interest Rates daily'!$A:$E,5,FALSE)</f>
        <v>7.08</v>
      </c>
    </row>
    <row r="18" spans="1:12" x14ac:dyDescent="0.3">
      <c r="A18" s="1">
        <v>31429</v>
      </c>
      <c r="B18">
        <f>VLOOKUP(A18,'STOCK DATA'!$A$2:$H$522,2,FALSE)</f>
        <v>125.45</v>
      </c>
      <c r="C18">
        <f>VLOOKUP($A18,'STOCK DATA'!$A$2:H$521,3,FALSE)</f>
        <v>1066.7</v>
      </c>
      <c r="D18">
        <f>VLOOKUP($A18,'STOCK DATA'!$A$2:$H$521,3,FALSE)</f>
        <v>1066.7</v>
      </c>
      <c r="E18">
        <f>VLOOKUP($A18,'STOCK DATA'!$A$2:$H$521,3,FALSE)</f>
        <v>1066.7</v>
      </c>
      <c r="F18">
        <f>VLOOKUP($A18,'STOCK DATA'!$A$2:$H$521,3,FALSE)</f>
        <v>1066.7</v>
      </c>
      <c r="G18">
        <f>VLOOKUP($A18,'STOCK DATA'!$A$2:$H$521,3,FALSE)</f>
        <v>1066.7</v>
      </c>
      <c r="H18">
        <f>VLOOKUP($A18,'STOCK DATA'!$A$2:$H$521,3,FALSE)</f>
        <v>1066.7</v>
      </c>
      <c r="I18">
        <f>VLOOKUP(A18,'Short-term interest Rates daily'!$A:$E,2,FALSE)</f>
        <v>19</v>
      </c>
      <c r="J18">
        <f>VLOOKUP(A18,'Short-term interest Rates daily'!$A:$E,3,FALSE)</f>
        <v>10.09</v>
      </c>
      <c r="K18">
        <f>VLOOKUP(A18,'Short-term interest Rates daily'!$A:$E,4,FALSE)</f>
        <v>12.24</v>
      </c>
      <c r="L18">
        <f>VLOOKUP(A18,'Short-term interest Rates daily'!$A:$E,5,FALSE)</f>
        <v>7.11</v>
      </c>
    </row>
    <row r="19" spans="1:12" x14ac:dyDescent="0.3">
      <c r="A19" s="1">
        <v>31430</v>
      </c>
      <c r="B19" t="e">
        <f>VLOOKUP(A19,'STOCK DATA'!$A$2:$H$522,2,FALSE)</f>
        <v>#N/A</v>
      </c>
      <c r="C19" t="e">
        <f>VLOOKUP($A19,'STOCK DATA'!$A$2:H$521,3,FALSE)</f>
        <v>#N/A</v>
      </c>
      <c r="D19" t="e">
        <f>VLOOKUP($A19,'STOCK DATA'!$A$2:$H$521,3,FALSE)</f>
        <v>#N/A</v>
      </c>
      <c r="E19" t="e">
        <f>VLOOKUP($A19,'STOCK DATA'!$A$2:$H$521,3,FALSE)</f>
        <v>#N/A</v>
      </c>
      <c r="F19" t="e">
        <f>VLOOKUP($A19,'STOCK DATA'!$A$2:$H$521,3,FALSE)</f>
        <v>#N/A</v>
      </c>
      <c r="G19" t="e">
        <f>VLOOKUP($A19,'STOCK DATA'!$A$2:$H$521,3,FALSE)</f>
        <v>#N/A</v>
      </c>
      <c r="H19" t="e">
        <f>VLOOKUP($A19,'STOCK DATA'!$A$2:$H$521,3,FALSE)</f>
        <v>#N/A</v>
      </c>
      <c r="I19" t="e">
        <f>VLOOKUP(A19,'Short-term interest Rates daily'!$A:$E,2,FALSE)</f>
        <v>#N/A</v>
      </c>
      <c r="J19" t="e">
        <f>VLOOKUP(A19,'Short-term interest Rates daily'!$A:$E,3,FALSE)</f>
        <v>#N/A</v>
      </c>
      <c r="K19" t="e">
        <f>VLOOKUP(A19,'Short-term interest Rates daily'!$A:$E,4,FALSE)</f>
        <v>#N/A</v>
      </c>
      <c r="L19" t="e">
        <f>VLOOKUP(A19,'Short-term interest Rates daily'!$A:$E,5,FALSE)</f>
        <v>#N/A</v>
      </c>
    </row>
    <row r="20" spans="1:12" x14ac:dyDescent="0.3">
      <c r="A20" s="1">
        <v>31431</v>
      </c>
      <c r="B20" t="e">
        <f>VLOOKUP(A20,'STOCK DATA'!$A$2:$H$522,2,FALSE)</f>
        <v>#N/A</v>
      </c>
      <c r="C20" t="e">
        <f>VLOOKUP($A20,'STOCK DATA'!$A$2:H$521,3,FALSE)</f>
        <v>#N/A</v>
      </c>
      <c r="D20" t="e">
        <f>VLOOKUP($A20,'STOCK DATA'!$A$2:$H$521,3,FALSE)</f>
        <v>#N/A</v>
      </c>
      <c r="E20" t="e">
        <f>VLOOKUP($A20,'STOCK DATA'!$A$2:$H$521,3,FALSE)</f>
        <v>#N/A</v>
      </c>
      <c r="F20" t="e">
        <f>VLOOKUP($A20,'STOCK DATA'!$A$2:$H$521,3,FALSE)</f>
        <v>#N/A</v>
      </c>
      <c r="G20" t="e">
        <f>VLOOKUP($A20,'STOCK DATA'!$A$2:$H$521,3,FALSE)</f>
        <v>#N/A</v>
      </c>
      <c r="H20" t="e">
        <f>VLOOKUP($A20,'STOCK DATA'!$A$2:$H$521,3,FALSE)</f>
        <v>#N/A</v>
      </c>
      <c r="I20" t="e">
        <f>VLOOKUP(A20,'Short-term interest Rates daily'!$A:$E,2,FALSE)</f>
        <v>#N/A</v>
      </c>
      <c r="J20" t="e">
        <f>VLOOKUP(A20,'Short-term interest Rates daily'!$A:$E,3,FALSE)</f>
        <v>#N/A</v>
      </c>
      <c r="K20" t="e">
        <f>VLOOKUP(A20,'Short-term interest Rates daily'!$A:$E,4,FALSE)</f>
        <v>#N/A</v>
      </c>
      <c r="L20" t="e">
        <f>VLOOKUP(A20,'Short-term interest Rates daily'!$A:$E,5,FALSE)</f>
        <v>#N/A</v>
      </c>
    </row>
    <row r="21" spans="1:12" x14ac:dyDescent="0.3">
      <c r="A21" s="1">
        <v>31432</v>
      </c>
      <c r="B21">
        <f>VLOOKUP(A21,'STOCK DATA'!$A$2:$H$522,2,FALSE)</f>
        <v>124.22</v>
      </c>
      <c r="C21">
        <f>VLOOKUP($A21,'STOCK DATA'!$A$2:H$521,3,FALSE)</f>
        <v>1065.5999999999999</v>
      </c>
      <c r="D21">
        <f>VLOOKUP($A21,'STOCK DATA'!$A$2:$H$521,3,FALSE)</f>
        <v>1065.5999999999999</v>
      </c>
      <c r="E21">
        <f>VLOOKUP($A21,'STOCK DATA'!$A$2:$H$521,3,FALSE)</f>
        <v>1065.5999999999999</v>
      </c>
      <c r="F21">
        <f>VLOOKUP($A21,'STOCK DATA'!$A$2:$H$521,3,FALSE)</f>
        <v>1065.5999999999999</v>
      </c>
      <c r="G21">
        <f>VLOOKUP($A21,'STOCK DATA'!$A$2:$H$521,3,FALSE)</f>
        <v>1065.5999999999999</v>
      </c>
      <c r="H21">
        <f>VLOOKUP($A21,'STOCK DATA'!$A$2:$H$521,3,FALSE)</f>
        <v>1065.5999999999999</v>
      </c>
      <c r="I21">
        <f>VLOOKUP(A21,'Short-term interest Rates daily'!$A:$E,2,FALSE)</f>
        <v>19</v>
      </c>
      <c r="J21">
        <f>VLOOKUP(A21,'Short-term interest Rates daily'!$A:$E,3,FALSE)</f>
        <v>10.1</v>
      </c>
      <c r="K21">
        <f>VLOOKUP(A21,'Short-term interest Rates daily'!$A:$E,4,FALSE)</f>
        <v>12.36</v>
      </c>
      <c r="L21">
        <f>VLOOKUP(A21,'Short-term interest Rates daily'!$A:$E,5,FALSE)</f>
        <v>0</v>
      </c>
    </row>
    <row r="22" spans="1:12" x14ac:dyDescent="0.3">
      <c r="A22" s="1">
        <v>31433</v>
      </c>
      <c r="B22">
        <f>VLOOKUP(A22,'STOCK DATA'!$A$2:$H$522,2,FALSE)</f>
        <v>124.49</v>
      </c>
      <c r="C22">
        <f>VLOOKUP($A22,'STOCK DATA'!$A$2:H$521,3,FALSE)</f>
        <v>1067.7</v>
      </c>
      <c r="D22">
        <f>VLOOKUP($A22,'STOCK DATA'!$A$2:$H$521,3,FALSE)</f>
        <v>1067.7</v>
      </c>
      <c r="E22">
        <f>VLOOKUP($A22,'STOCK DATA'!$A$2:$H$521,3,FALSE)</f>
        <v>1067.7</v>
      </c>
      <c r="F22">
        <f>VLOOKUP($A22,'STOCK DATA'!$A$2:$H$521,3,FALSE)</f>
        <v>1067.7</v>
      </c>
      <c r="G22">
        <f>VLOOKUP($A22,'STOCK DATA'!$A$2:$H$521,3,FALSE)</f>
        <v>1067.7</v>
      </c>
      <c r="H22">
        <f>VLOOKUP($A22,'STOCK DATA'!$A$2:$H$521,3,FALSE)</f>
        <v>1067.7</v>
      </c>
      <c r="I22">
        <f>VLOOKUP(A22,'Short-term interest Rates daily'!$A:$E,2,FALSE)</f>
        <v>19</v>
      </c>
      <c r="J22">
        <f>VLOOKUP(A22,'Short-term interest Rates daily'!$A:$E,3,FALSE)</f>
        <v>10.220000000000001</v>
      </c>
      <c r="K22">
        <f>VLOOKUP(A22,'Short-term interest Rates daily'!$A:$E,4,FALSE)</f>
        <v>12.75</v>
      </c>
      <c r="L22">
        <f>VLOOKUP(A22,'Short-term interest Rates daily'!$A:$E,5,FALSE)</f>
        <v>7.02</v>
      </c>
    </row>
    <row r="23" spans="1:12" x14ac:dyDescent="0.3">
      <c r="A23" s="1">
        <v>31434</v>
      </c>
      <c r="B23">
        <f>VLOOKUP(A23,'STOCK DATA'!$A$2:$H$522,2,FALSE)</f>
        <v>123.07</v>
      </c>
      <c r="C23">
        <f>VLOOKUP($A23,'STOCK DATA'!$A$2:H$521,3,FALSE)</f>
        <v>1069</v>
      </c>
      <c r="D23">
        <f>VLOOKUP($A23,'STOCK DATA'!$A$2:$H$521,3,FALSE)</f>
        <v>1069</v>
      </c>
      <c r="E23">
        <f>VLOOKUP($A23,'STOCK DATA'!$A$2:$H$521,3,FALSE)</f>
        <v>1069</v>
      </c>
      <c r="F23">
        <f>VLOOKUP($A23,'STOCK DATA'!$A$2:$H$521,3,FALSE)</f>
        <v>1069</v>
      </c>
      <c r="G23">
        <f>VLOOKUP($A23,'STOCK DATA'!$A$2:$H$521,3,FALSE)</f>
        <v>1069</v>
      </c>
      <c r="H23">
        <f>VLOOKUP($A23,'STOCK DATA'!$A$2:$H$521,3,FALSE)</f>
        <v>1069</v>
      </c>
      <c r="I23">
        <f>VLOOKUP(A23,'Short-term interest Rates daily'!$A:$E,2,FALSE)</f>
        <v>18.88</v>
      </c>
      <c r="J23">
        <f>VLOOKUP(A23,'Short-term interest Rates daily'!$A:$E,3,FALSE)</f>
        <v>10.07</v>
      </c>
      <c r="K23">
        <f>VLOOKUP(A23,'Short-term interest Rates daily'!$A:$E,4,FALSE)</f>
        <v>13.13</v>
      </c>
      <c r="L23">
        <f>VLOOKUP(A23,'Short-term interest Rates daily'!$A:$E,5,FALSE)</f>
        <v>7</v>
      </c>
    </row>
    <row r="24" spans="1:12" x14ac:dyDescent="0.3">
      <c r="A24" s="1">
        <v>31435</v>
      </c>
      <c r="B24">
        <f>VLOOKUP(A24,'STOCK DATA'!$A$2:$H$522,2,FALSE)</f>
        <v>118.52</v>
      </c>
      <c r="C24">
        <f>VLOOKUP($A24,'STOCK DATA'!$A$2:H$521,3,FALSE)</f>
        <v>1059.9000000000001</v>
      </c>
      <c r="D24">
        <f>VLOOKUP($A24,'STOCK DATA'!$A$2:$H$521,3,FALSE)</f>
        <v>1059.9000000000001</v>
      </c>
      <c r="E24">
        <f>VLOOKUP($A24,'STOCK DATA'!$A$2:$H$521,3,FALSE)</f>
        <v>1059.9000000000001</v>
      </c>
      <c r="F24">
        <f>VLOOKUP($A24,'STOCK DATA'!$A$2:$H$521,3,FALSE)</f>
        <v>1059.9000000000001</v>
      </c>
      <c r="G24">
        <f>VLOOKUP($A24,'STOCK DATA'!$A$2:$H$521,3,FALSE)</f>
        <v>1059.9000000000001</v>
      </c>
      <c r="H24">
        <f>VLOOKUP($A24,'STOCK DATA'!$A$2:$H$521,3,FALSE)</f>
        <v>1059.9000000000001</v>
      </c>
      <c r="I24">
        <f>VLOOKUP(A24,'Short-term interest Rates daily'!$A:$E,2,FALSE)</f>
        <v>18.75</v>
      </c>
      <c r="J24">
        <f>VLOOKUP(A24,'Short-term interest Rates daily'!$A:$E,3,FALSE)</f>
        <v>10.09</v>
      </c>
      <c r="K24">
        <f>VLOOKUP(A24,'Short-term interest Rates daily'!$A:$E,4,FALSE)</f>
        <v>13.13</v>
      </c>
      <c r="L24">
        <f>VLOOKUP(A24,'Short-term interest Rates daily'!$A:$E,5,FALSE)</f>
        <v>6.97</v>
      </c>
    </row>
    <row r="25" spans="1:12" x14ac:dyDescent="0.3">
      <c r="A25" s="1">
        <v>31436</v>
      </c>
      <c r="B25">
        <f>VLOOKUP(A25,'STOCK DATA'!$A$2:$H$522,2,FALSE)</f>
        <v>121.62</v>
      </c>
      <c r="C25">
        <f>VLOOKUP($A25,'STOCK DATA'!$A$2:H$521,3,FALSE)</f>
        <v>1052.9000000000001</v>
      </c>
      <c r="D25">
        <f>VLOOKUP($A25,'STOCK DATA'!$A$2:$H$521,3,FALSE)</f>
        <v>1052.9000000000001</v>
      </c>
      <c r="E25">
        <f>VLOOKUP($A25,'STOCK DATA'!$A$2:$H$521,3,FALSE)</f>
        <v>1052.9000000000001</v>
      </c>
      <c r="F25">
        <f>VLOOKUP($A25,'STOCK DATA'!$A$2:$H$521,3,FALSE)</f>
        <v>1052.9000000000001</v>
      </c>
      <c r="G25">
        <f>VLOOKUP($A25,'STOCK DATA'!$A$2:$H$521,3,FALSE)</f>
        <v>1052.9000000000001</v>
      </c>
      <c r="H25">
        <f>VLOOKUP($A25,'STOCK DATA'!$A$2:$H$521,3,FALSE)</f>
        <v>1052.9000000000001</v>
      </c>
      <c r="I25">
        <f>VLOOKUP(A25,'Short-term interest Rates daily'!$A:$E,2,FALSE)</f>
        <v>18.75</v>
      </c>
      <c r="J25">
        <f>VLOOKUP(A25,'Short-term interest Rates daily'!$A:$E,3,FALSE)</f>
        <v>10.28</v>
      </c>
      <c r="K25">
        <f>VLOOKUP(A25,'Short-term interest Rates daily'!$A:$E,4,FALSE)</f>
        <v>12.82</v>
      </c>
      <c r="L25">
        <f>VLOOKUP(A25,'Short-term interest Rates daily'!$A:$E,5,FALSE)</f>
        <v>6.97</v>
      </c>
    </row>
    <row r="26" spans="1:12" x14ac:dyDescent="0.3">
      <c r="A26" s="1">
        <v>31437</v>
      </c>
      <c r="B26" t="e">
        <f>VLOOKUP(A26,'STOCK DATA'!$A$2:$H$522,2,FALSE)</f>
        <v>#N/A</v>
      </c>
      <c r="C26" t="e">
        <f>VLOOKUP($A26,'STOCK DATA'!$A$2:H$521,3,FALSE)</f>
        <v>#N/A</v>
      </c>
      <c r="D26" t="e">
        <f>VLOOKUP($A26,'STOCK DATA'!$A$2:$H$521,3,FALSE)</f>
        <v>#N/A</v>
      </c>
      <c r="E26" t="e">
        <f>VLOOKUP($A26,'STOCK DATA'!$A$2:$H$521,3,FALSE)</f>
        <v>#N/A</v>
      </c>
      <c r="F26" t="e">
        <f>VLOOKUP($A26,'STOCK DATA'!$A$2:$H$521,3,FALSE)</f>
        <v>#N/A</v>
      </c>
      <c r="G26" t="e">
        <f>VLOOKUP($A26,'STOCK DATA'!$A$2:$H$521,3,FALSE)</f>
        <v>#N/A</v>
      </c>
      <c r="H26" t="e">
        <f>VLOOKUP($A26,'STOCK DATA'!$A$2:$H$521,3,FALSE)</f>
        <v>#N/A</v>
      </c>
      <c r="I26" t="e">
        <f>VLOOKUP(A26,'Short-term interest Rates daily'!$A:$E,2,FALSE)</f>
        <v>#N/A</v>
      </c>
      <c r="J26" t="e">
        <f>VLOOKUP(A26,'Short-term interest Rates daily'!$A:$E,3,FALSE)</f>
        <v>#N/A</v>
      </c>
      <c r="K26" t="e">
        <f>VLOOKUP(A26,'Short-term interest Rates daily'!$A:$E,4,FALSE)</f>
        <v>#N/A</v>
      </c>
      <c r="L26" t="e">
        <f>VLOOKUP(A26,'Short-term interest Rates daily'!$A:$E,5,FALSE)</f>
        <v>#N/A</v>
      </c>
    </row>
    <row r="27" spans="1:12" x14ac:dyDescent="0.3">
      <c r="A27" s="1">
        <v>31438</v>
      </c>
      <c r="B27" t="e">
        <f>VLOOKUP(A27,'STOCK DATA'!$A$2:$H$522,2,FALSE)</f>
        <v>#N/A</v>
      </c>
      <c r="C27" t="e">
        <f>VLOOKUP($A27,'STOCK DATA'!$A$2:H$521,3,FALSE)</f>
        <v>#N/A</v>
      </c>
      <c r="D27" t="e">
        <f>VLOOKUP($A27,'STOCK DATA'!$A$2:$H$521,3,FALSE)</f>
        <v>#N/A</v>
      </c>
      <c r="E27" t="e">
        <f>VLOOKUP($A27,'STOCK DATA'!$A$2:$H$521,3,FALSE)</f>
        <v>#N/A</v>
      </c>
      <c r="F27" t="e">
        <f>VLOOKUP($A27,'STOCK DATA'!$A$2:$H$521,3,FALSE)</f>
        <v>#N/A</v>
      </c>
      <c r="G27" t="e">
        <f>VLOOKUP($A27,'STOCK DATA'!$A$2:$H$521,3,FALSE)</f>
        <v>#N/A</v>
      </c>
      <c r="H27" t="e">
        <f>VLOOKUP($A27,'STOCK DATA'!$A$2:$H$521,3,FALSE)</f>
        <v>#N/A</v>
      </c>
      <c r="I27" t="e">
        <f>VLOOKUP(A27,'Short-term interest Rates daily'!$A:$E,2,FALSE)</f>
        <v>#N/A</v>
      </c>
      <c r="J27" t="e">
        <f>VLOOKUP(A27,'Short-term interest Rates daily'!$A:$E,3,FALSE)</f>
        <v>#N/A</v>
      </c>
      <c r="K27" t="e">
        <f>VLOOKUP(A27,'Short-term interest Rates daily'!$A:$E,4,FALSE)</f>
        <v>#N/A</v>
      </c>
      <c r="L27" t="e">
        <f>VLOOKUP(A27,'Short-term interest Rates daily'!$A:$E,5,FALSE)</f>
        <v>#N/A</v>
      </c>
    </row>
    <row r="28" spans="1:12" x14ac:dyDescent="0.3">
      <c r="A28" s="1">
        <v>31439</v>
      </c>
      <c r="B28">
        <f>VLOOKUP(A28,'STOCK DATA'!$A$2:$H$522,2,FALSE)</f>
        <v>122.19</v>
      </c>
      <c r="C28">
        <f>VLOOKUP($A28,'STOCK DATA'!$A$2:H$521,3,FALSE)</f>
        <v>0</v>
      </c>
      <c r="D28">
        <f>VLOOKUP($A28,'STOCK DATA'!$A$2:$H$521,3,FALSE)</f>
        <v>0</v>
      </c>
      <c r="E28">
        <f>VLOOKUP($A28,'STOCK DATA'!$A$2:$H$521,3,FALSE)</f>
        <v>0</v>
      </c>
      <c r="F28">
        <f>VLOOKUP($A28,'STOCK DATA'!$A$2:$H$521,3,FALSE)</f>
        <v>0</v>
      </c>
      <c r="G28">
        <f>VLOOKUP($A28,'STOCK DATA'!$A$2:$H$521,3,FALSE)</f>
        <v>0</v>
      </c>
      <c r="H28">
        <f>VLOOKUP($A28,'STOCK DATA'!$A$2:$H$521,3,FALSE)</f>
        <v>0</v>
      </c>
      <c r="I28">
        <f>VLOOKUP(A28,'Short-term interest Rates daily'!$A:$E,2,FALSE)</f>
        <v>0</v>
      </c>
      <c r="J28">
        <f>VLOOKUP(A28,'Short-term interest Rates daily'!$A:$E,3,FALSE)</f>
        <v>10.43</v>
      </c>
      <c r="K28">
        <f>VLOOKUP(A28,'Short-term interest Rates daily'!$A:$E,4,FALSE)</f>
        <v>12.72</v>
      </c>
      <c r="L28">
        <f>VLOOKUP(A28,'Short-term interest Rates daily'!$A:$E,5,FALSE)</f>
        <v>6.95</v>
      </c>
    </row>
    <row r="29" spans="1:12" x14ac:dyDescent="0.3">
      <c r="A29" s="1">
        <v>31440</v>
      </c>
      <c r="B29">
        <f>VLOOKUP(A29,'STOCK DATA'!$A$2:$H$522,2,FALSE)</f>
        <v>120.99</v>
      </c>
      <c r="C29">
        <f>VLOOKUP($A29,'STOCK DATA'!$A$2:H$521,3,FALSE)</f>
        <v>1055.5999999999999</v>
      </c>
      <c r="D29">
        <f>VLOOKUP($A29,'STOCK DATA'!$A$2:$H$521,3,FALSE)</f>
        <v>1055.5999999999999</v>
      </c>
      <c r="E29">
        <f>VLOOKUP($A29,'STOCK DATA'!$A$2:$H$521,3,FALSE)</f>
        <v>1055.5999999999999</v>
      </c>
      <c r="F29">
        <f>VLOOKUP($A29,'STOCK DATA'!$A$2:$H$521,3,FALSE)</f>
        <v>1055.5999999999999</v>
      </c>
      <c r="G29">
        <f>VLOOKUP($A29,'STOCK DATA'!$A$2:$H$521,3,FALSE)</f>
        <v>1055.5999999999999</v>
      </c>
      <c r="H29">
        <f>VLOOKUP($A29,'STOCK DATA'!$A$2:$H$521,3,FALSE)</f>
        <v>1055.5999999999999</v>
      </c>
      <c r="I29">
        <f>VLOOKUP(A29,'Short-term interest Rates daily'!$A:$E,2,FALSE)</f>
        <v>18.75</v>
      </c>
      <c r="J29">
        <f>VLOOKUP(A29,'Short-term interest Rates daily'!$A:$E,3,FALSE)</f>
        <v>10.5</v>
      </c>
      <c r="K29">
        <f>VLOOKUP(A29,'Short-term interest Rates daily'!$A:$E,4,FALSE)</f>
        <v>12.22</v>
      </c>
      <c r="L29">
        <f>VLOOKUP(A29,'Short-term interest Rates daily'!$A:$E,5,FALSE)</f>
        <v>6.92</v>
      </c>
    </row>
    <row r="30" spans="1:12" x14ac:dyDescent="0.3">
      <c r="A30" s="1">
        <v>31441</v>
      </c>
      <c r="B30">
        <f>VLOOKUP(A30,'STOCK DATA'!$A$2:$H$522,2,FALSE)</f>
        <v>120.02</v>
      </c>
      <c r="C30">
        <f>VLOOKUP($A30,'STOCK DATA'!$A$2:H$521,3,FALSE)</f>
        <v>1060.5</v>
      </c>
      <c r="D30">
        <f>VLOOKUP($A30,'STOCK DATA'!$A$2:$H$521,3,FALSE)</f>
        <v>1060.5</v>
      </c>
      <c r="E30">
        <f>VLOOKUP($A30,'STOCK DATA'!$A$2:$H$521,3,FALSE)</f>
        <v>1060.5</v>
      </c>
      <c r="F30">
        <f>VLOOKUP($A30,'STOCK DATA'!$A$2:$H$521,3,FALSE)</f>
        <v>1060.5</v>
      </c>
      <c r="G30">
        <f>VLOOKUP($A30,'STOCK DATA'!$A$2:$H$521,3,FALSE)</f>
        <v>1060.5</v>
      </c>
      <c r="H30">
        <f>VLOOKUP($A30,'STOCK DATA'!$A$2:$H$521,3,FALSE)</f>
        <v>1060.5</v>
      </c>
      <c r="I30">
        <f>VLOOKUP(A30,'Short-term interest Rates daily'!$A:$E,2,FALSE)</f>
        <v>18.5</v>
      </c>
      <c r="J30">
        <f>VLOOKUP(A30,'Short-term interest Rates daily'!$A:$E,3,FALSE)</f>
        <v>10.45</v>
      </c>
      <c r="K30">
        <f>VLOOKUP(A30,'Short-term interest Rates daily'!$A:$E,4,FALSE)</f>
        <v>12.28</v>
      </c>
      <c r="L30">
        <f>VLOOKUP(A30,'Short-term interest Rates daily'!$A:$E,5,FALSE)</f>
        <v>7.03</v>
      </c>
    </row>
    <row r="31" spans="1:12" x14ac:dyDescent="0.3">
      <c r="A31" s="1">
        <v>31442</v>
      </c>
      <c r="B31">
        <f>VLOOKUP(A31,'STOCK DATA'!$A$2:$H$522,2,FALSE)</f>
        <v>117.76</v>
      </c>
      <c r="C31">
        <f>VLOOKUP($A31,'STOCK DATA'!$A$2:H$521,3,FALSE)</f>
        <v>1074.2</v>
      </c>
      <c r="D31">
        <f>VLOOKUP($A31,'STOCK DATA'!$A$2:$H$521,3,FALSE)</f>
        <v>1074.2</v>
      </c>
      <c r="E31">
        <f>VLOOKUP($A31,'STOCK DATA'!$A$2:$H$521,3,FALSE)</f>
        <v>1074.2</v>
      </c>
      <c r="F31">
        <f>VLOOKUP($A31,'STOCK DATA'!$A$2:$H$521,3,FALSE)</f>
        <v>1074.2</v>
      </c>
      <c r="G31">
        <f>VLOOKUP($A31,'STOCK DATA'!$A$2:$H$521,3,FALSE)</f>
        <v>1074.2</v>
      </c>
      <c r="H31">
        <f>VLOOKUP($A31,'STOCK DATA'!$A$2:$H$521,3,FALSE)</f>
        <v>1074.2</v>
      </c>
      <c r="I31">
        <f>VLOOKUP(A31,'Short-term interest Rates daily'!$A:$E,2,FALSE)</f>
        <v>18.25</v>
      </c>
      <c r="J31">
        <f>VLOOKUP(A31,'Short-term interest Rates daily'!$A:$E,3,FALSE)</f>
        <v>10.7</v>
      </c>
      <c r="K31">
        <f>VLOOKUP(A31,'Short-term interest Rates daily'!$A:$E,4,FALSE)</f>
        <v>12.24</v>
      </c>
      <c r="L31">
        <f>VLOOKUP(A31,'Short-term interest Rates daily'!$A:$E,5,FALSE)</f>
        <v>7.04</v>
      </c>
    </row>
    <row r="32" spans="1:12" x14ac:dyDescent="0.3">
      <c r="A32" s="1">
        <v>31443</v>
      </c>
      <c r="B32">
        <f>VLOOKUP(A32,'STOCK DATA'!$A$2:$H$522,2,FALSE)</f>
        <v>119.53</v>
      </c>
      <c r="C32">
        <f>VLOOKUP($A32,'STOCK DATA'!$A$2:H$521,3,FALSE)</f>
        <v>1075.0999999999999</v>
      </c>
      <c r="D32">
        <f>VLOOKUP($A32,'STOCK DATA'!$A$2:$H$521,3,FALSE)</f>
        <v>1075.0999999999999</v>
      </c>
      <c r="E32">
        <f>VLOOKUP($A32,'STOCK DATA'!$A$2:$H$521,3,FALSE)</f>
        <v>1075.0999999999999</v>
      </c>
      <c r="F32">
        <f>VLOOKUP($A32,'STOCK DATA'!$A$2:$H$521,3,FALSE)</f>
        <v>1075.0999999999999</v>
      </c>
      <c r="G32">
        <f>VLOOKUP($A32,'STOCK DATA'!$A$2:$H$521,3,FALSE)</f>
        <v>1075.0999999999999</v>
      </c>
      <c r="H32">
        <f>VLOOKUP($A32,'STOCK DATA'!$A$2:$H$521,3,FALSE)</f>
        <v>1075.0999999999999</v>
      </c>
      <c r="I32">
        <f>VLOOKUP(A32,'Short-term interest Rates daily'!$A:$E,2,FALSE)</f>
        <v>18.75</v>
      </c>
      <c r="J32">
        <f>VLOOKUP(A32,'Short-term interest Rates daily'!$A:$E,3,FALSE)</f>
        <v>10.59</v>
      </c>
      <c r="K32">
        <f>VLOOKUP(A32,'Short-term interest Rates daily'!$A:$E,4,FALSE)</f>
        <v>12.24</v>
      </c>
      <c r="L32">
        <f>VLOOKUP(A32,'Short-term interest Rates daily'!$A:$E,5,FALSE)</f>
        <v>6.97</v>
      </c>
    </row>
    <row r="33" spans="1:12" x14ac:dyDescent="0.3">
      <c r="A33" s="1">
        <v>31444</v>
      </c>
      <c r="B33" t="e">
        <f>VLOOKUP(A33,'STOCK DATA'!$A$2:$H$522,2,FALSE)</f>
        <v>#N/A</v>
      </c>
      <c r="C33" t="e">
        <f>VLOOKUP($A33,'STOCK DATA'!$A$2:H$521,3,FALSE)</f>
        <v>#N/A</v>
      </c>
      <c r="D33" t="e">
        <f>VLOOKUP($A33,'STOCK DATA'!$A$2:$H$521,3,FALSE)</f>
        <v>#N/A</v>
      </c>
      <c r="E33" t="e">
        <f>VLOOKUP($A33,'STOCK DATA'!$A$2:$H$521,3,FALSE)</f>
        <v>#N/A</v>
      </c>
      <c r="F33" t="e">
        <f>VLOOKUP($A33,'STOCK DATA'!$A$2:$H$521,3,FALSE)</f>
        <v>#N/A</v>
      </c>
      <c r="G33" t="e">
        <f>VLOOKUP($A33,'STOCK DATA'!$A$2:$H$521,3,FALSE)</f>
        <v>#N/A</v>
      </c>
      <c r="H33" t="e">
        <f>VLOOKUP($A33,'STOCK DATA'!$A$2:$H$521,3,FALSE)</f>
        <v>#N/A</v>
      </c>
      <c r="I33" t="e">
        <f>VLOOKUP(A33,'Short-term interest Rates daily'!$A:$E,2,FALSE)</f>
        <v>#N/A</v>
      </c>
      <c r="J33" t="e">
        <f>VLOOKUP(A33,'Short-term interest Rates daily'!$A:$E,3,FALSE)</f>
        <v>#N/A</v>
      </c>
      <c r="K33" t="e">
        <f>VLOOKUP(A33,'Short-term interest Rates daily'!$A:$E,4,FALSE)</f>
        <v>#N/A</v>
      </c>
      <c r="L33" t="e">
        <f>VLOOKUP(A33,'Short-term interest Rates daily'!$A:$E,5,FALSE)</f>
        <v>#N/A</v>
      </c>
    </row>
    <row r="34" spans="1:12" x14ac:dyDescent="0.3">
      <c r="A34" s="1">
        <v>31445</v>
      </c>
      <c r="B34" t="e">
        <f>VLOOKUP(A34,'STOCK DATA'!$A$2:$H$522,2,FALSE)</f>
        <v>#N/A</v>
      </c>
      <c r="C34" t="e">
        <f>VLOOKUP($A34,'STOCK DATA'!$A$2:H$521,3,FALSE)</f>
        <v>#N/A</v>
      </c>
      <c r="D34" t="e">
        <f>VLOOKUP($A34,'STOCK DATA'!$A$2:$H$521,3,FALSE)</f>
        <v>#N/A</v>
      </c>
      <c r="E34" t="e">
        <f>VLOOKUP($A34,'STOCK DATA'!$A$2:$H$521,3,FALSE)</f>
        <v>#N/A</v>
      </c>
      <c r="F34" t="e">
        <f>VLOOKUP($A34,'STOCK DATA'!$A$2:$H$521,3,FALSE)</f>
        <v>#N/A</v>
      </c>
      <c r="G34" t="e">
        <f>VLOOKUP($A34,'STOCK DATA'!$A$2:$H$521,3,FALSE)</f>
        <v>#N/A</v>
      </c>
      <c r="H34" t="e">
        <f>VLOOKUP($A34,'STOCK DATA'!$A$2:$H$521,3,FALSE)</f>
        <v>#N/A</v>
      </c>
      <c r="I34" t="e">
        <f>VLOOKUP(A34,'Short-term interest Rates daily'!$A:$E,2,FALSE)</f>
        <v>#N/A</v>
      </c>
      <c r="J34" t="e">
        <f>VLOOKUP(A34,'Short-term interest Rates daily'!$A:$E,3,FALSE)</f>
        <v>#N/A</v>
      </c>
      <c r="K34" t="e">
        <f>VLOOKUP(A34,'Short-term interest Rates daily'!$A:$E,4,FALSE)</f>
        <v>#N/A</v>
      </c>
      <c r="L34" t="e">
        <f>VLOOKUP(A34,'Short-term interest Rates daily'!$A:$E,5,FALSE)</f>
        <v>#N/A</v>
      </c>
    </row>
    <row r="35" spans="1:12" x14ac:dyDescent="0.3">
      <c r="A35" s="1">
        <v>31446</v>
      </c>
      <c r="B35">
        <f>VLOOKUP(A35,'STOCK DATA'!$A$2:$H$522,2,FALSE)</f>
        <v>121.25</v>
      </c>
      <c r="C35">
        <f>VLOOKUP($A35,'STOCK DATA'!$A$2:H$521,3,FALSE)</f>
        <v>1072.9000000000001</v>
      </c>
      <c r="D35">
        <f>VLOOKUP($A35,'STOCK DATA'!$A$2:$H$521,3,FALSE)</f>
        <v>1072.9000000000001</v>
      </c>
      <c r="E35">
        <f>VLOOKUP($A35,'STOCK DATA'!$A$2:$H$521,3,FALSE)</f>
        <v>1072.9000000000001</v>
      </c>
      <c r="F35">
        <f>VLOOKUP($A35,'STOCK DATA'!$A$2:$H$521,3,FALSE)</f>
        <v>1072.9000000000001</v>
      </c>
      <c r="G35">
        <f>VLOOKUP($A35,'STOCK DATA'!$A$2:$H$521,3,FALSE)</f>
        <v>1072.9000000000001</v>
      </c>
      <c r="H35">
        <f>VLOOKUP($A35,'STOCK DATA'!$A$2:$H$521,3,FALSE)</f>
        <v>1072.9000000000001</v>
      </c>
      <c r="I35">
        <f>VLOOKUP(A35,'Short-term interest Rates daily'!$A:$E,2,FALSE)</f>
        <v>18.5</v>
      </c>
      <c r="J35">
        <f>VLOOKUP(A35,'Short-term interest Rates daily'!$A:$E,3,FALSE)</f>
        <v>10.74</v>
      </c>
      <c r="K35">
        <f>VLOOKUP(A35,'Short-term interest Rates daily'!$A:$E,4,FALSE)</f>
        <v>12.57</v>
      </c>
      <c r="L35">
        <f>VLOOKUP(A35,'Short-term interest Rates daily'!$A:$E,5,FALSE)</f>
        <v>7</v>
      </c>
    </row>
    <row r="36" spans="1:12" x14ac:dyDescent="0.3">
      <c r="A36" s="1">
        <v>31447</v>
      </c>
      <c r="B36">
        <f>VLOOKUP(A36,'STOCK DATA'!$A$2:$H$522,2,FALSE)</f>
        <v>122.5</v>
      </c>
      <c r="C36">
        <f>VLOOKUP($A36,'STOCK DATA'!$A$2:H$521,3,FALSE)</f>
        <v>1075.5999999999999</v>
      </c>
      <c r="D36">
        <f>VLOOKUP($A36,'STOCK DATA'!$A$2:$H$521,3,FALSE)</f>
        <v>1075.5999999999999</v>
      </c>
      <c r="E36">
        <f>VLOOKUP($A36,'STOCK DATA'!$A$2:$H$521,3,FALSE)</f>
        <v>1075.5999999999999</v>
      </c>
      <c r="F36">
        <f>VLOOKUP($A36,'STOCK DATA'!$A$2:$H$521,3,FALSE)</f>
        <v>1075.5999999999999</v>
      </c>
      <c r="G36">
        <f>VLOOKUP($A36,'STOCK DATA'!$A$2:$H$521,3,FALSE)</f>
        <v>1075.5999999999999</v>
      </c>
      <c r="H36">
        <f>VLOOKUP($A36,'STOCK DATA'!$A$2:$H$521,3,FALSE)</f>
        <v>1075.5999999999999</v>
      </c>
      <c r="I36">
        <f>VLOOKUP(A36,'Short-term interest Rates daily'!$A:$E,2,FALSE)</f>
        <v>18.5</v>
      </c>
      <c r="J36">
        <f>VLOOKUP(A36,'Short-term interest Rates daily'!$A:$E,3,FALSE)</f>
        <v>10.78</v>
      </c>
      <c r="K36">
        <f>VLOOKUP(A36,'Short-term interest Rates daily'!$A:$E,4,FALSE)</f>
        <v>12.69</v>
      </c>
      <c r="L36">
        <f>VLOOKUP(A36,'Short-term interest Rates daily'!$A:$E,5,FALSE)</f>
        <v>6.98</v>
      </c>
    </row>
    <row r="37" spans="1:12" x14ac:dyDescent="0.3">
      <c r="A37" s="1">
        <v>31448</v>
      </c>
      <c r="B37">
        <f>VLOOKUP(A37,'STOCK DATA'!$A$2:$H$522,2,FALSE)</f>
        <v>122.01</v>
      </c>
      <c r="C37">
        <f>VLOOKUP($A37,'STOCK DATA'!$A$2:H$521,3,FALSE)</f>
        <v>1060.7</v>
      </c>
      <c r="D37">
        <f>VLOOKUP($A37,'STOCK DATA'!$A$2:$H$521,3,FALSE)</f>
        <v>1060.7</v>
      </c>
      <c r="E37">
        <f>VLOOKUP($A37,'STOCK DATA'!$A$2:$H$521,3,FALSE)</f>
        <v>1060.7</v>
      </c>
      <c r="F37">
        <f>VLOOKUP($A37,'STOCK DATA'!$A$2:$H$521,3,FALSE)</f>
        <v>1060.7</v>
      </c>
      <c r="G37">
        <f>VLOOKUP($A37,'STOCK DATA'!$A$2:$H$521,3,FALSE)</f>
        <v>1060.7</v>
      </c>
      <c r="H37">
        <f>VLOOKUP($A37,'STOCK DATA'!$A$2:$H$521,3,FALSE)</f>
        <v>1060.7</v>
      </c>
      <c r="I37">
        <f>VLOOKUP(A37,'Short-term interest Rates daily'!$A:$E,2,FALSE)</f>
        <v>18.63</v>
      </c>
      <c r="J37">
        <f>VLOOKUP(A37,'Short-term interest Rates daily'!$A:$E,3,FALSE)</f>
        <v>11.08</v>
      </c>
      <c r="K37">
        <f>VLOOKUP(A37,'Short-term interest Rates daily'!$A:$E,4,FALSE)</f>
        <v>12.21</v>
      </c>
      <c r="L37">
        <f>VLOOKUP(A37,'Short-term interest Rates daily'!$A:$E,5,FALSE)</f>
        <v>7.01</v>
      </c>
    </row>
    <row r="38" spans="1:12" x14ac:dyDescent="0.3">
      <c r="A38" s="1">
        <v>31449</v>
      </c>
      <c r="B38">
        <f>VLOOKUP(A38,'STOCK DATA'!$A$2:$H$522,2,FALSE)</f>
        <v>121.61</v>
      </c>
      <c r="C38">
        <f>VLOOKUP($A38,'STOCK DATA'!$A$2:H$521,3,FALSE)</f>
        <v>1066.9000000000001</v>
      </c>
      <c r="D38">
        <f>VLOOKUP($A38,'STOCK DATA'!$A$2:$H$521,3,FALSE)</f>
        <v>1066.9000000000001</v>
      </c>
      <c r="E38">
        <f>VLOOKUP($A38,'STOCK DATA'!$A$2:$H$521,3,FALSE)</f>
        <v>1066.9000000000001</v>
      </c>
      <c r="F38">
        <f>VLOOKUP($A38,'STOCK DATA'!$A$2:$H$521,3,FALSE)</f>
        <v>1066.9000000000001</v>
      </c>
      <c r="G38">
        <f>VLOOKUP($A38,'STOCK DATA'!$A$2:$H$521,3,FALSE)</f>
        <v>1066.9000000000001</v>
      </c>
      <c r="H38">
        <f>VLOOKUP($A38,'STOCK DATA'!$A$2:$H$521,3,FALSE)</f>
        <v>1066.9000000000001</v>
      </c>
      <c r="I38">
        <f>VLOOKUP(A38,'Short-term interest Rates daily'!$A:$E,2,FALSE)</f>
        <v>18.5</v>
      </c>
      <c r="J38">
        <f>VLOOKUP(A38,'Short-term interest Rates daily'!$A:$E,3,FALSE)</f>
        <v>11.23</v>
      </c>
      <c r="K38">
        <f>VLOOKUP(A38,'Short-term interest Rates daily'!$A:$E,4,FALSE)</f>
        <v>12.2</v>
      </c>
      <c r="L38">
        <f>VLOOKUP(A38,'Short-term interest Rates daily'!$A:$E,5,FALSE)</f>
        <v>7.1</v>
      </c>
    </row>
    <row r="39" spans="1:12" x14ac:dyDescent="0.3">
      <c r="A39" s="1">
        <v>31450</v>
      </c>
      <c r="B39">
        <f>VLOOKUP(A39,'STOCK DATA'!$A$2:$H$522,2,FALSE)</f>
        <v>120.55</v>
      </c>
      <c r="C39">
        <f>VLOOKUP($A39,'STOCK DATA'!$A$2:H$521,3,FALSE)</f>
        <v>1069.4000000000001</v>
      </c>
      <c r="D39">
        <f>VLOOKUP($A39,'STOCK DATA'!$A$2:$H$521,3,FALSE)</f>
        <v>1069.4000000000001</v>
      </c>
      <c r="E39">
        <f>VLOOKUP($A39,'STOCK DATA'!$A$2:$H$521,3,FALSE)</f>
        <v>1069.4000000000001</v>
      </c>
      <c r="F39">
        <f>VLOOKUP($A39,'STOCK DATA'!$A$2:$H$521,3,FALSE)</f>
        <v>1069.4000000000001</v>
      </c>
      <c r="G39">
        <f>VLOOKUP($A39,'STOCK DATA'!$A$2:$H$521,3,FALSE)</f>
        <v>1069.4000000000001</v>
      </c>
      <c r="H39">
        <f>VLOOKUP($A39,'STOCK DATA'!$A$2:$H$521,3,FALSE)</f>
        <v>1069.4000000000001</v>
      </c>
      <c r="I39">
        <f>VLOOKUP(A39,'Short-term interest Rates daily'!$A:$E,2,FALSE)</f>
        <v>18.63</v>
      </c>
      <c r="J39">
        <f>VLOOKUP(A39,'Short-term interest Rates daily'!$A:$E,3,FALSE)</f>
        <v>11.33</v>
      </c>
      <c r="K39">
        <f>VLOOKUP(A39,'Short-term interest Rates daily'!$A:$E,4,FALSE)</f>
        <v>12.2</v>
      </c>
      <c r="L39">
        <f>VLOOKUP(A39,'Short-term interest Rates daily'!$A:$E,5,FALSE)</f>
        <v>7.21</v>
      </c>
    </row>
    <row r="40" spans="1:12" x14ac:dyDescent="0.3">
      <c r="A40" s="1">
        <v>31451</v>
      </c>
      <c r="B40" t="e">
        <f>VLOOKUP(A40,'STOCK DATA'!$A$2:$H$522,2,FALSE)</f>
        <v>#N/A</v>
      </c>
      <c r="C40" t="e">
        <f>VLOOKUP($A40,'STOCK DATA'!$A$2:H$521,3,FALSE)</f>
        <v>#N/A</v>
      </c>
      <c r="D40" t="e">
        <f>VLOOKUP($A40,'STOCK DATA'!$A$2:$H$521,3,FALSE)</f>
        <v>#N/A</v>
      </c>
      <c r="E40" t="e">
        <f>VLOOKUP($A40,'STOCK DATA'!$A$2:$H$521,3,FALSE)</f>
        <v>#N/A</v>
      </c>
      <c r="F40" t="e">
        <f>VLOOKUP($A40,'STOCK DATA'!$A$2:$H$521,3,FALSE)</f>
        <v>#N/A</v>
      </c>
      <c r="G40" t="e">
        <f>VLOOKUP($A40,'STOCK DATA'!$A$2:$H$521,3,FALSE)</f>
        <v>#N/A</v>
      </c>
      <c r="H40" t="e">
        <f>VLOOKUP($A40,'STOCK DATA'!$A$2:$H$521,3,FALSE)</f>
        <v>#N/A</v>
      </c>
      <c r="I40" t="e">
        <f>VLOOKUP(A40,'Short-term interest Rates daily'!$A:$E,2,FALSE)</f>
        <v>#N/A</v>
      </c>
      <c r="J40" t="e">
        <f>VLOOKUP(A40,'Short-term interest Rates daily'!$A:$E,3,FALSE)</f>
        <v>#N/A</v>
      </c>
      <c r="K40" t="e">
        <f>VLOOKUP(A40,'Short-term interest Rates daily'!$A:$E,4,FALSE)</f>
        <v>#N/A</v>
      </c>
      <c r="L40" t="e">
        <f>VLOOKUP(A40,'Short-term interest Rates daily'!$A:$E,5,FALSE)</f>
        <v>#N/A</v>
      </c>
    </row>
    <row r="41" spans="1:12" x14ac:dyDescent="0.3">
      <c r="A41" s="1">
        <v>31452</v>
      </c>
      <c r="B41" t="e">
        <f>VLOOKUP(A41,'STOCK DATA'!$A$2:$H$522,2,FALSE)</f>
        <v>#N/A</v>
      </c>
      <c r="C41" t="e">
        <f>VLOOKUP($A41,'STOCK DATA'!$A$2:H$521,3,FALSE)</f>
        <v>#N/A</v>
      </c>
      <c r="D41" t="e">
        <f>VLOOKUP($A41,'STOCK DATA'!$A$2:$H$521,3,FALSE)</f>
        <v>#N/A</v>
      </c>
      <c r="E41" t="e">
        <f>VLOOKUP($A41,'STOCK DATA'!$A$2:$H$521,3,FALSE)</f>
        <v>#N/A</v>
      </c>
      <c r="F41" t="e">
        <f>VLOOKUP($A41,'STOCK DATA'!$A$2:$H$521,3,FALSE)</f>
        <v>#N/A</v>
      </c>
      <c r="G41" t="e">
        <f>VLOOKUP($A41,'STOCK DATA'!$A$2:$H$521,3,FALSE)</f>
        <v>#N/A</v>
      </c>
      <c r="H41" t="e">
        <f>VLOOKUP($A41,'STOCK DATA'!$A$2:$H$521,3,FALSE)</f>
        <v>#N/A</v>
      </c>
      <c r="I41" t="e">
        <f>VLOOKUP(A41,'Short-term interest Rates daily'!$A:$E,2,FALSE)</f>
        <v>#N/A</v>
      </c>
      <c r="J41" t="e">
        <f>VLOOKUP(A41,'Short-term interest Rates daily'!$A:$E,3,FALSE)</f>
        <v>#N/A</v>
      </c>
      <c r="K41" t="e">
        <f>VLOOKUP(A41,'Short-term interest Rates daily'!$A:$E,4,FALSE)</f>
        <v>#N/A</v>
      </c>
      <c r="L41" t="e">
        <f>VLOOKUP(A41,'Short-term interest Rates daily'!$A:$E,5,FALSE)</f>
        <v>#N/A</v>
      </c>
    </row>
    <row r="42" spans="1:12" x14ac:dyDescent="0.3">
      <c r="A42" s="1">
        <v>31453</v>
      </c>
      <c r="B42">
        <f>VLOOKUP(A42,'STOCK DATA'!$A$2:$H$522,2,FALSE)</f>
        <v>121.1</v>
      </c>
      <c r="C42">
        <f>VLOOKUP($A42,'STOCK DATA'!$A$2:H$521,3,FALSE)</f>
        <v>1068.9000000000001</v>
      </c>
      <c r="D42">
        <f>VLOOKUP($A42,'STOCK DATA'!$A$2:$H$521,3,FALSE)</f>
        <v>1068.9000000000001</v>
      </c>
      <c r="E42">
        <f>VLOOKUP($A42,'STOCK DATA'!$A$2:$H$521,3,FALSE)</f>
        <v>1068.9000000000001</v>
      </c>
      <c r="F42">
        <f>VLOOKUP($A42,'STOCK DATA'!$A$2:$H$521,3,FALSE)</f>
        <v>1068.9000000000001</v>
      </c>
      <c r="G42">
        <f>VLOOKUP($A42,'STOCK DATA'!$A$2:$H$521,3,FALSE)</f>
        <v>1068.9000000000001</v>
      </c>
      <c r="H42">
        <f>VLOOKUP($A42,'STOCK DATA'!$A$2:$H$521,3,FALSE)</f>
        <v>1068.9000000000001</v>
      </c>
      <c r="I42">
        <f>VLOOKUP(A42,'Short-term interest Rates daily'!$A:$E,2,FALSE)</f>
        <v>18.75</v>
      </c>
      <c r="J42">
        <f>VLOOKUP(A42,'Short-term interest Rates daily'!$A:$E,3,FALSE)</f>
        <v>11.38</v>
      </c>
      <c r="K42">
        <f>VLOOKUP(A42,'Short-term interest Rates daily'!$A:$E,4,FALSE)</f>
        <v>12.2</v>
      </c>
      <c r="L42">
        <f>VLOOKUP(A42,'Short-term interest Rates daily'!$A:$E,5,FALSE)</f>
        <v>7.2</v>
      </c>
    </row>
    <row r="43" spans="1:12" x14ac:dyDescent="0.3">
      <c r="A43" s="1">
        <v>31454</v>
      </c>
      <c r="B43">
        <f>VLOOKUP(A43,'STOCK DATA'!$A$2:$H$522,2,FALSE)</f>
        <v>120.05</v>
      </c>
      <c r="C43">
        <f>VLOOKUP($A43,'STOCK DATA'!$A$2:H$521,3,FALSE)</f>
        <v>1064.5</v>
      </c>
      <c r="D43">
        <f>VLOOKUP($A43,'STOCK DATA'!$A$2:$H$521,3,FALSE)</f>
        <v>1064.5</v>
      </c>
      <c r="E43">
        <f>VLOOKUP($A43,'STOCK DATA'!$A$2:$H$521,3,FALSE)</f>
        <v>1064.5</v>
      </c>
      <c r="F43">
        <f>VLOOKUP($A43,'STOCK DATA'!$A$2:$H$521,3,FALSE)</f>
        <v>1064.5</v>
      </c>
      <c r="G43">
        <f>VLOOKUP($A43,'STOCK DATA'!$A$2:$H$521,3,FALSE)</f>
        <v>1064.5</v>
      </c>
      <c r="H43">
        <f>VLOOKUP($A43,'STOCK DATA'!$A$2:$H$521,3,FALSE)</f>
        <v>1064.5</v>
      </c>
      <c r="I43">
        <f>VLOOKUP(A43,'Short-term interest Rates daily'!$A:$E,2,FALSE)</f>
        <v>19.5</v>
      </c>
      <c r="J43">
        <f>VLOOKUP(A43,'Short-term interest Rates daily'!$A:$E,3,FALSE)</f>
        <v>11.4</v>
      </c>
      <c r="K43">
        <f>VLOOKUP(A43,'Short-term interest Rates daily'!$A:$E,4,FALSE)</f>
        <v>12.2</v>
      </c>
      <c r="L43">
        <f>VLOOKUP(A43,'Short-term interest Rates daily'!$A:$E,5,FALSE)</f>
        <v>7.11</v>
      </c>
    </row>
    <row r="44" spans="1:12" x14ac:dyDescent="0.3">
      <c r="A44" s="1">
        <v>31455</v>
      </c>
      <c r="B44">
        <f>VLOOKUP(A44,'STOCK DATA'!$A$2:$H$522,2,FALSE)</f>
        <v>119.15</v>
      </c>
      <c r="C44">
        <f>VLOOKUP($A44,'STOCK DATA'!$A$2:H$521,3,FALSE)</f>
        <v>1055.2</v>
      </c>
      <c r="D44">
        <f>VLOOKUP($A44,'STOCK DATA'!$A$2:$H$521,3,FALSE)</f>
        <v>1055.2</v>
      </c>
      <c r="E44">
        <f>VLOOKUP($A44,'STOCK DATA'!$A$2:$H$521,3,FALSE)</f>
        <v>1055.2</v>
      </c>
      <c r="F44">
        <f>VLOOKUP($A44,'STOCK DATA'!$A$2:$H$521,3,FALSE)</f>
        <v>1055.2</v>
      </c>
      <c r="G44">
        <f>VLOOKUP($A44,'STOCK DATA'!$A$2:$H$521,3,FALSE)</f>
        <v>1055.2</v>
      </c>
      <c r="H44">
        <f>VLOOKUP($A44,'STOCK DATA'!$A$2:$H$521,3,FALSE)</f>
        <v>1055.2</v>
      </c>
      <c r="I44">
        <f>VLOOKUP(A44,'Short-term interest Rates daily'!$A:$E,2,FALSE)</f>
        <v>19.25</v>
      </c>
      <c r="J44">
        <f>VLOOKUP(A44,'Short-term interest Rates daily'!$A:$E,3,FALSE)</f>
        <v>11.4</v>
      </c>
      <c r="K44">
        <f>VLOOKUP(A44,'Short-term interest Rates daily'!$A:$E,4,FALSE)</f>
        <v>12.27</v>
      </c>
      <c r="L44">
        <f>VLOOKUP(A44,'Short-term interest Rates daily'!$A:$E,5,FALSE)</f>
        <v>7.11</v>
      </c>
    </row>
    <row r="45" spans="1:12" x14ac:dyDescent="0.3">
      <c r="A45" s="1">
        <v>31456</v>
      </c>
      <c r="B45">
        <f>VLOOKUP(A45,'STOCK DATA'!$A$2:$H$522,2,FALSE)</f>
        <v>118.36</v>
      </c>
      <c r="C45">
        <f>VLOOKUP($A45,'STOCK DATA'!$A$2:H$521,3,FALSE)</f>
        <v>1039.7</v>
      </c>
      <c r="D45">
        <f>VLOOKUP($A45,'STOCK DATA'!$A$2:$H$521,3,FALSE)</f>
        <v>1039.7</v>
      </c>
      <c r="E45">
        <f>VLOOKUP($A45,'STOCK DATA'!$A$2:$H$521,3,FALSE)</f>
        <v>1039.7</v>
      </c>
      <c r="F45">
        <f>VLOOKUP($A45,'STOCK DATA'!$A$2:$H$521,3,FALSE)</f>
        <v>1039.7</v>
      </c>
      <c r="G45">
        <f>VLOOKUP($A45,'STOCK DATA'!$A$2:$H$521,3,FALSE)</f>
        <v>1039.7</v>
      </c>
      <c r="H45">
        <f>VLOOKUP($A45,'STOCK DATA'!$A$2:$H$521,3,FALSE)</f>
        <v>1039.7</v>
      </c>
      <c r="I45">
        <f>VLOOKUP(A45,'Short-term interest Rates daily'!$A:$E,2,FALSE)</f>
        <v>19.13</v>
      </c>
      <c r="J45">
        <f>VLOOKUP(A45,'Short-term interest Rates daily'!$A:$E,3,FALSE)</f>
        <v>11.9</v>
      </c>
      <c r="K45">
        <f>VLOOKUP(A45,'Short-term interest Rates daily'!$A:$E,4,FALSE)</f>
        <v>12.18</v>
      </c>
      <c r="L45">
        <f>VLOOKUP(A45,'Short-term interest Rates daily'!$A:$E,5,FALSE)</f>
        <v>7.1</v>
      </c>
    </row>
    <row r="46" spans="1:12" x14ac:dyDescent="0.3">
      <c r="A46" s="1">
        <v>31457</v>
      </c>
      <c r="B46">
        <f>VLOOKUP(A46,'STOCK DATA'!$A$2:$H$522,2,FALSE)</f>
        <v>118.78</v>
      </c>
      <c r="C46">
        <f>VLOOKUP($A46,'STOCK DATA'!$A$2:H$521,3,FALSE)</f>
        <v>1046.7</v>
      </c>
      <c r="D46">
        <f>VLOOKUP($A46,'STOCK DATA'!$A$2:$H$521,3,FALSE)</f>
        <v>1046.7</v>
      </c>
      <c r="E46">
        <f>VLOOKUP($A46,'STOCK DATA'!$A$2:$H$521,3,FALSE)</f>
        <v>1046.7</v>
      </c>
      <c r="F46">
        <f>VLOOKUP($A46,'STOCK DATA'!$A$2:$H$521,3,FALSE)</f>
        <v>1046.7</v>
      </c>
      <c r="G46">
        <f>VLOOKUP($A46,'STOCK DATA'!$A$2:$H$521,3,FALSE)</f>
        <v>1046.7</v>
      </c>
      <c r="H46">
        <f>VLOOKUP($A46,'STOCK DATA'!$A$2:$H$521,3,FALSE)</f>
        <v>1046.7</v>
      </c>
      <c r="I46">
        <f>VLOOKUP(A46,'Short-term interest Rates daily'!$A:$E,2,FALSE)</f>
        <v>18.63</v>
      </c>
      <c r="J46">
        <f>VLOOKUP(A46,'Short-term interest Rates daily'!$A:$E,3,FALSE)</f>
        <v>11.75</v>
      </c>
      <c r="K46">
        <f>VLOOKUP(A46,'Short-term interest Rates daily'!$A:$E,4,FALSE)</f>
        <v>12.18</v>
      </c>
      <c r="L46">
        <f>VLOOKUP(A46,'Short-term interest Rates daily'!$A:$E,5,FALSE)</f>
        <v>7.02</v>
      </c>
    </row>
    <row r="47" spans="1:12" x14ac:dyDescent="0.3">
      <c r="A47" s="1">
        <v>31458</v>
      </c>
      <c r="B47" t="e">
        <f>VLOOKUP(A47,'STOCK DATA'!$A$2:$H$522,2,FALSE)</f>
        <v>#N/A</v>
      </c>
      <c r="C47" t="e">
        <f>VLOOKUP($A47,'STOCK DATA'!$A$2:H$521,3,FALSE)</f>
        <v>#N/A</v>
      </c>
      <c r="D47" t="e">
        <f>VLOOKUP($A47,'STOCK DATA'!$A$2:$H$521,3,FALSE)</f>
        <v>#N/A</v>
      </c>
      <c r="E47" t="e">
        <f>VLOOKUP($A47,'STOCK DATA'!$A$2:$H$521,3,FALSE)</f>
        <v>#N/A</v>
      </c>
      <c r="F47" t="e">
        <f>VLOOKUP($A47,'STOCK DATA'!$A$2:$H$521,3,FALSE)</f>
        <v>#N/A</v>
      </c>
      <c r="G47" t="e">
        <f>VLOOKUP($A47,'STOCK DATA'!$A$2:$H$521,3,FALSE)</f>
        <v>#N/A</v>
      </c>
      <c r="H47" t="e">
        <f>VLOOKUP($A47,'STOCK DATA'!$A$2:$H$521,3,FALSE)</f>
        <v>#N/A</v>
      </c>
      <c r="I47" t="e">
        <f>VLOOKUP(A47,'Short-term interest Rates daily'!$A:$E,2,FALSE)</f>
        <v>#N/A</v>
      </c>
      <c r="J47" t="e">
        <f>VLOOKUP(A47,'Short-term interest Rates daily'!$A:$E,3,FALSE)</f>
        <v>#N/A</v>
      </c>
      <c r="K47" t="e">
        <f>VLOOKUP(A47,'Short-term interest Rates daily'!$A:$E,4,FALSE)</f>
        <v>#N/A</v>
      </c>
      <c r="L47" t="e">
        <f>VLOOKUP(A47,'Short-term interest Rates daily'!$A:$E,5,FALSE)</f>
        <v>#N/A</v>
      </c>
    </row>
    <row r="48" spans="1:12" x14ac:dyDescent="0.3">
      <c r="A48" s="1">
        <v>31459</v>
      </c>
      <c r="B48" t="e">
        <f>VLOOKUP(A48,'STOCK DATA'!$A$2:$H$522,2,FALSE)</f>
        <v>#N/A</v>
      </c>
      <c r="C48" t="e">
        <f>VLOOKUP($A48,'STOCK DATA'!$A$2:H$521,3,FALSE)</f>
        <v>#N/A</v>
      </c>
      <c r="D48" t="e">
        <f>VLOOKUP($A48,'STOCK DATA'!$A$2:$H$521,3,FALSE)</f>
        <v>#N/A</v>
      </c>
      <c r="E48" t="e">
        <f>VLOOKUP($A48,'STOCK DATA'!$A$2:$H$521,3,FALSE)</f>
        <v>#N/A</v>
      </c>
      <c r="F48" t="e">
        <f>VLOOKUP($A48,'STOCK DATA'!$A$2:$H$521,3,FALSE)</f>
        <v>#N/A</v>
      </c>
      <c r="G48" t="e">
        <f>VLOOKUP($A48,'STOCK DATA'!$A$2:$H$521,3,FALSE)</f>
        <v>#N/A</v>
      </c>
      <c r="H48" t="e">
        <f>VLOOKUP($A48,'STOCK DATA'!$A$2:$H$521,3,FALSE)</f>
        <v>#N/A</v>
      </c>
      <c r="I48" t="e">
        <f>VLOOKUP(A48,'Short-term interest Rates daily'!$A:$E,2,FALSE)</f>
        <v>#N/A</v>
      </c>
      <c r="J48" t="e">
        <f>VLOOKUP(A48,'Short-term interest Rates daily'!$A:$E,3,FALSE)</f>
        <v>#N/A</v>
      </c>
      <c r="K48" t="e">
        <f>VLOOKUP(A48,'Short-term interest Rates daily'!$A:$E,4,FALSE)</f>
        <v>#N/A</v>
      </c>
      <c r="L48" t="e">
        <f>VLOOKUP(A48,'Short-term interest Rates daily'!$A:$E,5,FALSE)</f>
        <v>#N/A</v>
      </c>
    </row>
    <row r="49" spans="1:12" x14ac:dyDescent="0.3">
      <c r="A49" s="1">
        <v>31460</v>
      </c>
      <c r="B49">
        <f>VLOOKUP(A49,'STOCK DATA'!$A$2:$H$522,2,FALSE)</f>
        <v>118.59</v>
      </c>
      <c r="C49">
        <f>VLOOKUP($A49,'STOCK DATA'!$A$2:H$521,3,FALSE)</f>
        <v>1048.5</v>
      </c>
      <c r="D49">
        <f>VLOOKUP($A49,'STOCK DATA'!$A$2:$H$521,3,FALSE)</f>
        <v>1048.5</v>
      </c>
      <c r="E49">
        <f>VLOOKUP($A49,'STOCK DATA'!$A$2:$H$521,3,FALSE)</f>
        <v>1048.5</v>
      </c>
      <c r="F49">
        <f>VLOOKUP($A49,'STOCK DATA'!$A$2:$H$521,3,FALSE)</f>
        <v>1048.5</v>
      </c>
      <c r="G49">
        <f>VLOOKUP($A49,'STOCK DATA'!$A$2:$H$521,3,FALSE)</f>
        <v>1048.5</v>
      </c>
      <c r="H49">
        <f>VLOOKUP($A49,'STOCK DATA'!$A$2:$H$521,3,FALSE)</f>
        <v>1048.5</v>
      </c>
      <c r="I49">
        <f>VLOOKUP(A49,'Short-term interest Rates daily'!$A:$E,2,FALSE)</f>
        <v>18.5</v>
      </c>
      <c r="J49">
        <f>VLOOKUP(A49,'Short-term interest Rates daily'!$A:$E,3,FALSE)</f>
        <v>11.72</v>
      </c>
      <c r="K49">
        <f>VLOOKUP(A49,'Short-term interest Rates daily'!$A:$E,4,FALSE)</f>
        <v>12.18</v>
      </c>
      <c r="L49">
        <f>VLOOKUP(A49,'Short-term interest Rates daily'!$A:$E,5,FALSE)</f>
        <v>0</v>
      </c>
    </row>
    <row r="50" spans="1:12" x14ac:dyDescent="0.3">
      <c r="A50" s="1">
        <v>31461</v>
      </c>
      <c r="B50">
        <f>VLOOKUP(A50,'STOCK DATA'!$A$2:$H$522,2,FALSE)</f>
        <v>118.23</v>
      </c>
      <c r="C50">
        <f>VLOOKUP($A50,'STOCK DATA'!$A$2:H$521,3,FALSE)</f>
        <v>1047.0999999999999</v>
      </c>
      <c r="D50">
        <f>VLOOKUP($A50,'STOCK DATA'!$A$2:$H$521,3,FALSE)</f>
        <v>1047.0999999999999</v>
      </c>
      <c r="E50">
        <f>VLOOKUP($A50,'STOCK DATA'!$A$2:$H$521,3,FALSE)</f>
        <v>1047.0999999999999</v>
      </c>
      <c r="F50">
        <f>VLOOKUP($A50,'STOCK DATA'!$A$2:$H$521,3,FALSE)</f>
        <v>1047.0999999999999</v>
      </c>
      <c r="G50">
        <f>VLOOKUP($A50,'STOCK DATA'!$A$2:$H$521,3,FALSE)</f>
        <v>1047.0999999999999</v>
      </c>
      <c r="H50">
        <f>VLOOKUP($A50,'STOCK DATA'!$A$2:$H$521,3,FALSE)</f>
        <v>1047.0999999999999</v>
      </c>
      <c r="I50">
        <f>VLOOKUP(A50,'Short-term interest Rates daily'!$A:$E,2,FALSE)</f>
        <v>18.88</v>
      </c>
      <c r="J50">
        <f>VLOOKUP(A50,'Short-term interest Rates daily'!$A:$E,3,FALSE)</f>
        <v>11.74</v>
      </c>
      <c r="K50">
        <f>VLOOKUP(A50,'Short-term interest Rates daily'!$A:$E,4,FALSE)</f>
        <v>12.17</v>
      </c>
      <c r="L50">
        <f>VLOOKUP(A50,'Short-term interest Rates daily'!$A:$E,5,FALSE)</f>
        <v>7.02</v>
      </c>
    </row>
    <row r="51" spans="1:12" x14ac:dyDescent="0.3">
      <c r="A51" s="1">
        <v>31462</v>
      </c>
      <c r="B51">
        <f>VLOOKUP(A51,'STOCK DATA'!$A$2:$H$522,2,FALSE)</f>
        <v>116.47</v>
      </c>
      <c r="C51">
        <f>VLOOKUP($A51,'STOCK DATA'!$A$2:H$521,3,FALSE)</f>
        <v>1049.5999999999999</v>
      </c>
      <c r="D51">
        <f>VLOOKUP($A51,'STOCK DATA'!$A$2:$H$521,3,FALSE)</f>
        <v>1049.5999999999999</v>
      </c>
      <c r="E51">
        <f>VLOOKUP($A51,'STOCK DATA'!$A$2:$H$521,3,FALSE)</f>
        <v>1049.5999999999999</v>
      </c>
      <c r="F51">
        <f>VLOOKUP($A51,'STOCK DATA'!$A$2:$H$521,3,FALSE)</f>
        <v>1049.5999999999999</v>
      </c>
      <c r="G51">
        <f>VLOOKUP($A51,'STOCK DATA'!$A$2:$H$521,3,FALSE)</f>
        <v>1049.5999999999999</v>
      </c>
      <c r="H51">
        <f>VLOOKUP($A51,'STOCK DATA'!$A$2:$H$521,3,FALSE)</f>
        <v>1049.5999999999999</v>
      </c>
      <c r="I51">
        <f>VLOOKUP(A51,'Short-term interest Rates daily'!$A:$E,2,FALSE)</f>
        <v>19.38</v>
      </c>
      <c r="J51">
        <f>VLOOKUP(A51,'Short-term interest Rates daily'!$A:$E,3,FALSE)</f>
        <v>11.74</v>
      </c>
      <c r="K51">
        <f>VLOOKUP(A51,'Short-term interest Rates daily'!$A:$E,4,FALSE)</f>
        <v>11.96</v>
      </c>
      <c r="L51">
        <f>VLOOKUP(A51,'Short-term interest Rates daily'!$A:$E,5,FALSE)</f>
        <v>7.08</v>
      </c>
    </row>
    <row r="52" spans="1:12" x14ac:dyDescent="0.3">
      <c r="A52" s="1">
        <v>31463</v>
      </c>
      <c r="B52">
        <f>VLOOKUP(A52,'STOCK DATA'!$A$2:$H$522,2,FALSE)</f>
        <v>115.73</v>
      </c>
      <c r="C52">
        <f>VLOOKUP($A52,'STOCK DATA'!$A$2:H$521,3,FALSE)</f>
        <v>1052.3</v>
      </c>
      <c r="D52">
        <f>VLOOKUP($A52,'STOCK DATA'!$A$2:$H$521,3,FALSE)</f>
        <v>1052.3</v>
      </c>
      <c r="E52">
        <f>VLOOKUP($A52,'STOCK DATA'!$A$2:$H$521,3,FALSE)</f>
        <v>1052.3</v>
      </c>
      <c r="F52">
        <f>VLOOKUP($A52,'STOCK DATA'!$A$2:$H$521,3,FALSE)</f>
        <v>1052.3</v>
      </c>
      <c r="G52">
        <f>VLOOKUP($A52,'STOCK DATA'!$A$2:$H$521,3,FALSE)</f>
        <v>1052.3</v>
      </c>
      <c r="H52">
        <f>VLOOKUP($A52,'STOCK DATA'!$A$2:$H$521,3,FALSE)</f>
        <v>1052.3</v>
      </c>
      <c r="I52">
        <f>VLOOKUP(A52,'Short-term interest Rates daily'!$A:$E,2,FALSE)</f>
        <v>19</v>
      </c>
      <c r="J52">
        <f>VLOOKUP(A52,'Short-term interest Rates daily'!$A:$E,3,FALSE)</f>
        <v>11.52</v>
      </c>
      <c r="K52">
        <f>VLOOKUP(A52,'Short-term interest Rates daily'!$A:$E,4,FALSE)</f>
        <v>12.05</v>
      </c>
      <c r="L52">
        <f>VLOOKUP(A52,'Short-term interest Rates daily'!$A:$E,5,FALSE)</f>
        <v>7.11</v>
      </c>
    </row>
    <row r="53" spans="1:12" x14ac:dyDescent="0.3">
      <c r="A53" s="1">
        <v>31464</v>
      </c>
      <c r="B53">
        <f>VLOOKUP(A53,'STOCK DATA'!$A$2:$H$522,2,FALSE)</f>
        <v>115.54</v>
      </c>
      <c r="C53">
        <f>VLOOKUP($A53,'STOCK DATA'!$A$2:H$521,3,FALSE)</f>
        <v>1057</v>
      </c>
      <c r="D53">
        <f>VLOOKUP($A53,'STOCK DATA'!$A$2:$H$521,3,FALSE)</f>
        <v>1057</v>
      </c>
      <c r="E53">
        <f>VLOOKUP($A53,'STOCK DATA'!$A$2:$H$521,3,FALSE)</f>
        <v>1057</v>
      </c>
      <c r="F53">
        <f>VLOOKUP($A53,'STOCK DATA'!$A$2:$H$521,3,FALSE)</f>
        <v>1057</v>
      </c>
      <c r="G53">
        <f>VLOOKUP($A53,'STOCK DATA'!$A$2:$H$521,3,FALSE)</f>
        <v>1057</v>
      </c>
      <c r="H53">
        <f>VLOOKUP($A53,'STOCK DATA'!$A$2:$H$521,3,FALSE)</f>
        <v>1057</v>
      </c>
      <c r="I53">
        <f>VLOOKUP(A53,'Short-term interest Rates daily'!$A:$E,2,FALSE)</f>
        <v>18.38</v>
      </c>
      <c r="J53">
        <f>VLOOKUP(A53,'Short-term interest Rates daily'!$A:$E,3,FALSE)</f>
        <v>11.45</v>
      </c>
      <c r="K53">
        <f>VLOOKUP(A53,'Short-term interest Rates daily'!$A:$E,4,FALSE)</f>
        <v>12.13</v>
      </c>
      <c r="L53">
        <f>VLOOKUP(A53,'Short-term interest Rates daily'!$A:$E,5,FALSE)</f>
        <v>6.98</v>
      </c>
    </row>
    <row r="54" spans="1:12" x14ac:dyDescent="0.3">
      <c r="A54" s="1">
        <v>31465</v>
      </c>
      <c r="B54" t="e">
        <f>VLOOKUP(A54,'STOCK DATA'!$A$2:$H$522,2,FALSE)</f>
        <v>#N/A</v>
      </c>
      <c r="C54" t="e">
        <f>VLOOKUP($A54,'STOCK DATA'!$A$2:H$521,3,FALSE)</f>
        <v>#N/A</v>
      </c>
      <c r="D54" t="e">
        <f>VLOOKUP($A54,'STOCK DATA'!$A$2:$H$521,3,FALSE)</f>
        <v>#N/A</v>
      </c>
      <c r="E54" t="e">
        <f>VLOOKUP($A54,'STOCK DATA'!$A$2:$H$521,3,FALSE)</f>
        <v>#N/A</v>
      </c>
      <c r="F54" t="e">
        <f>VLOOKUP($A54,'STOCK DATA'!$A$2:$H$521,3,FALSE)</f>
        <v>#N/A</v>
      </c>
      <c r="G54" t="e">
        <f>VLOOKUP($A54,'STOCK DATA'!$A$2:$H$521,3,FALSE)</f>
        <v>#N/A</v>
      </c>
      <c r="H54" t="e">
        <f>VLOOKUP($A54,'STOCK DATA'!$A$2:$H$521,3,FALSE)</f>
        <v>#N/A</v>
      </c>
      <c r="I54" t="e">
        <f>VLOOKUP(A54,'Short-term interest Rates daily'!$A:$E,2,FALSE)</f>
        <v>#N/A</v>
      </c>
      <c r="J54" t="e">
        <f>VLOOKUP(A54,'Short-term interest Rates daily'!$A:$E,3,FALSE)</f>
        <v>#N/A</v>
      </c>
      <c r="K54" t="e">
        <f>VLOOKUP(A54,'Short-term interest Rates daily'!$A:$E,4,FALSE)</f>
        <v>#N/A</v>
      </c>
      <c r="L54" t="e">
        <f>VLOOKUP(A54,'Short-term interest Rates daily'!$A:$E,5,FALSE)</f>
        <v>#N/A</v>
      </c>
    </row>
    <row r="55" spans="1:12" x14ac:dyDescent="0.3">
      <c r="A55" s="1">
        <v>31466</v>
      </c>
      <c r="B55" t="e">
        <f>VLOOKUP(A55,'STOCK DATA'!$A$2:$H$522,2,FALSE)</f>
        <v>#N/A</v>
      </c>
      <c r="C55" t="e">
        <f>VLOOKUP($A55,'STOCK DATA'!$A$2:H$521,3,FALSE)</f>
        <v>#N/A</v>
      </c>
      <c r="D55" t="e">
        <f>VLOOKUP($A55,'STOCK DATA'!$A$2:$H$521,3,FALSE)</f>
        <v>#N/A</v>
      </c>
      <c r="E55" t="e">
        <f>VLOOKUP($A55,'STOCK DATA'!$A$2:$H$521,3,FALSE)</f>
        <v>#N/A</v>
      </c>
      <c r="F55" t="e">
        <f>VLOOKUP($A55,'STOCK DATA'!$A$2:$H$521,3,FALSE)</f>
        <v>#N/A</v>
      </c>
      <c r="G55" t="e">
        <f>VLOOKUP($A55,'STOCK DATA'!$A$2:$H$521,3,FALSE)</f>
        <v>#N/A</v>
      </c>
      <c r="H55" t="e">
        <f>VLOOKUP($A55,'STOCK DATA'!$A$2:$H$521,3,FALSE)</f>
        <v>#N/A</v>
      </c>
      <c r="I55" t="e">
        <f>VLOOKUP(A55,'Short-term interest Rates daily'!$A:$E,2,FALSE)</f>
        <v>#N/A</v>
      </c>
      <c r="J55" t="e">
        <f>VLOOKUP(A55,'Short-term interest Rates daily'!$A:$E,3,FALSE)</f>
        <v>#N/A</v>
      </c>
      <c r="K55" t="e">
        <f>VLOOKUP(A55,'Short-term interest Rates daily'!$A:$E,4,FALSE)</f>
        <v>#N/A</v>
      </c>
      <c r="L55" t="e">
        <f>VLOOKUP(A55,'Short-term interest Rates daily'!$A:$E,5,FALSE)</f>
        <v>#N/A</v>
      </c>
    </row>
    <row r="56" spans="1:12" x14ac:dyDescent="0.3">
      <c r="A56" s="1">
        <v>31467</v>
      </c>
      <c r="B56">
        <f>VLOOKUP(A56,'STOCK DATA'!$A$2:$H$522,2,FALSE)</f>
        <v>114.3</v>
      </c>
      <c r="C56">
        <f>VLOOKUP($A56,'STOCK DATA'!$A$2:H$521,3,FALSE)</f>
        <v>1062</v>
      </c>
      <c r="D56">
        <f>VLOOKUP($A56,'STOCK DATA'!$A$2:$H$521,3,FALSE)</f>
        <v>1062</v>
      </c>
      <c r="E56">
        <f>VLOOKUP($A56,'STOCK DATA'!$A$2:$H$521,3,FALSE)</f>
        <v>1062</v>
      </c>
      <c r="F56">
        <f>VLOOKUP($A56,'STOCK DATA'!$A$2:$H$521,3,FALSE)</f>
        <v>1062</v>
      </c>
      <c r="G56">
        <f>VLOOKUP($A56,'STOCK DATA'!$A$2:$H$521,3,FALSE)</f>
        <v>1062</v>
      </c>
      <c r="H56">
        <f>VLOOKUP($A56,'STOCK DATA'!$A$2:$H$521,3,FALSE)</f>
        <v>1062</v>
      </c>
      <c r="I56">
        <f>VLOOKUP(A56,'Short-term interest Rates daily'!$A:$E,2,FALSE)</f>
        <v>18.5</v>
      </c>
      <c r="J56">
        <f>VLOOKUP(A56,'Short-term interest Rates daily'!$A:$E,3,FALSE)</f>
        <v>11.3</v>
      </c>
      <c r="K56">
        <f>VLOOKUP(A56,'Short-term interest Rates daily'!$A:$E,4,FALSE)</f>
        <v>11.93</v>
      </c>
      <c r="L56">
        <f>VLOOKUP(A56,'Short-term interest Rates daily'!$A:$E,5,FALSE)</f>
        <v>7.02</v>
      </c>
    </row>
    <row r="57" spans="1:12" x14ac:dyDescent="0.3">
      <c r="A57" s="1">
        <v>31468</v>
      </c>
      <c r="B57">
        <f>VLOOKUP(A57,'STOCK DATA'!$A$2:$H$522,2,FALSE)</f>
        <v>112.54</v>
      </c>
      <c r="C57">
        <f>VLOOKUP($A57,'STOCK DATA'!$A$2:H$521,3,FALSE)</f>
        <v>1046.5999999999999</v>
      </c>
      <c r="D57">
        <f>VLOOKUP($A57,'STOCK DATA'!$A$2:$H$521,3,FALSE)</f>
        <v>1046.5999999999999</v>
      </c>
      <c r="E57">
        <f>VLOOKUP($A57,'STOCK DATA'!$A$2:$H$521,3,FALSE)</f>
        <v>1046.5999999999999</v>
      </c>
      <c r="F57">
        <f>VLOOKUP($A57,'STOCK DATA'!$A$2:$H$521,3,FALSE)</f>
        <v>1046.5999999999999</v>
      </c>
      <c r="G57">
        <f>VLOOKUP($A57,'STOCK DATA'!$A$2:$H$521,3,FALSE)</f>
        <v>1046.5999999999999</v>
      </c>
      <c r="H57">
        <f>VLOOKUP($A57,'STOCK DATA'!$A$2:$H$521,3,FALSE)</f>
        <v>1046.5999999999999</v>
      </c>
      <c r="I57">
        <f>VLOOKUP(A57,'Short-term interest Rates daily'!$A:$E,2,FALSE)</f>
        <v>18.25</v>
      </c>
      <c r="J57">
        <f>VLOOKUP(A57,'Short-term interest Rates daily'!$A:$E,3,FALSE)</f>
        <v>11.38</v>
      </c>
      <c r="K57">
        <f>VLOOKUP(A57,'Short-term interest Rates daily'!$A:$E,4,FALSE)</f>
        <v>11.86</v>
      </c>
      <c r="L57">
        <f>VLOOKUP(A57,'Short-term interest Rates daily'!$A:$E,5,FALSE)</f>
        <v>7.05</v>
      </c>
    </row>
    <row r="58" spans="1:12" x14ac:dyDescent="0.3">
      <c r="A58" s="1">
        <v>31469</v>
      </c>
      <c r="B58">
        <f>VLOOKUP(A58,'STOCK DATA'!$A$2:$H$522,2,FALSE)</f>
        <v>112.92</v>
      </c>
      <c r="C58">
        <f>VLOOKUP($A58,'STOCK DATA'!$A$2:H$521,3,FALSE)</f>
        <v>1047</v>
      </c>
      <c r="D58">
        <f>VLOOKUP($A58,'STOCK DATA'!$A$2:$H$521,3,FALSE)</f>
        <v>1047</v>
      </c>
      <c r="E58">
        <f>VLOOKUP($A58,'STOCK DATA'!$A$2:$H$521,3,FALSE)</f>
        <v>1047</v>
      </c>
      <c r="F58">
        <f>VLOOKUP($A58,'STOCK DATA'!$A$2:$H$521,3,FALSE)</f>
        <v>1047</v>
      </c>
      <c r="G58">
        <f>VLOOKUP($A58,'STOCK DATA'!$A$2:$H$521,3,FALSE)</f>
        <v>1047</v>
      </c>
      <c r="H58">
        <f>VLOOKUP($A58,'STOCK DATA'!$A$2:$H$521,3,FALSE)</f>
        <v>1047</v>
      </c>
      <c r="I58">
        <f>VLOOKUP(A58,'Short-term interest Rates daily'!$A:$E,2,FALSE)</f>
        <v>18.25</v>
      </c>
      <c r="J58">
        <f>VLOOKUP(A58,'Short-term interest Rates daily'!$A:$E,3,FALSE)</f>
        <v>11.34</v>
      </c>
      <c r="K58">
        <f>VLOOKUP(A58,'Short-term interest Rates daily'!$A:$E,4,FALSE)</f>
        <v>11.91</v>
      </c>
      <c r="L58">
        <f>VLOOKUP(A58,'Short-term interest Rates daily'!$A:$E,5,FALSE)</f>
        <v>7.07</v>
      </c>
    </row>
    <row r="59" spans="1:12" x14ac:dyDescent="0.3">
      <c r="A59" s="1">
        <v>31470</v>
      </c>
      <c r="B59">
        <f>VLOOKUP(A59,'STOCK DATA'!$A$2:$H$522,2,FALSE)</f>
        <v>111.84</v>
      </c>
      <c r="C59">
        <f>VLOOKUP($A59,'STOCK DATA'!$A$2:H$521,3,FALSE)</f>
        <v>1041.5999999999999</v>
      </c>
      <c r="D59">
        <f>VLOOKUP($A59,'STOCK DATA'!$A$2:$H$521,3,FALSE)</f>
        <v>1041.5999999999999</v>
      </c>
      <c r="E59">
        <f>VLOOKUP($A59,'STOCK DATA'!$A$2:$H$521,3,FALSE)</f>
        <v>1041.5999999999999</v>
      </c>
      <c r="F59">
        <f>VLOOKUP($A59,'STOCK DATA'!$A$2:$H$521,3,FALSE)</f>
        <v>1041.5999999999999</v>
      </c>
      <c r="G59">
        <f>VLOOKUP($A59,'STOCK DATA'!$A$2:$H$521,3,FALSE)</f>
        <v>1041.5999999999999</v>
      </c>
      <c r="H59">
        <f>VLOOKUP($A59,'STOCK DATA'!$A$2:$H$521,3,FALSE)</f>
        <v>1041.5999999999999</v>
      </c>
      <c r="I59">
        <f>VLOOKUP(A59,'Short-term interest Rates daily'!$A:$E,2,FALSE)</f>
        <v>17.5</v>
      </c>
      <c r="J59">
        <f>VLOOKUP(A59,'Short-term interest Rates daily'!$A:$E,3,FALSE)</f>
        <v>11.59</v>
      </c>
      <c r="K59">
        <f>VLOOKUP(A59,'Short-term interest Rates daily'!$A:$E,4,FALSE)</f>
        <v>11.93</v>
      </c>
      <c r="L59">
        <f>VLOOKUP(A59,'Short-term interest Rates daily'!$A:$E,5,FALSE)</f>
        <v>7.03</v>
      </c>
    </row>
    <row r="60" spans="1:12" x14ac:dyDescent="0.3">
      <c r="A60" s="1">
        <v>31471</v>
      </c>
      <c r="B60">
        <f>VLOOKUP(A60,'STOCK DATA'!$A$2:$H$522,2,FALSE)</f>
        <v>112.4</v>
      </c>
      <c r="C60">
        <f>VLOOKUP($A60,'STOCK DATA'!$A$2:H$521,3,FALSE)</f>
        <v>1041.5999999999999</v>
      </c>
      <c r="D60">
        <f>VLOOKUP($A60,'STOCK DATA'!$A$2:$H$521,3,FALSE)</f>
        <v>1041.5999999999999</v>
      </c>
      <c r="E60">
        <f>VLOOKUP($A60,'STOCK DATA'!$A$2:$H$521,3,FALSE)</f>
        <v>1041.5999999999999</v>
      </c>
      <c r="F60">
        <f>VLOOKUP($A60,'STOCK DATA'!$A$2:$H$521,3,FALSE)</f>
        <v>1041.5999999999999</v>
      </c>
      <c r="G60">
        <f>VLOOKUP($A60,'STOCK DATA'!$A$2:$H$521,3,FALSE)</f>
        <v>1041.5999999999999</v>
      </c>
      <c r="H60">
        <f>VLOOKUP($A60,'STOCK DATA'!$A$2:$H$521,3,FALSE)</f>
        <v>1041.5999999999999</v>
      </c>
      <c r="I60">
        <f>VLOOKUP(A60,'Short-term interest Rates daily'!$A:$E,2,FALSE)</f>
        <v>17</v>
      </c>
      <c r="J60">
        <f>VLOOKUP(A60,'Short-term interest Rates daily'!$A:$E,3,FALSE)</f>
        <v>11.72</v>
      </c>
      <c r="K60">
        <f>VLOOKUP(A60,'Short-term interest Rates daily'!$A:$E,4,FALSE)</f>
        <v>11.96</v>
      </c>
      <c r="L60">
        <f>VLOOKUP(A60,'Short-term interest Rates daily'!$A:$E,5,FALSE)</f>
        <v>7.02</v>
      </c>
    </row>
    <row r="61" spans="1:12" x14ac:dyDescent="0.3">
      <c r="A61" s="1">
        <v>31472</v>
      </c>
      <c r="B61" t="e">
        <f>VLOOKUP(A61,'STOCK DATA'!$A$2:$H$522,2,FALSE)</f>
        <v>#N/A</v>
      </c>
      <c r="C61" t="e">
        <f>VLOOKUP($A61,'STOCK DATA'!$A$2:H$521,3,FALSE)</f>
        <v>#N/A</v>
      </c>
      <c r="D61" t="e">
        <f>VLOOKUP($A61,'STOCK DATA'!$A$2:$H$521,3,FALSE)</f>
        <v>#N/A</v>
      </c>
      <c r="E61" t="e">
        <f>VLOOKUP($A61,'STOCK DATA'!$A$2:$H$521,3,FALSE)</f>
        <v>#N/A</v>
      </c>
      <c r="F61" t="e">
        <f>VLOOKUP($A61,'STOCK DATA'!$A$2:$H$521,3,FALSE)</f>
        <v>#N/A</v>
      </c>
      <c r="G61" t="e">
        <f>VLOOKUP($A61,'STOCK DATA'!$A$2:$H$521,3,FALSE)</f>
        <v>#N/A</v>
      </c>
      <c r="H61" t="e">
        <f>VLOOKUP($A61,'STOCK DATA'!$A$2:$H$521,3,FALSE)</f>
        <v>#N/A</v>
      </c>
      <c r="I61" t="e">
        <f>VLOOKUP(A61,'Short-term interest Rates daily'!$A:$E,2,FALSE)</f>
        <v>#N/A</v>
      </c>
      <c r="J61" t="e">
        <f>VLOOKUP(A61,'Short-term interest Rates daily'!$A:$E,3,FALSE)</f>
        <v>#N/A</v>
      </c>
      <c r="K61" t="e">
        <f>VLOOKUP(A61,'Short-term interest Rates daily'!$A:$E,4,FALSE)</f>
        <v>#N/A</v>
      </c>
      <c r="L61" t="e">
        <f>VLOOKUP(A61,'Short-term interest Rates daily'!$A:$E,5,FALSE)</f>
        <v>#N/A</v>
      </c>
    </row>
    <row r="62" spans="1:12" x14ac:dyDescent="0.3">
      <c r="A62" s="1">
        <v>31473</v>
      </c>
      <c r="B62" t="e">
        <f>VLOOKUP(A62,'STOCK DATA'!$A$2:$H$522,2,FALSE)</f>
        <v>#N/A</v>
      </c>
      <c r="C62" t="e">
        <f>VLOOKUP($A62,'STOCK DATA'!$A$2:H$521,3,FALSE)</f>
        <v>#N/A</v>
      </c>
      <c r="D62" t="e">
        <f>VLOOKUP($A62,'STOCK DATA'!$A$2:$H$521,3,FALSE)</f>
        <v>#N/A</v>
      </c>
      <c r="E62" t="e">
        <f>VLOOKUP($A62,'STOCK DATA'!$A$2:$H$521,3,FALSE)</f>
        <v>#N/A</v>
      </c>
      <c r="F62" t="e">
        <f>VLOOKUP($A62,'STOCK DATA'!$A$2:$H$521,3,FALSE)</f>
        <v>#N/A</v>
      </c>
      <c r="G62" t="e">
        <f>VLOOKUP($A62,'STOCK DATA'!$A$2:$H$521,3,FALSE)</f>
        <v>#N/A</v>
      </c>
      <c r="H62" t="e">
        <f>VLOOKUP($A62,'STOCK DATA'!$A$2:$H$521,3,FALSE)</f>
        <v>#N/A</v>
      </c>
      <c r="I62" t="e">
        <f>VLOOKUP(A62,'Short-term interest Rates daily'!$A:$E,2,FALSE)</f>
        <v>#N/A</v>
      </c>
      <c r="J62" t="e">
        <f>VLOOKUP(A62,'Short-term interest Rates daily'!$A:$E,3,FALSE)</f>
        <v>#N/A</v>
      </c>
      <c r="K62" t="e">
        <f>VLOOKUP(A62,'Short-term interest Rates daily'!$A:$E,4,FALSE)</f>
        <v>#N/A</v>
      </c>
      <c r="L62" t="e">
        <f>VLOOKUP(A62,'Short-term interest Rates daily'!$A:$E,5,FALSE)</f>
        <v>#N/A</v>
      </c>
    </row>
    <row r="63" spans="1:12" x14ac:dyDescent="0.3">
      <c r="A63" s="1">
        <v>31474</v>
      </c>
      <c r="B63">
        <f>VLOOKUP(A63,'STOCK DATA'!$A$2:$H$522,2,FALSE)</f>
        <v>111.3</v>
      </c>
      <c r="C63">
        <f>VLOOKUP($A63,'STOCK DATA'!$A$2:H$521,3,FALSE)</f>
        <v>1041.5999999999999</v>
      </c>
      <c r="D63">
        <f>VLOOKUP($A63,'STOCK DATA'!$A$2:$H$521,3,FALSE)</f>
        <v>1041.5999999999999</v>
      </c>
      <c r="E63">
        <f>VLOOKUP($A63,'STOCK DATA'!$A$2:$H$521,3,FALSE)</f>
        <v>1041.5999999999999</v>
      </c>
      <c r="F63">
        <f>VLOOKUP($A63,'STOCK DATA'!$A$2:$H$521,3,FALSE)</f>
        <v>1041.5999999999999</v>
      </c>
      <c r="G63">
        <f>VLOOKUP($A63,'STOCK DATA'!$A$2:$H$521,3,FALSE)</f>
        <v>1041.5999999999999</v>
      </c>
      <c r="H63">
        <f>VLOOKUP($A63,'STOCK DATA'!$A$2:$H$521,3,FALSE)</f>
        <v>1041.5999999999999</v>
      </c>
      <c r="I63">
        <f>VLOOKUP(A63,'Short-term interest Rates daily'!$A:$E,2,FALSE)</f>
        <v>17</v>
      </c>
      <c r="J63">
        <f>VLOOKUP(A63,'Short-term interest Rates daily'!$A:$E,3,FALSE)</f>
        <v>11.77</v>
      </c>
      <c r="K63">
        <f>VLOOKUP(A63,'Short-term interest Rates daily'!$A:$E,4,FALSE)</f>
        <v>12.05</v>
      </c>
      <c r="L63">
        <f>VLOOKUP(A63,'Short-term interest Rates daily'!$A:$E,5,FALSE)</f>
        <v>6.97</v>
      </c>
    </row>
    <row r="64" spans="1:12" x14ac:dyDescent="0.3">
      <c r="A64" s="1">
        <v>31475</v>
      </c>
      <c r="B64">
        <f>VLOOKUP(A64,'STOCK DATA'!$A$2:$H$522,2,FALSE)</f>
        <v>114.46</v>
      </c>
      <c r="C64">
        <f>VLOOKUP($A64,'STOCK DATA'!$A$2:H$521,3,FALSE)</f>
        <v>1058.3</v>
      </c>
      <c r="D64">
        <f>VLOOKUP($A64,'STOCK DATA'!$A$2:$H$521,3,FALSE)</f>
        <v>1058.3</v>
      </c>
      <c r="E64">
        <f>VLOOKUP($A64,'STOCK DATA'!$A$2:$H$521,3,FALSE)</f>
        <v>1058.3</v>
      </c>
      <c r="F64">
        <f>VLOOKUP($A64,'STOCK DATA'!$A$2:$H$521,3,FALSE)</f>
        <v>1058.3</v>
      </c>
      <c r="G64">
        <f>VLOOKUP($A64,'STOCK DATA'!$A$2:$H$521,3,FALSE)</f>
        <v>1058.3</v>
      </c>
      <c r="H64">
        <f>VLOOKUP($A64,'STOCK DATA'!$A$2:$H$521,3,FALSE)</f>
        <v>1058.3</v>
      </c>
      <c r="I64">
        <f>VLOOKUP(A64,'Short-term interest Rates daily'!$A:$E,2,FALSE)</f>
        <v>16.5</v>
      </c>
      <c r="J64">
        <f>VLOOKUP(A64,'Short-term interest Rates daily'!$A:$E,3,FALSE)</f>
        <v>11.59</v>
      </c>
      <c r="K64">
        <f>VLOOKUP(A64,'Short-term interest Rates daily'!$A:$E,4,FALSE)</f>
        <v>12</v>
      </c>
      <c r="L64">
        <f>VLOOKUP(A64,'Short-term interest Rates daily'!$A:$E,5,FALSE)</f>
        <v>6.84</v>
      </c>
    </row>
    <row r="65" spans="1:12" x14ac:dyDescent="0.3">
      <c r="A65" s="1">
        <v>31476</v>
      </c>
      <c r="B65">
        <f>VLOOKUP(A65,'STOCK DATA'!$A$2:$H$522,2,FALSE)</f>
        <v>116.63</v>
      </c>
      <c r="C65">
        <f>VLOOKUP($A65,'STOCK DATA'!$A$2:H$521,3,FALSE)</f>
        <v>1058.4000000000001</v>
      </c>
      <c r="D65">
        <f>VLOOKUP($A65,'STOCK DATA'!$A$2:$H$521,3,FALSE)</f>
        <v>1058.4000000000001</v>
      </c>
      <c r="E65">
        <f>VLOOKUP($A65,'STOCK DATA'!$A$2:$H$521,3,FALSE)</f>
        <v>1058.4000000000001</v>
      </c>
      <c r="F65">
        <f>VLOOKUP($A65,'STOCK DATA'!$A$2:$H$521,3,FALSE)</f>
        <v>1058.4000000000001</v>
      </c>
      <c r="G65">
        <f>VLOOKUP($A65,'STOCK DATA'!$A$2:$H$521,3,FALSE)</f>
        <v>1058.4000000000001</v>
      </c>
      <c r="H65">
        <f>VLOOKUP($A65,'STOCK DATA'!$A$2:$H$521,3,FALSE)</f>
        <v>1058.4000000000001</v>
      </c>
      <c r="I65">
        <f>VLOOKUP(A65,'Short-term interest Rates daily'!$A:$E,2,FALSE)</f>
        <v>17.63</v>
      </c>
      <c r="J65">
        <f>VLOOKUP(A65,'Short-term interest Rates daily'!$A:$E,3,FALSE)</f>
        <v>11.63</v>
      </c>
      <c r="K65">
        <f>VLOOKUP(A65,'Short-term interest Rates daily'!$A:$E,4,FALSE)</f>
        <v>11.8</v>
      </c>
      <c r="L65">
        <f>VLOOKUP(A65,'Short-term interest Rates daily'!$A:$E,5,FALSE)</f>
        <v>6.85</v>
      </c>
    </row>
    <row r="66" spans="1:12" x14ac:dyDescent="0.3">
      <c r="A66" s="1">
        <v>31477</v>
      </c>
      <c r="B66">
        <f>VLOOKUP(A66,'STOCK DATA'!$A$2:$H$522,2,FALSE)</f>
        <v>117.83</v>
      </c>
      <c r="C66">
        <f>VLOOKUP($A66,'STOCK DATA'!$A$2:H$521,3,FALSE)</f>
        <v>1053.7</v>
      </c>
      <c r="D66">
        <f>VLOOKUP($A66,'STOCK DATA'!$A$2:$H$521,3,FALSE)</f>
        <v>1053.7</v>
      </c>
      <c r="E66">
        <f>VLOOKUP($A66,'STOCK DATA'!$A$2:$H$521,3,FALSE)</f>
        <v>1053.7</v>
      </c>
      <c r="F66">
        <f>VLOOKUP($A66,'STOCK DATA'!$A$2:$H$521,3,FALSE)</f>
        <v>1053.7</v>
      </c>
      <c r="G66">
        <f>VLOOKUP($A66,'STOCK DATA'!$A$2:$H$521,3,FALSE)</f>
        <v>1053.7</v>
      </c>
      <c r="H66">
        <f>VLOOKUP($A66,'STOCK DATA'!$A$2:$H$521,3,FALSE)</f>
        <v>1053.7</v>
      </c>
      <c r="I66">
        <f>VLOOKUP(A66,'Short-term interest Rates daily'!$A:$E,2,FALSE)</f>
        <v>17.63</v>
      </c>
      <c r="J66">
        <f>VLOOKUP(A66,'Short-term interest Rates daily'!$A:$E,3,FALSE)</f>
        <v>11.49</v>
      </c>
      <c r="K66">
        <f>VLOOKUP(A66,'Short-term interest Rates daily'!$A:$E,4,FALSE)</f>
        <v>11.78</v>
      </c>
      <c r="L66">
        <f>VLOOKUP(A66,'Short-term interest Rates daily'!$A:$E,5,FALSE)</f>
        <v>6.69</v>
      </c>
    </row>
    <row r="67" spans="1:12" x14ac:dyDescent="0.3">
      <c r="A67" s="1">
        <v>31478</v>
      </c>
      <c r="B67">
        <f>VLOOKUP(A67,'STOCK DATA'!$A$2:$H$522,2,FALSE)</f>
        <v>117.89</v>
      </c>
      <c r="C67">
        <f>VLOOKUP($A67,'STOCK DATA'!$A$2:H$521,3,FALSE)</f>
        <v>1055</v>
      </c>
      <c r="D67">
        <f>VLOOKUP($A67,'STOCK DATA'!$A$2:$H$521,3,FALSE)</f>
        <v>1055</v>
      </c>
      <c r="E67">
        <f>VLOOKUP($A67,'STOCK DATA'!$A$2:$H$521,3,FALSE)</f>
        <v>1055</v>
      </c>
      <c r="F67">
        <f>VLOOKUP($A67,'STOCK DATA'!$A$2:$H$521,3,FALSE)</f>
        <v>1055</v>
      </c>
      <c r="G67">
        <f>VLOOKUP($A67,'STOCK DATA'!$A$2:$H$521,3,FALSE)</f>
        <v>1055</v>
      </c>
      <c r="H67">
        <f>VLOOKUP($A67,'STOCK DATA'!$A$2:$H$521,3,FALSE)</f>
        <v>1055</v>
      </c>
      <c r="I67">
        <f>VLOOKUP(A67,'Short-term interest Rates daily'!$A:$E,2,FALSE)</f>
        <v>17.13</v>
      </c>
      <c r="J67">
        <f>VLOOKUP(A67,'Short-term interest Rates daily'!$A:$E,3,FALSE)</f>
        <v>11.18</v>
      </c>
      <c r="K67">
        <f>VLOOKUP(A67,'Short-term interest Rates daily'!$A:$E,4,FALSE)</f>
        <v>11.71</v>
      </c>
      <c r="L67">
        <f>VLOOKUP(A67,'Short-term interest Rates daily'!$A:$E,5,FALSE)</f>
        <v>6.61</v>
      </c>
    </row>
    <row r="68" spans="1:12" x14ac:dyDescent="0.3">
      <c r="A68" s="1">
        <v>31479</v>
      </c>
      <c r="B68" t="e">
        <f>VLOOKUP(A68,'STOCK DATA'!$A$2:$H$522,2,FALSE)</f>
        <v>#N/A</v>
      </c>
      <c r="C68" t="e">
        <f>VLOOKUP($A68,'STOCK DATA'!$A$2:H$521,3,FALSE)</f>
        <v>#N/A</v>
      </c>
      <c r="D68" t="e">
        <f>VLOOKUP($A68,'STOCK DATA'!$A$2:$H$521,3,FALSE)</f>
        <v>#N/A</v>
      </c>
      <c r="E68" t="e">
        <f>VLOOKUP($A68,'STOCK DATA'!$A$2:$H$521,3,FALSE)</f>
        <v>#N/A</v>
      </c>
      <c r="F68" t="e">
        <f>VLOOKUP($A68,'STOCK DATA'!$A$2:$H$521,3,FALSE)</f>
        <v>#N/A</v>
      </c>
      <c r="G68" t="e">
        <f>VLOOKUP($A68,'STOCK DATA'!$A$2:$H$521,3,FALSE)</f>
        <v>#N/A</v>
      </c>
      <c r="H68" t="e">
        <f>VLOOKUP($A68,'STOCK DATA'!$A$2:$H$521,3,FALSE)</f>
        <v>#N/A</v>
      </c>
      <c r="I68" t="e">
        <f>VLOOKUP(A68,'Short-term interest Rates daily'!$A:$E,2,FALSE)</f>
        <v>#N/A</v>
      </c>
      <c r="J68" t="e">
        <f>VLOOKUP(A68,'Short-term interest Rates daily'!$A:$E,3,FALSE)</f>
        <v>#N/A</v>
      </c>
      <c r="K68" t="e">
        <f>VLOOKUP(A68,'Short-term interest Rates daily'!$A:$E,4,FALSE)</f>
        <v>#N/A</v>
      </c>
      <c r="L68" t="e">
        <f>VLOOKUP(A68,'Short-term interest Rates daily'!$A:$E,5,FALSE)</f>
        <v>#N/A</v>
      </c>
    </row>
    <row r="69" spans="1:12" x14ac:dyDescent="0.3">
      <c r="A69" s="1">
        <v>31480</v>
      </c>
      <c r="B69" t="e">
        <f>VLOOKUP(A69,'STOCK DATA'!$A$2:$H$522,2,FALSE)</f>
        <v>#N/A</v>
      </c>
      <c r="C69" t="e">
        <f>VLOOKUP($A69,'STOCK DATA'!$A$2:H$521,3,FALSE)</f>
        <v>#N/A</v>
      </c>
      <c r="D69" t="e">
        <f>VLOOKUP($A69,'STOCK DATA'!$A$2:$H$521,3,FALSE)</f>
        <v>#N/A</v>
      </c>
      <c r="E69" t="e">
        <f>VLOOKUP($A69,'STOCK DATA'!$A$2:$H$521,3,FALSE)</f>
        <v>#N/A</v>
      </c>
      <c r="F69" t="e">
        <f>VLOOKUP($A69,'STOCK DATA'!$A$2:$H$521,3,FALSE)</f>
        <v>#N/A</v>
      </c>
      <c r="G69" t="e">
        <f>VLOOKUP($A69,'STOCK DATA'!$A$2:$H$521,3,FALSE)</f>
        <v>#N/A</v>
      </c>
      <c r="H69" t="e">
        <f>VLOOKUP($A69,'STOCK DATA'!$A$2:$H$521,3,FALSE)</f>
        <v>#N/A</v>
      </c>
      <c r="I69" t="e">
        <f>VLOOKUP(A69,'Short-term interest Rates daily'!$A:$E,2,FALSE)</f>
        <v>#N/A</v>
      </c>
      <c r="J69" t="e">
        <f>VLOOKUP(A69,'Short-term interest Rates daily'!$A:$E,3,FALSE)</f>
        <v>#N/A</v>
      </c>
      <c r="K69" t="e">
        <f>VLOOKUP(A69,'Short-term interest Rates daily'!$A:$E,4,FALSE)</f>
        <v>#N/A</v>
      </c>
      <c r="L69" t="e">
        <f>VLOOKUP(A69,'Short-term interest Rates daily'!$A:$E,5,FALSE)</f>
        <v>#N/A</v>
      </c>
    </row>
    <row r="70" spans="1:12" x14ac:dyDescent="0.3">
      <c r="A70" s="1">
        <v>31481</v>
      </c>
      <c r="B70">
        <f>VLOOKUP(A70,'STOCK DATA'!$A$2:$H$522,2,FALSE)</f>
        <v>119.76</v>
      </c>
      <c r="C70">
        <f>VLOOKUP($A70,'STOCK DATA'!$A$2:H$521,3,FALSE)</f>
        <v>1055</v>
      </c>
      <c r="D70">
        <f>VLOOKUP($A70,'STOCK DATA'!$A$2:$H$521,3,FALSE)</f>
        <v>1055</v>
      </c>
      <c r="E70">
        <f>VLOOKUP($A70,'STOCK DATA'!$A$2:$H$521,3,FALSE)</f>
        <v>1055</v>
      </c>
      <c r="F70">
        <f>VLOOKUP($A70,'STOCK DATA'!$A$2:$H$521,3,FALSE)</f>
        <v>1055</v>
      </c>
      <c r="G70">
        <f>VLOOKUP($A70,'STOCK DATA'!$A$2:$H$521,3,FALSE)</f>
        <v>1055</v>
      </c>
      <c r="H70">
        <f>VLOOKUP($A70,'STOCK DATA'!$A$2:$H$521,3,FALSE)</f>
        <v>1055</v>
      </c>
      <c r="I70">
        <f>VLOOKUP(A70,'Short-term interest Rates daily'!$A:$E,2,FALSE)</f>
        <v>17.25</v>
      </c>
      <c r="J70">
        <f>VLOOKUP(A70,'Short-term interest Rates daily'!$A:$E,3,FALSE)</f>
        <v>10.93</v>
      </c>
      <c r="K70">
        <f>VLOOKUP(A70,'Short-term interest Rates daily'!$A:$E,4,FALSE)</f>
        <v>11.47</v>
      </c>
      <c r="L70">
        <f>VLOOKUP(A70,'Short-term interest Rates daily'!$A:$E,5,FALSE)</f>
        <v>6.61</v>
      </c>
    </row>
    <row r="71" spans="1:12" x14ac:dyDescent="0.3">
      <c r="A71" s="1">
        <v>31482</v>
      </c>
      <c r="B71">
        <f>VLOOKUP(A71,'STOCK DATA'!$A$2:$H$522,2,FALSE)</f>
        <v>119.94</v>
      </c>
      <c r="C71">
        <f>VLOOKUP($A71,'STOCK DATA'!$A$2:H$521,3,FALSE)</f>
        <v>1063.0999999999999</v>
      </c>
      <c r="D71">
        <f>VLOOKUP($A71,'STOCK DATA'!$A$2:$H$521,3,FALSE)</f>
        <v>1063.0999999999999</v>
      </c>
      <c r="E71">
        <f>VLOOKUP($A71,'STOCK DATA'!$A$2:$H$521,3,FALSE)</f>
        <v>1063.0999999999999</v>
      </c>
      <c r="F71">
        <f>VLOOKUP($A71,'STOCK DATA'!$A$2:$H$521,3,FALSE)</f>
        <v>1063.0999999999999</v>
      </c>
      <c r="G71">
        <f>VLOOKUP($A71,'STOCK DATA'!$A$2:$H$521,3,FALSE)</f>
        <v>1063.0999999999999</v>
      </c>
      <c r="H71">
        <f>VLOOKUP($A71,'STOCK DATA'!$A$2:$H$521,3,FALSE)</f>
        <v>1063.0999999999999</v>
      </c>
      <c r="I71">
        <f>VLOOKUP(A71,'Short-term interest Rates daily'!$A:$E,2,FALSE)</f>
        <v>17.88</v>
      </c>
      <c r="J71">
        <f>VLOOKUP(A71,'Short-term interest Rates daily'!$A:$E,3,FALSE)</f>
        <v>10.92</v>
      </c>
      <c r="K71">
        <f>VLOOKUP(A71,'Short-term interest Rates daily'!$A:$E,4,FALSE)</f>
        <v>11.41</v>
      </c>
      <c r="L71">
        <f>VLOOKUP(A71,'Short-term interest Rates daily'!$A:$E,5,FALSE)</f>
        <v>6.57</v>
      </c>
    </row>
    <row r="72" spans="1:12" x14ac:dyDescent="0.3">
      <c r="A72" s="1">
        <v>31483</v>
      </c>
      <c r="B72">
        <f>VLOOKUP(A72,'STOCK DATA'!$A$2:$H$522,2,FALSE)</f>
        <v>121.18</v>
      </c>
      <c r="C72">
        <f>VLOOKUP($A72,'STOCK DATA'!$A$2:H$521,3,FALSE)</f>
        <v>1076.9000000000001</v>
      </c>
      <c r="D72">
        <f>VLOOKUP($A72,'STOCK DATA'!$A$2:$H$521,3,FALSE)</f>
        <v>1076.9000000000001</v>
      </c>
      <c r="E72">
        <f>VLOOKUP($A72,'STOCK DATA'!$A$2:$H$521,3,FALSE)</f>
        <v>1076.9000000000001</v>
      </c>
      <c r="F72">
        <f>VLOOKUP($A72,'STOCK DATA'!$A$2:$H$521,3,FALSE)</f>
        <v>1076.9000000000001</v>
      </c>
      <c r="G72">
        <f>VLOOKUP($A72,'STOCK DATA'!$A$2:$H$521,3,FALSE)</f>
        <v>1076.9000000000001</v>
      </c>
      <c r="H72">
        <f>VLOOKUP($A72,'STOCK DATA'!$A$2:$H$521,3,FALSE)</f>
        <v>1076.9000000000001</v>
      </c>
      <c r="I72">
        <f>VLOOKUP(A72,'Short-term interest Rates daily'!$A:$E,2,FALSE)</f>
        <v>18.25</v>
      </c>
      <c r="J72">
        <f>VLOOKUP(A72,'Short-term interest Rates daily'!$A:$E,3,FALSE)</f>
        <v>10.63</v>
      </c>
      <c r="K72">
        <f>VLOOKUP(A72,'Short-term interest Rates daily'!$A:$E,4,FALSE)</f>
        <v>11.28</v>
      </c>
      <c r="L72">
        <f>VLOOKUP(A72,'Short-term interest Rates daily'!$A:$E,5,FALSE)</f>
        <v>6.62</v>
      </c>
    </row>
    <row r="73" spans="1:12" x14ac:dyDescent="0.3">
      <c r="A73" s="1">
        <v>31484</v>
      </c>
      <c r="B73">
        <f>VLOOKUP(A73,'STOCK DATA'!$A$2:$H$522,2,FALSE)</f>
        <v>121.11</v>
      </c>
      <c r="C73">
        <f>VLOOKUP($A73,'STOCK DATA'!$A$2:H$521,3,FALSE)</f>
        <v>1085.8</v>
      </c>
      <c r="D73">
        <f>VLOOKUP($A73,'STOCK DATA'!$A$2:$H$521,3,FALSE)</f>
        <v>1085.8</v>
      </c>
      <c r="E73">
        <f>VLOOKUP($A73,'STOCK DATA'!$A$2:$H$521,3,FALSE)</f>
        <v>1085.8</v>
      </c>
      <c r="F73">
        <f>VLOOKUP($A73,'STOCK DATA'!$A$2:$H$521,3,FALSE)</f>
        <v>1085.8</v>
      </c>
      <c r="G73">
        <f>VLOOKUP($A73,'STOCK DATA'!$A$2:$H$521,3,FALSE)</f>
        <v>1085.8</v>
      </c>
      <c r="H73">
        <f>VLOOKUP($A73,'STOCK DATA'!$A$2:$H$521,3,FALSE)</f>
        <v>1085.8</v>
      </c>
      <c r="I73">
        <f>VLOOKUP(A73,'Short-term interest Rates daily'!$A:$E,2,FALSE)</f>
        <v>17.5</v>
      </c>
      <c r="J73">
        <f>VLOOKUP(A73,'Short-term interest Rates daily'!$A:$E,3,FALSE)</f>
        <v>10.34</v>
      </c>
      <c r="K73">
        <f>VLOOKUP(A73,'Short-term interest Rates daily'!$A:$E,4,FALSE)</f>
        <v>11.41</v>
      </c>
      <c r="L73">
        <f>VLOOKUP(A73,'Short-term interest Rates daily'!$A:$E,5,FALSE)</f>
        <v>6.59</v>
      </c>
    </row>
    <row r="74" spans="1:12" x14ac:dyDescent="0.3">
      <c r="A74" s="1">
        <v>31485</v>
      </c>
      <c r="B74">
        <f>VLOOKUP(A74,'STOCK DATA'!$A$2:$H$522,2,FALSE)</f>
        <v>120.46</v>
      </c>
      <c r="C74">
        <f>VLOOKUP($A74,'STOCK DATA'!$A$2:H$521,3,FALSE)</f>
        <v>1089.5</v>
      </c>
      <c r="D74">
        <f>VLOOKUP($A74,'STOCK DATA'!$A$2:$H$521,3,FALSE)</f>
        <v>1089.5</v>
      </c>
      <c r="E74">
        <f>VLOOKUP($A74,'STOCK DATA'!$A$2:$H$521,3,FALSE)</f>
        <v>1089.5</v>
      </c>
      <c r="F74">
        <f>VLOOKUP($A74,'STOCK DATA'!$A$2:$H$521,3,FALSE)</f>
        <v>1089.5</v>
      </c>
      <c r="G74">
        <f>VLOOKUP($A74,'STOCK DATA'!$A$2:$H$521,3,FALSE)</f>
        <v>1089.5</v>
      </c>
      <c r="H74">
        <f>VLOOKUP($A74,'STOCK DATA'!$A$2:$H$521,3,FALSE)</f>
        <v>1089.5</v>
      </c>
      <c r="I74">
        <f>VLOOKUP(A74,'Short-term interest Rates daily'!$A:$E,2,FALSE)</f>
        <v>17.13</v>
      </c>
      <c r="J74">
        <f>VLOOKUP(A74,'Short-term interest Rates daily'!$A:$E,3,FALSE)</f>
        <v>10.14</v>
      </c>
      <c r="K74">
        <f>VLOOKUP(A74,'Short-term interest Rates daily'!$A:$E,4,FALSE)</f>
        <v>11.36</v>
      </c>
      <c r="L74">
        <f>VLOOKUP(A74,'Short-term interest Rates daily'!$A:$E,5,FALSE)</f>
        <v>6.54</v>
      </c>
    </row>
    <row r="75" spans="1:12" x14ac:dyDescent="0.3">
      <c r="A75" s="1">
        <v>31486</v>
      </c>
      <c r="B75" t="e">
        <f>VLOOKUP(A75,'STOCK DATA'!$A$2:$H$522,2,FALSE)</f>
        <v>#N/A</v>
      </c>
      <c r="C75" t="e">
        <f>VLOOKUP($A75,'STOCK DATA'!$A$2:H$521,3,FALSE)</f>
        <v>#N/A</v>
      </c>
      <c r="D75" t="e">
        <f>VLOOKUP($A75,'STOCK DATA'!$A$2:$H$521,3,FALSE)</f>
        <v>#N/A</v>
      </c>
      <c r="E75" t="e">
        <f>VLOOKUP($A75,'STOCK DATA'!$A$2:$H$521,3,FALSE)</f>
        <v>#N/A</v>
      </c>
      <c r="F75" t="e">
        <f>VLOOKUP($A75,'STOCK DATA'!$A$2:$H$521,3,FALSE)</f>
        <v>#N/A</v>
      </c>
      <c r="G75" t="e">
        <f>VLOOKUP($A75,'STOCK DATA'!$A$2:$H$521,3,FALSE)</f>
        <v>#N/A</v>
      </c>
      <c r="H75" t="e">
        <f>VLOOKUP($A75,'STOCK DATA'!$A$2:$H$521,3,FALSE)</f>
        <v>#N/A</v>
      </c>
      <c r="I75" t="e">
        <f>VLOOKUP(A75,'Short-term interest Rates daily'!$A:$E,2,FALSE)</f>
        <v>#N/A</v>
      </c>
      <c r="J75" t="e">
        <f>VLOOKUP(A75,'Short-term interest Rates daily'!$A:$E,3,FALSE)</f>
        <v>#N/A</v>
      </c>
      <c r="K75" t="e">
        <f>VLOOKUP(A75,'Short-term interest Rates daily'!$A:$E,4,FALSE)</f>
        <v>#N/A</v>
      </c>
      <c r="L75" t="e">
        <f>VLOOKUP(A75,'Short-term interest Rates daily'!$A:$E,5,FALSE)</f>
        <v>#N/A</v>
      </c>
    </row>
    <row r="76" spans="1:12" x14ac:dyDescent="0.3">
      <c r="A76" s="1">
        <v>31487</v>
      </c>
      <c r="B76" t="e">
        <f>VLOOKUP(A76,'STOCK DATA'!$A$2:$H$522,2,FALSE)</f>
        <v>#N/A</v>
      </c>
      <c r="C76" t="e">
        <f>VLOOKUP($A76,'STOCK DATA'!$A$2:H$521,3,FALSE)</f>
        <v>#N/A</v>
      </c>
      <c r="D76" t="e">
        <f>VLOOKUP($A76,'STOCK DATA'!$A$2:$H$521,3,FALSE)</f>
        <v>#N/A</v>
      </c>
      <c r="E76" t="e">
        <f>VLOOKUP($A76,'STOCK DATA'!$A$2:$H$521,3,FALSE)</f>
        <v>#N/A</v>
      </c>
      <c r="F76" t="e">
        <f>VLOOKUP($A76,'STOCK DATA'!$A$2:$H$521,3,FALSE)</f>
        <v>#N/A</v>
      </c>
      <c r="G76" t="e">
        <f>VLOOKUP($A76,'STOCK DATA'!$A$2:$H$521,3,FALSE)</f>
        <v>#N/A</v>
      </c>
      <c r="H76" t="e">
        <f>VLOOKUP($A76,'STOCK DATA'!$A$2:$H$521,3,FALSE)</f>
        <v>#N/A</v>
      </c>
      <c r="I76" t="e">
        <f>VLOOKUP(A76,'Short-term interest Rates daily'!$A:$E,2,FALSE)</f>
        <v>#N/A</v>
      </c>
      <c r="J76" t="e">
        <f>VLOOKUP(A76,'Short-term interest Rates daily'!$A:$E,3,FALSE)</f>
        <v>#N/A</v>
      </c>
      <c r="K76" t="e">
        <f>VLOOKUP(A76,'Short-term interest Rates daily'!$A:$E,4,FALSE)</f>
        <v>#N/A</v>
      </c>
      <c r="L76" t="e">
        <f>VLOOKUP(A76,'Short-term interest Rates daily'!$A:$E,5,FALSE)</f>
        <v>#N/A</v>
      </c>
    </row>
    <row r="77" spans="1:12" x14ac:dyDescent="0.3">
      <c r="A77" s="1">
        <v>31488</v>
      </c>
      <c r="B77">
        <f>VLOOKUP(A77,'STOCK DATA'!$A$2:$H$522,2,FALSE)</f>
        <v>119.83</v>
      </c>
      <c r="C77">
        <f>VLOOKUP($A77,'STOCK DATA'!$A$2:H$521,3,FALSE)</f>
        <v>1112.2</v>
      </c>
      <c r="D77">
        <f>VLOOKUP($A77,'STOCK DATA'!$A$2:$H$521,3,FALSE)</f>
        <v>1112.2</v>
      </c>
      <c r="E77">
        <f>VLOOKUP($A77,'STOCK DATA'!$A$2:$H$521,3,FALSE)</f>
        <v>1112.2</v>
      </c>
      <c r="F77">
        <f>VLOOKUP($A77,'STOCK DATA'!$A$2:$H$521,3,FALSE)</f>
        <v>1112.2</v>
      </c>
      <c r="G77">
        <f>VLOOKUP($A77,'STOCK DATA'!$A$2:$H$521,3,FALSE)</f>
        <v>1112.2</v>
      </c>
      <c r="H77">
        <f>VLOOKUP($A77,'STOCK DATA'!$A$2:$H$521,3,FALSE)</f>
        <v>1112.2</v>
      </c>
      <c r="I77">
        <f>VLOOKUP(A77,'Short-term interest Rates daily'!$A:$E,2,FALSE)</f>
        <v>17.88</v>
      </c>
      <c r="J77">
        <f>VLOOKUP(A77,'Short-term interest Rates daily'!$A:$E,3,FALSE)</f>
        <v>10.09</v>
      </c>
      <c r="K77">
        <f>VLOOKUP(A77,'Short-term interest Rates daily'!$A:$E,4,FALSE)</f>
        <v>11.3</v>
      </c>
      <c r="L77">
        <f>VLOOKUP(A77,'Short-term interest Rates daily'!$A:$E,5,FALSE)</f>
        <v>6.56</v>
      </c>
    </row>
    <row r="78" spans="1:12" x14ac:dyDescent="0.3">
      <c r="A78" s="1">
        <v>31489</v>
      </c>
      <c r="B78">
        <f>VLOOKUP(A78,'STOCK DATA'!$A$2:$H$522,2,FALSE)</f>
        <v>120.48</v>
      </c>
      <c r="C78">
        <f>VLOOKUP($A78,'STOCK DATA'!$A$2:H$521,3,FALSE)</f>
        <v>1124.4000000000001</v>
      </c>
      <c r="D78">
        <f>VLOOKUP($A78,'STOCK DATA'!$A$2:$H$521,3,FALSE)</f>
        <v>1124.4000000000001</v>
      </c>
      <c r="E78">
        <f>VLOOKUP($A78,'STOCK DATA'!$A$2:$H$521,3,FALSE)</f>
        <v>1124.4000000000001</v>
      </c>
      <c r="F78">
        <f>VLOOKUP($A78,'STOCK DATA'!$A$2:$H$521,3,FALSE)</f>
        <v>1124.4000000000001</v>
      </c>
      <c r="G78">
        <f>VLOOKUP($A78,'STOCK DATA'!$A$2:$H$521,3,FALSE)</f>
        <v>1124.4000000000001</v>
      </c>
      <c r="H78">
        <f>VLOOKUP($A78,'STOCK DATA'!$A$2:$H$521,3,FALSE)</f>
        <v>1124.4000000000001</v>
      </c>
      <c r="I78">
        <f>VLOOKUP(A78,'Short-term interest Rates daily'!$A:$E,2,FALSE)</f>
        <v>18</v>
      </c>
      <c r="J78">
        <f>VLOOKUP(A78,'Short-term interest Rates daily'!$A:$E,3,FALSE)</f>
        <v>10.14</v>
      </c>
      <c r="K78">
        <f>VLOOKUP(A78,'Short-term interest Rates daily'!$A:$E,4,FALSE)</f>
        <v>11.3</v>
      </c>
      <c r="L78">
        <f>VLOOKUP(A78,'Short-term interest Rates daily'!$A:$E,5,FALSE)</f>
        <v>6.54</v>
      </c>
    </row>
    <row r="79" spans="1:12" x14ac:dyDescent="0.3">
      <c r="A79" s="1">
        <v>31490</v>
      </c>
      <c r="B79">
        <f>VLOOKUP(A79,'STOCK DATA'!$A$2:$H$522,2,FALSE)</f>
        <v>120.98</v>
      </c>
      <c r="C79">
        <f>VLOOKUP($A79,'STOCK DATA'!$A$2:H$521,3,FALSE)</f>
        <v>1123.3</v>
      </c>
      <c r="D79">
        <f>VLOOKUP($A79,'STOCK DATA'!$A$2:$H$521,3,FALSE)</f>
        <v>1123.3</v>
      </c>
      <c r="E79">
        <f>VLOOKUP($A79,'STOCK DATA'!$A$2:$H$521,3,FALSE)</f>
        <v>1123.3</v>
      </c>
      <c r="F79">
        <f>VLOOKUP($A79,'STOCK DATA'!$A$2:$H$521,3,FALSE)</f>
        <v>1123.3</v>
      </c>
      <c r="G79">
        <f>VLOOKUP($A79,'STOCK DATA'!$A$2:$H$521,3,FALSE)</f>
        <v>1123.3</v>
      </c>
      <c r="H79">
        <f>VLOOKUP($A79,'STOCK DATA'!$A$2:$H$521,3,FALSE)</f>
        <v>1123.3</v>
      </c>
      <c r="I79">
        <f>VLOOKUP(A79,'Short-term interest Rates daily'!$A:$E,2,FALSE)</f>
        <v>17.38</v>
      </c>
      <c r="J79">
        <f>VLOOKUP(A79,'Short-term interest Rates daily'!$A:$E,3,FALSE)</f>
        <v>10.1</v>
      </c>
      <c r="K79">
        <f>VLOOKUP(A79,'Short-term interest Rates daily'!$A:$E,4,FALSE)</f>
        <v>11.21</v>
      </c>
      <c r="L79">
        <f>VLOOKUP(A79,'Short-term interest Rates daily'!$A:$E,5,FALSE)</f>
        <v>6.49</v>
      </c>
    </row>
    <row r="80" spans="1:12" x14ac:dyDescent="0.3">
      <c r="A80" s="1">
        <v>31491</v>
      </c>
      <c r="B80">
        <f>VLOOKUP(A80,'STOCK DATA'!$A$2:$H$522,2,FALSE)</f>
        <v>121.63</v>
      </c>
      <c r="C80">
        <f>VLOOKUP($A80,'STOCK DATA'!$A$2:H$521,3,FALSE)</f>
        <v>1128.0999999999999</v>
      </c>
      <c r="D80">
        <f>VLOOKUP($A80,'STOCK DATA'!$A$2:$H$521,3,FALSE)</f>
        <v>1128.0999999999999</v>
      </c>
      <c r="E80">
        <f>VLOOKUP($A80,'STOCK DATA'!$A$2:$H$521,3,FALSE)</f>
        <v>1128.0999999999999</v>
      </c>
      <c r="F80">
        <f>VLOOKUP($A80,'STOCK DATA'!$A$2:$H$521,3,FALSE)</f>
        <v>1128.0999999999999</v>
      </c>
      <c r="G80">
        <f>VLOOKUP($A80,'STOCK DATA'!$A$2:$H$521,3,FALSE)</f>
        <v>1128.0999999999999</v>
      </c>
      <c r="H80">
        <f>VLOOKUP($A80,'STOCK DATA'!$A$2:$H$521,3,FALSE)</f>
        <v>1128.0999999999999</v>
      </c>
      <c r="I80">
        <f>VLOOKUP(A80,'Short-term interest Rates daily'!$A:$E,2,FALSE)</f>
        <v>17.38</v>
      </c>
      <c r="J80">
        <f>VLOOKUP(A80,'Short-term interest Rates daily'!$A:$E,3,FALSE)</f>
        <v>9.9</v>
      </c>
      <c r="K80">
        <f>VLOOKUP(A80,'Short-term interest Rates daily'!$A:$E,4,FALSE)</f>
        <v>10.91</v>
      </c>
      <c r="L80">
        <f>VLOOKUP(A80,'Short-term interest Rates daily'!$A:$E,5,FALSE)</f>
        <v>6.44</v>
      </c>
    </row>
    <row r="81" spans="1:12" x14ac:dyDescent="0.3">
      <c r="A81" s="1">
        <v>31492</v>
      </c>
      <c r="B81">
        <f>VLOOKUP(A81,'STOCK DATA'!$A$2:$H$522,2,FALSE)</f>
        <v>121.2</v>
      </c>
      <c r="C81">
        <f>VLOOKUP($A81,'STOCK DATA'!$A$2:H$521,3,FALSE)</f>
        <v>1136.7</v>
      </c>
      <c r="D81">
        <f>VLOOKUP($A81,'STOCK DATA'!$A$2:$H$521,3,FALSE)</f>
        <v>1136.7</v>
      </c>
      <c r="E81">
        <f>VLOOKUP($A81,'STOCK DATA'!$A$2:$H$521,3,FALSE)</f>
        <v>1136.7</v>
      </c>
      <c r="F81">
        <f>VLOOKUP($A81,'STOCK DATA'!$A$2:$H$521,3,FALSE)</f>
        <v>1136.7</v>
      </c>
      <c r="G81">
        <f>VLOOKUP($A81,'STOCK DATA'!$A$2:$H$521,3,FALSE)</f>
        <v>1136.7</v>
      </c>
      <c r="H81">
        <f>VLOOKUP($A81,'STOCK DATA'!$A$2:$H$521,3,FALSE)</f>
        <v>1136.7</v>
      </c>
      <c r="I81">
        <f>VLOOKUP(A81,'Short-term interest Rates daily'!$A:$E,2,FALSE)</f>
        <v>16</v>
      </c>
      <c r="J81">
        <f>VLOOKUP(A81,'Short-term interest Rates daily'!$A:$E,3,FALSE)</f>
        <v>9.98</v>
      </c>
      <c r="K81">
        <f>VLOOKUP(A81,'Short-term interest Rates daily'!$A:$E,4,FALSE)</f>
        <v>10.9</v>
      </c>
      <c r="L81">
        <f>VLOOKUP(A81,'Short-term interest Rates daily'!$A:$E,5,FALSE)</f>
        <v>6.41</v>
      </c>
    </row>
    <row r="82" spans="1:12" x14ac:dyDescent="0.3">
      <c r="A82" s="1">
        <v>31493</v>
      </c>
      <c r="B82" t="e">
        <f>VLOOKUP(A82,'STOCK DATA'!$A$2:$H$522,2,FALSE)</f>
        <v>#N/A</v>
      </c>
      <c r="C82" t="e">
        <f>VLOOKUP($A82,'STOCK DATA'!$A$2:H$521,3,FALSE)</f>
        <v>#N/A</v>
      </c>
      <c r="D82" t="e">
        <f>VLOOKUP($A82,'STOCK DATA'!$A$2:$H$521,3,FALSE)</f>
        <v>#N/A</v>
      </c>
      <c r="E82" t="e">
        <f>VLOOKUP($A82,'STOCK DATA'!$A$2:$H$521,3,FALSE)</f>
        <v>#N/A</v>
      </c>
      <c r="F82" t="e">
        <f>VLOOKUP($A82,'STOCK DATA'!$A$2:$H$521,3,FALSE)</f>
        <v>#N/A</v>
      </c>
      <c r="G82" t="e">
        <f>VLOOKUP($A82,'STOCK DATA'!$A$2:$H$521,3,FALSE)</f>
        <v>#N/A</v>
      </c>
      <c r="H82" t="e">
        <f>VLOOKUP($A82,'STOCK DATA'!$A$2:$H$521,3,FALSE)</f>
        <v>#N/A</v>
      </c>
      <c r="I82" t="e">
        <f>VLOOKUP(A82,'Short-term interest Rates daily'!$A:$E,2,FALSE)</f>
        <v>#N/A</v>
      </c>
      <c r="J82" t="e">
        <f>VLOOKUP(A82,'Short-term interest Rates daily'!$A:$E,3,FALSE)</f>
        <v>#N/A</v>
      </c>
      <c r="K82" t="e">
        <f>VLOOKUP(A82,'Short-term interest Rates daily'!$A:$E,4,FALSE)</f>
        <v>#N/A</v>
      </c>
      <c r="L82" t="e">
        <f>VLOOKUP(A82,'Short-term interest Rates daily'!$A:$E,5,FALSE)</f>
        <v>#N/A</v>
      </c>
    </row>
    <row r="83" spans="1:12" x14ac:dyDescent="0.3">
      <c r="A83" s="1">
        <v>31494</v>
      </c>
      <c r="B83" t="e">
        <f>VLOOKUP(A83,'STOCK DATA'!$A$2:$H$522,2,FALSE)</f>
        <v>#N/A</v>
      </c>
      <c r="C83" t="e">
        <f>VLOOKUP($A83,'STOCK DATA'!$A$2:H$521,3,FALSE)</f>
        <v>#N/A</v>
      </c>
      <c r="D83" t="e">
        <f>VLOOKUP($A83,'STOCK DATA'!$A$2:$H$521,3,FALSE)</f>
        <v>#N/A</v>
      </c>
      <c r="E83" t="e">
        <f>VLOOKUP($A83,'STOCK DATA'!$A$2:$H$521,3,FALSE)</f>
        <v>#N/A</v>
      </c>
      <c r="F83" t="e">
        <f>VLOOKUP($A83,'STOCK DATA'!$A$2:$H$521,3,FALSE)</f>
        <v>#N/A</v>
      </c>
      <c r="G83" t="e">
        <f>VLOOKUP($A83,'STOCK DATA'!$A$2:$H$521,3,FALSE)</f>
        <v>#N/A</v>
      </c>
      <c r="H83" t="e">
        <f>VLOOKUP($A83,'STOCK DATA'!$A$2:$H$521,3,FALSE)</f>
        <v>#N/A</v>
      </c>
      <c r="I83" t="e">
        <f>VLOOKUP(A83,'Short-term interest Rates daily'!$A:$E,2,FALSE)</f>
        <v>#N/A</v>
      </c>
      <c r="J83" t="e">
        <f>VLOOKUP(A83,'Short-term interest Rates daily'!$A:$E,3,FALSE)</f>
        <v>#N/A</v>
      </c>
      <c r="K83" t="e">
        <f>VLOOKUP(A83,'Short-term interest Rates daily'!$A:$E,4,FALSE)</f>
        <v>#N/A</v>
      </c>
      <c r="L83" t="e">
        <f>VLOOKUP(A83,'Short-term interest Rates daily'!$A:$E,5,FALSE)</f>
        <v>#N/A</v>
      </c>
    </row>
    <row r="84" spans="1:12" x14ac:dyDescent="0.3">
      <c r="A84" s="1">
        <v>31495</v>
      </c>
      <c r="B84">
        <f>VLOOKUP(A84,'STOCK DATA'!$A$2:$H$522,2,FALSE)</f>
        <v>120.66</v>
      </c>
      <c r="C84">
        <f>VLOOKUP($A84,'STOCK DATA'!$A$2:H$521,3,FALSE)</f>
        <v>1156.8</v>
      </c>
      <c r="D84">
        <f>VLOOKUP($A84,'STOCK DATA'!$A$2:$H$521,3,FALSE)</f>
        <v>1156.8</v>
      </c>
      <c r="E84">
        <f>VLOOKUP($A84,'STOCK DATA'!$A$2:$H$521,3,FALSE)</f>
        <v>1156.8</v>
      </c>
      <c r="F84">
        <f>VLOOKUP($A84,'STOCK DATA'!$A$2:$H$521,3,FALSE)</f>
        <v>1156.8</v>
      </c>
      <c r="G84">
        <f>VLOOKUP($A84,'STOCK DATA'!$A$2:$H$521,3,FALSE)</f>
        <v>1156.8</v>
      </c>
      <c r="H84">
        <f>VLOOKUP($A84,'STOCK DATA'!$A$2:$H$521,3,FALSE)</f>
        <v>1156.8</v>
      </c>
      <c r="I84">
        <f>VLOOKUP(A84,'Short-term interest Rates daily'!$A:$E,2,FALSE)</f>
        <v>16.88</v>
      </c>
      <c r="J84">
        <f>VLOOKUP(A84,'Short-term interest Rates daily'!$A:$E,3,FALSE)</f>
        <v>10.09</v>
      </c>
      <c r="K84">
        <f>VLOOKUP(A84,'Short-term interest Rates daily'!$A:$E,4,FALSE)</f>
        <v>10.93</v>
      </c>
      <c r="L84">
        <f>VLOOKUP(A84,'Short-term interest Rates daily'!$A:$E,5,FALSE)</f>
        <v>6.41</v>
      </c>
    </row>
    <row r="85" spans="1:12" x14ac:dyDescent="0.3">
      <c r="A85" s="1">
        <v>31496</v>
      </c>
      <c r="B85">
        <f>VLOOKUP(A85,'STOCK DATA'!$A$2:$H$522,2,FALSE)</f>
        <v>120.08</v>
      </c>
      <c r="C85">
        <f>VLOOKUP($A85,'STOCK DATA'!$A$2:H$521,3,FALSE)</f>
        <v>1168.7</v>
      </c>
      <c r="D85">
        <f>VLOOKUP($A85,'STOCK DATA'!$A$2:$H$521,3,FALSE)</f>
        <v>1168.7</v>
      </c>
      <c r="E85">
        <f>VLOOKUP($A85,'STOCK DATA'!$A$2:$H$521,3,FALSE)</f>
        <v>1168.7</v>
      </c>
      <c r="F85">
        <f>VLOOKUP($A85,'STOCK DATA'!$A$2:$H$521,3,FALSE)</f>
        <v>1168.7</v>
      </c>
      <c r="G85">
        <f>VLOOKUP($A85,'STOCK DATA'!$A$2:$H$521,3,FALSE)</f>
        <v>1168.7</v>
      </c>
      <c r="H85">
        <f>VLOOKUP($A85,'STOCK DATA'!$A$2:$H$521,3,FALSE)</f>
        <v>1168.7</v>
      </c>
      <c r="I85">
        <f>VLOOKUP(A85,'Short-term interest Rates daily'!$A:$E,2,FALSE)</f>
        <v>17</v>
      </c>
      <c r="J85">
        <f>VLOOKUP(A85,'Short-term interest Rates daily'!$A:$E,3,FALSE)</f>
        <v>10.27</v>
      </c>
      <c r="K85">
        <f>VLOOKUP(A85,'Short-term interest Rates daily'!$A:$E,4,FALSE)</f>
        <v>11.03</v>
      </c>
      <c r="L85">
        <f>VLOOKUP(A85,'Short-term interest Rates daily'!$A:$E,5,FALSE)</f>
        <v>6.38</v>
      </c>
    </row>
    <row r="86" spans="1:12" x14ac:dyDescent="0.3">
      <c r="A86" s="1">
        <v>31497</v>
      </c>
      <c r="B86">
        <f>VLOOKUP(A86,'STOCK DATA'!$A$2:$H$522,2,FALSE)</f>
        <v>121.09</v>
      </c>
      <c r="C86">
        <f>VLOOKUP($A86,'STOCK DATA'!$A$2:H$521,3,FALSE)</f>
        <v>1165.7</v>
      </c>
      <c r="D86">
        <f>VLOOKUP($A86,'STOCK DATA'!$A$2:$H$521,3,FALSE)</f>
        <v>1165.7</v>
      </c>
      <c r="E86">
        <f>VLOOKUP($A86,'STOCK DATA'!$A$2:$H$521,3,FALSE)</f>
        <v>1165.7</v>
      </c>
      <c r="F86">
        <f>VLOOKUP($A86,'STOCK DATA'!$A$2:$H$521,3,FALSE)</f>
        <v>1165.7</v>
      </c>
      <c r="G86">
        <f>VLOOKUP($A86,'STOCK DATA'!$A$2:$H$521,3,FALSE)</f>
        <v>1165.7</v>
      </c>
      <c r="H86">
        <f>VLOOKUP($A86,'STOCK DATA'!$A$2:$H$521,3,FALSE)</f>
        <v>1165.7</v>
      </c>
      <c r="I86">
        <f>VLOOKUP(A86,'Short-term interest Rates daily'!$A:$E,2,FALSE)</f>
        <v>17.38</v>
      </c>
      <c r="J86">
        <f>VLOOKUP(A86,'Short-term interest Rates daily'!$A:$E,3,FALSE)</f>
        <v>10.19</v>
      </c>
      <c r="K86">
        <f>VLOOKUP(A86,'Short-term interest Rates daily'!$A:$E,4,FALSE)</f>
        <v>11.05</v>
      </c>
      <c r="L86">
        <f>VLOOKUP(A86,'Short-term interest Rates daily'!$A:$E,5,FALSE)</f>
        <v>6.41</v>
      </c>
    </row>
    <row r="87" spans="1:12" x14ac:dyDescent="0.3">
      <c r="A87" s="1">
        <v>31498</v>
      </c>
      <c r="B87">
        <f>VLOOKUP(A87,'STOCK DATA'!$A$2:$H$522,2,FALSE)</f>
        <v>122.43</v>
      </c>
      <c r="C87">
        <f>VLOOKUP($A87,'STOCK DATA'!$A$2:H$521,3,FALSE)</f>
        <v>1136.5</v>
      </c>
      <c r="D87">
        <f>VLOOKUP($A87,'STOCK DATA'!$A$2:$H$521,3,FALSE)</f>
        <v>1136.5</v>
      </c>
      <c r="E87">
        <f>VLOOKUP($A87,'STOCK DATA'!$A$2:$H$521,3,FALSE)</f>
        <v>1136.5</v>
      </c>
      <c r="F87">
        <f>VLOOKUP($A87,'STOCK DATA'!$A$2:$H$521,3,FALSE)</f>
        <v>1136.5</v>
      </c>
      <c r="G87">
        <f>VLOOKUP($A87,'STOCK DATA'!$A$2:$H$521,3,FALSE)</f>
        <v>1136.5</v>
      </c>
      <c r="H87">
        <f>VLOOKUP($A87,'STOCK DATA'!$A$2:$H$521,3,FALSE)</f>
        <v>1136.5</v>
      </c>
      <c r="I87">
        <f>VLOOKUP(A87,'Short-term interest Rates daily'!$A:$E,2,FALSE)</f>
        <v>16.75</v>
      </c>
      <c r="J87">
        <f>VLOOKUP(A87,'Short-term interest Rates daily'!$A:$E,3,FALSE)</f>
        <v>10.01</v>
      </c>
      <c r="K87">
        <f>VLOOKUP(A87,'Short-term interest Rates daily'!$A:$E,4,FALSE)</f>
        <v>10.97</v>
      </c>
      <c r="L87">
        <f>VLOOKUP(A87,'Short-term interest Rates daily'!$A:$E,5,FALSE)</f>
        <v>6.34</v>
      </c>
    </row>
    <row r="88" spans="1:12" x14ac:dyDescent="0.3">
      <c r="A88" s="1">
        <v>31499</v>
      </c>
      <c r="B88">
        <f>VLOOKUP(A88,'STOCK DATA'!$A$2:$H$522,2,FALSE)</f>
        <v>122.43</v>
      </c>
      <c r="C88">
        <f>VLOOKUP($A88,'STOCK DATA'!$A$2:H$521,3,FALSE)</f>
        <v>0</v>
      </c>
      <c r="D88">
        <f>VLOOKUP($A88,'STOCK DATA'!$A$2:$H$521,3,FALSE)</f>
        <v>0</v>
      </c>
      <c r="E88">
        <f>VLOOKUP($A88,'STOCK DATA'!$A$2:$H$521,3,FALSE)</f>
        <v>0</v>
      </c>
      <c r="F88">
        <f>VLOOKUP($A88,'STOCK DATA'!$A$2:$H$521,3,FALSE)</f>
        <v>0</v>
      </c>
      <c r="G88">
        <f>VLOOKUP($A88,'STOCK DATA'!$A$2:$H$521,3,FALSE)</f>
        <v>0</v>
      </c>
      <c r="H88">
        <f>VLOOKUP($A88,'STOCK DATA'!$A$2:$H$521,3,FALSE)</f>
        <v>0</v>
      </c>
      <c r="I88">
        <f>VLOOKUP(A88,'Short-term interest Rates daily'!$A:$E,2,FALSE)</f>
        <v>0</v>
      </c>
      <c r="J88">
        <f>VLOOKUP(A88,'Short-term interest Rates daily'!$A:$E,3,FALSE)</f>
        <v>0</v>
      </c>
      <c r="K88">
        <f>VLOOKUP(A88,'Short-term interest Rates daily'!$A:$E,4,FALSE)</f>
        <v>10.97</v>
      </c>
      <c r="L88">
        <f>VLOOKUP(A88,'Short-term interest Rates daily'!$A:$E,5,FALSE)</f>
        <v>0</v>
      </c>
    </row>
    <row r="89" spans="1:12" x14ac:dyDescent="0.3">
      <c r="A89" s="1">
        <v>31500</v>
      </c>
      <c r="B89" t="e">
        <f>VLOOKUP(A89,'STOCK DATA'!$A$2:$H$522,2,FALSE)</f>
        <v>#N/A</v>
      </c>
      <c r="C89" t="e">
        <f>VLOOKUP($A89,'STOCK DATA'!$A$2:H$521,3,FALSE)</f>
        <v>#N/A</v>
      </c>
      <c r="D89" t="e">
        <f>VLOOKUP($A89,'STOCK DATA'!$A$2:$H$521,3,FALSE)</f>
        <v>#N/A</v>
      </c>
      <c r="E89" t="e">
        <f>VLOOKUP($A89,'STOCK DATA'!$A$2:$H$521,3,FALSE)</f>
        <v>#N/A</v>
      </c>
      <c r="F89" t="e">
        <f>VLOOKUP($A89,'STOCK DATA'!$A$2:$H$521,3,FALSE)</f>
        <v>#N/A</v>
      </c>
      <c r="G89" t="e">
        <f>VLOOKUP($A89,'STOCK DATA'!$A$2:$H$521,3,FALSE)</f>
        <v>#N/A</v>
      </c>
      <c r="H89" t="e">
        <f>VLOOKUP($A89,'STOCK DATA'!$A$2:$H$521,3,FALSE)</f>
        <v>#N/A</v>
      </c>
      <c r="I89" t="e">
        <f>VLOOKUP(A89,'Short-term interest Rates daily'!$A:$E,2,FALSE)</f>
        <v>#N/A</v>
      </c>
      <c r="J89" t="e">
        <f>VLOOKUP(A89,'Short-term interest Rates daily'!$A:$E,3,FALSE)</f>
        <v>#N/A</v>
      </c>
      <c r="K89" t="e">
        <f>VLOOKUP(A89,'Short-term interest Rates daily'!$A:$E,4,FALSE)</f>
        <v>#N/A</v>
      </c>
      <c r="L89" t="e">
        <f>VLOOKUP(A89,'Short-term interest Rates daily'!$A:$E,5,FALSE)</f>
        <v>#N/A</v>
      </c>
    </row>
    <row r="90" spans="1:12" x14ac:dyDescent="0.3">
      <c r="A90" s="1">
        <v>31501</v>
      </c>
      <c r="B90" t="e">
        <f>VLOOKUP(A90,'STOCK DATA'!$A$2:$H$522,2,FALSE)</f>
        <v>#N/A</v>
      </c>
      <c r="C90" t="e">
        <f>VLOOKUP($A90,'STOCK DATA'!$A$2:H$521,3,FALSE)</f>
        <v>#N/A</v>
      </c>
      <c r="D90" t="e">
        <f>VLOOKUP($A90,'STOCK DATA'!$A$2:$H$521,3,FALSE)</f>
        <v>#N/A</v>
      </c>
      <c r="E90" t="e">
        <f>VLOOKUP($A90,'STOCK DATA'!$A$2:$H$521,3,FALSE)</f>
        <v>#N/A</v>
      </c>
      <c r="F90" t="e">
        <f>VLOOKUP($A90,'STOCK DATA'!$A$2:$H$521,3,FALSE)</f>
        <v>#N/A</v>
      </c>
      <c r="G90" t="e">
        <f>VLOOKUP($A90,'STOCK DATA'!$A$2:$H$521,3,FALSE)</f>
        <v>#N/A</v>
      </c>
      <c r="H90" t="e">
        <f>VLOOKUP($A90,'STOCK DATA'!$A$2:$H$521,3,FALSE)</f>
        <v>#N/A</v>
      </c>
      <c r="I90" t="e">
        <f>VLOOKUP(A90,'Short-term interest Rates daily'!$A:$E,2,FALSE)</f>
        <v>#N/A</v>
      </c>
      <c r="J90" t="e">
        <f>VLOOKUP(A90,'Short-term interest Rates daily'!$A:$E,3,FALSE)</f>
        <v>#N/A</v>
      </c>
      <c r="K90" t="e">
        <f>VLOOKUP(A90,'Short-term interest Rates daily'!$A:$E,4,FALSE)</f>
        <v>#N/A</v>
      </c>
      <c r="L90" t="e">
        <f>VLOOKUP(A90,'Short-term interest Rates daily'!$A:$E,5,FALSE)</f>
        <v>#N/A</v>
      </c>
    </row>
    <row r="91" spans="1:12" x14ac:dyDescent="0.3">
      <c r="A91" s="1">
        <v>31502</v>
      </c>
      <c r="B91">
        <f>VLOOKUP(A91,'STOCK DATA'!$A$2:$H$522,2,FALSE)</f>
        <v>122.43</v>
      </c>
      <c r="C91">
        <f>VLOOKUP($A91,'STOCK DATA'!$A$2:H$521,3,FALSE)</f>
        <v>0</v>
      </c>
      <c r="D91">
        <f>VLOOKUP($A91,'STOCK DATA'!$A$2:$H$521,3,FALSE)</f>
        <v>0</v>
      </c>
      <c r="E91">
        <f>VLOOKUP($A91,'STOCK DATA'!$A$2:$H$521,3,FALSE)</f>
        <v>0</v>
      </c>
      <c r="F91">
        <f>VLOOKUP($A91,'STOCK DATA'!$A$2:$H$521,3,FALSE)</f>
        <v>0</v>
      </c>
      <c r="G91">
        <f>VLOOKUP($A91,'STOCK DATA'!$A$2:$H$521,3,FALSE)</f>
        <v>0</v>
      </c>
      <c r="H91">
        <f>VLOOKUP($A91,'STOCK DATA'!$A$2:$H$521,3,FALSE)</f>
        <v>0</v>
      </c>
      <c r="I91">
        <f>VLOOKUP(A91,'Short-term interest Rates daily'!$A:$E,2,FALSE)</f>
        <v>0</v>
      </c>
      <c r="J91">
        <f>VLOOKUP(A91,'Short-term interest Rates daily'!$A:$E,3,FALSE)</f>
        <v>10.1</v>
      </c>
      <c r="K91">
        <f>VLOOKUP(A91,'Short-term interest Rates daily'!$A:$E,4,FALSE)</f>
        <v>10.97</v>
      </c>
      <c r="L91">
        <f>VLOOKUP(A91,'Short-term interest Rates daily'!$A:$E,5,FALSE)</f>
        <v>6.34</v>
      </c>
    </row>
    <row r="92" spans="1:12" x14ac:dyDescent="0.3">
      <c r="A92" s="1">
        <v>31503</v>
      </c>
      <c r="B92">
        <f>VLOOKUP(A92,'STOCK DATA'!$A$2:$H$522,2,FALSE)</f>
        <v>124.17</v>
      </c>
      <c r="C92">
        <f>VLOOKUP($A92,'STOCK DATA'!$A$2:H$521,3,FALSE)</f>
        <v>1131.5</v>
      </c>
      <c r="D92">
        <f>VLOOKUP($A92,'STOCK DATA'!$A$2:$H$521,3,FALSE)</f>
        <v>1131.5</v>
      </c>
      <c r="E92">
        <f>VLOOKUP($A92,'STOCK DATA'!$A$2:$H$521,3,FALSE)</f>
        <v>1131.5</v>
      </c>
      <c r="F92">
        <f>VLOOKUP($A92,'STOCK DATA'!$A$2:$H$521,3,FALSE)</f>
        <v>1131.5</v>
      </c>
      <c r="G92">
        <f>VLOOKUP($A92,'STOCK DATA'!$A$2:$H$521,3,FALSE)</f>
        <v>1131.5</v>
      </c>
      <c r="H92">
        <f>VLOOKUP($A92,'STOCK DATA'!$A$2:$H$521,3,FALSE)</f>
        <v>1131.5</v>
      </c>
      <c r="I92">
        <f>VLOOKUP(A92,'Short-term interest Rates daily'!$A:$E,2,FALSE)</f>
        <v>17</v>
      </c>
      <c r="J92">
        <f>VLOOKUP(A92,'Short-term interest Rates daily'!$A:$E,3,FALSE)</f>
        <v>10.09</v>
      </c>
      <c r="K92">
        <f>VLOOKUP(A92,'Short-term interest Rates daily'!$A:$E,4,FALSE)</f>
        <v>10.9</v>
      </c>
      <c r="L92">
        <f>VLOOKUP(A92,'Short-term interest Rates daily'!$A:$E,5,FALSE)</f>
        <v>6.33</v>
      </c>
    </row>
    <row r="93" spans="1:12" x14ac:dyDescent="0.3">
      <c r="A93" s="1">
        <v>31504</v>
      </c>
      <c r="B93">
        <f>VLOOKUP(A93,'STOCK DATA'!$A$2:$H$522,2,FALSE)</f>
        <v>124.25</v>
      </c>
      <c r="C93">
        <f>VLOOKUP($A93,'STOCK DATA'!$A$2:H$521,3,FALSE)</f>
        <v>1136</v>
      </c>
      <c r="D93">
        <f>VLOOKUP($A93,'STOCK DATA'!$A$2:$H$521,3,FALSE)</f>
        <v>1136</v>
      </c>
      <c r="E93">
        <f>VLOOKUP($A93,'STOCK DATA'!$A$2:$H$521,3,FALSE)</f>
        <v>1136</v>
      </c>
      <c r="F93">
        <f>VLOOKUP($A93,'STOCK DATA'!$A$2:$H$521,3,FALSE)</f>
        <v>1136</v>
      </c>
      <c r="G93">
        <f>VLOOKUP($A93,'STOCK DATA'!$A$2:$H$521,3,FALSE)</f>
        <v>1136</v>
      </c>
      <c r="H93">
        <f>VLOOKUP($A93,'STOCK DATA'!$A$2:$H$521,3,FALSE)</f>
        <v>1136</v>
      </c>
      <c r="I93">
        <f>VLOOKUP(A93,'Short-term interest Rates daily'!$A:$E,2,FALSE)</f>
        <v>17</v>
      </c>
      <c r="J93">
        <f>VLOOKUP(A93,'Short-term interest Rates daily'!$A:$E,3,FALSE)</f>
        <v>10.08</v>
      </c>
      <c r="K93">
        <f>VLOOKUP(A93,'Short-term interest Rates daily'!$A:$E,4,FALSE)</f>
        <v>10.87</v>
      </c>
      <c r="L93">
        <f>VLOOKUP(A93,'Short-term interest Rates daily'!$A:$E,5,FALSE)</f>
        <v>6.34</v>
      </c>
    </row>
    <row r="94" spans="1:12" x14ac:dyDescent="0.3">
      <c r="A94" s="1">
        <v>31505</v>
      </c>
      <c r="B94">
        <f>VLOOKUP(A94,'STOCK DATA'!$A$2:$H$522,2,FALSE)</f>
        <v>124.96</v>
      </c>
      <c r="C94">
        <f>VLOOKUP($A94,'STOCK DATA'!$A$2:H$521,3,FALSE)</f>
        <v>1144.2</v>
      </c>
      <c r="D94">
        <f>VLOOKUP($A94,'STOCK DATA'!$A$2:$H$521,3,FALSE)</f>
        <v>1144.2</v>
      </c>
      <c r="E94">
        <f>VLOOKUP($A94,'STOCK DATA'!$A$2:$H$521,3,FALSE)</f>
        <v>1144.2</v>
      </c>
      <c r="F94">
        <f>VLOOKUP($A94,'STOCK DATA'!$A$2:$H$521,3,FALSE)</f>
        <v>1144.2</v>
      </c>
      <c r="G94">
        <f>VLOOKUP($A94,'STOCK DATA'!$A$2:$H$521,3,FALSE)</f>
        <v>1144.2</v>
      </c>
      <c r="H94">
        <f>VLOOKUP($A94,'STOCK DATA'!$A$2:$H$521,3,FALSE)</f>
        <v>1144.2</v>
      </c>
      <c r="I94">
        <f>VLOOKUP(A94,'Short-term interest Rates daily'!$A:$E,2,FALSE)</f>
        <v>17</v>
      </c>
      <c r="J94">
        <f>VLOOKUP(A94,'Short-term interest Rates daily'!$A:$E,3,FALSE)</f>
        <v>9.92</v>
      </c>
      <c r="K94">
        <f>VLOOKUP(A94,'Short-term interest Rates daily'!$A:$E,4,FALSE)</f>
        <v>10.82</v>
      </c>
      <c r="L94">
        <f>VLOOKUP(A94,'Short-term interest Rates daily'!$A:$E,5,FALSE)</f>
        <v>6.33</v>
      </c>
    </row>
    <row r="95" spans="1:12" x14ac:dyDescent="0.3">
      <c r="A95" s="1">
        <v>31506</v>
      </c>
      <c r="B95">
        <f>VLOOKUP(A95,'STOCK DATA'!$A$2:$H$522,2,FALSE)</f>
        <v>124.55</v>
      </c>
      <c r="C95">
        <f>VLOOKUP($A95,'STOCK DATA'!$A$2:H$521,3,FALSE)</f>
        <v>1153.9000000000001</v>
      </c>
      <c r="D95">
        <f>VLOOKUP($A95,'STOCK DATA'!$A$2:$H$521,3,FALSE)</f>
        <v>1153.9000000000001</v>
      </c>
      <c r="E95">
        <f>VLOOKUP($A95,'STOCK DATA'!$A$2:$H$521,3,FALSE)</f>
        <v>1153.9000000000001</v>
      </c>
      <c r="F95">
        <f>VLOOKUP($A95,'STOCK DATA'!$A$2:$H$521,3,FALSE)</f>
        <v>1153.9000000000001</v>
      </c>
      <c r="G95">
        <f>VLOOKUP($A95,'STOCK DATA'!$A$2:$H$521,3,FALSE)</f>
        <v>1153.9000000000001</v>
      </c>
      <c r="H95">
        <f>VLOOKUP($A95,'STOCK DATA'!$A$2:$H$521,3,FALSE)</f>
        <v>1153.9000000000001</v>
      </c>
      <c r="I95">
        <f>VLOOKUP(A95,'Short-term interest Rates daily'!$A:$E,2,FALSE)</f>
        <v>16.38</v>
      </c>
      <c r="J95">
        <f>VLOOKUP(A95,'Short-term interest Rates daily'!$A:$E,3,FALSE)</f>
        <v>9.7100000000000009</v>
      </c>
      <c r="K95">
        <f>VLOOKUP(A95,'Short-term interest Rates daily'!$A:$E,4,FALSE)</f>
        <v>10.85</v>
      </c>
      <c r="L95">
        <f>VLOOKUP(A95,'Short-term interest Rates daily'!$A:$E,5,FALSE)</f>
        <v>6.23</v>
      </c>
    </row>
    <row r="96" spans="1:12" x14ac:dyDescent="0.3">
      <c r="A96" s="1">
        <v>31507</v>
      </c>
      <c r="B96" t="e">
        <f>VLOOKUP(A96,'STOCK DATA'!$A$2:$H$522,2,FALSE)</f>
        <v>#N/A</v>
      </c>
      <c r="C96" t="e">
        <f>VLOOKUP($A96,'STOCK DATA'!$A$2:H$521,3,FALSE)</f>
        <v>#N/A</v>
      </c>
      <c r="D96" t="e">
        <f>VLOOKUP($A96,'STOCK DATA'!$A$2:$H$521,3,FALSE)</f>
        <v>#N/A</v>
      </c>
      <c r="E96" t="e">
        <f>VLOOKUP($A96,'STOCK DATA'!$A$2:$H$521,3,FALSE)</f>
        <v>#N/A</v>
      </c>
      <c r="F96" t="e">
        <f>VLOOKUP($A96,'STOCK DATA'!$A$2:$H$521,3,FALSE)</f>
        <v>#N/A</v>
      </c>
      <c r="G96" t="e">
        <f>VLOOKUP($A96,'STOCK DATA'!$A$2:$H$521,3,FALSE)</f>
        <v>#N/A</v>
      </c>
      <c r="H96" t="e">
        <f>VLOOKUP($A96,'STOCK DATA'!$A$2:$H$521,3,FALSE)</f>
        <v>#N/A</v>
      </c>
      <c r="I96" t="e">
        <f>VLOOKUP(A96,'Short-term interest Rates daily'!$A:$E,2,FALSE)</f>
        <v>#N/A</v>
      </c>
      <c r="J96" t="e">
        <f>VLOOKUP(A96,'Short-term interest Rates daily'!$A:$E,3,FALSE)</f>
        <v>#N/A</v>
      </c>
      <c r="K96" t="e">
        <f>VLOOKUP(A96,'Short-term interest Rates daily'!$A:$E,4,FALSE)</f>
        <v>#N/A</v>
      </c>
      <c r="L96" t="e">
        <f>VLOOKUP(A96,'Short-term interest Rates daily'!$A:$E,5,FALSE)</f>
        <v>#N/A</v>
      </c>
    </row>
    <row r="97" spans="1:12" x14ac:dyDescent="0.3">
      <c r="A97" s="1">
        <v>31508</v>
      </c>
      <c r="B97" t="e">
        <f>VLOOKUP(A97,'STOCK DATA'!$A$2:$H$522,2,FALSE)</f>
        <v>#N/A</v>
      </c>
      <c r="C97" t="e">
        <f>VLOOKUP($A97,'STOCK DATA'!$A$2:H$521,3,FALSE)</f>
        <v>#N/A</v>
      </c>
      <c r="D97" t="e">
        <f>VLOOKUP($A97,'STOCK DATA'!$A$2:$H$521,3,FALSE)</f>
        <v>#N/A</v>
      </c>
      <c r="E97" t="e">
        <f>VLOOKUP($A97,'STOCK DATA'!$A$2:$H$521,3,FALSE)</f>
        <v>#N/A</v>
      </c>
      <c r="F97" t="e">
        <f>VLOOKUP($A97,'STOCK DATA'!$A$2:$H$521,3,FALSE)</f>
        <v>#N/A</v>
      </c>
      <c r="G97" t="e">
        <f>VLOOKUP($A97,'STOCK DATA'!$A$2:$H$521,3,FALSE)</f>
        <v>#N/A</v>
      </c>
      <c r="H97" t="e">
        <f>VLOOKUP($A97,'STOCK DATA'!$A$2:$H$521,3,FALSE)</f>
        <v>#N/A</v>
      </c>
      <c r="I97" t="e">
        <f>VLOOKUP(A97,'Short-term interest Rates daily'!$A:$E,2,FALSE)</f>
        <v>#N/A</v>
      </c>
      <c r="J97" t="e">
        <f>VLOOKUP(A97,'Short-term interest Rates daily'!$A:$E,3,FALSE)</f>
        <v>#N/A</v>
      </c>
      <c r="K97" t="e">
        <f>VLOOKUP(A97,'Short-term interest Rates daily'!$A:$E,4,FALSE)</f>
        <v>#N/A</v>
      </c>
      <c r="L97" t="e">
        <f>VLOOKUP(A97,'Short-term interest Rates daily'!$A:$E,5,FALSE)</f>
        <v>#N/A</v>
      </c>
    </row>
    <row r="98" spans="1:12" x14ac:dyDescent="0.3">
      <c r="A98" s="1">
        <v>31509</v>
      </c>
      <c r="B98">
        <f>VLOOKUP(A98,'STOCK DATA'!$A$2:$H$522,2,FALSE)</f>
        <v>124.83</v>
      </c>
      <c r="C98">
        <f>VLOOKUP($A98,'STOCK DATA'!$A$2:H$521,3,FALSE)</f>
        <v>1148.5</v>
      </c>
      <c r="D98">
        <f>VLOOKUP($A98,'STOCK DATA'!$A$2:$H$521,3,FALSE)</f>
        <v>1148.5</v>
      </c>
      <c r="E98">
        <f>VLOOKUP($A98,'STOCK DATA'!$A$2:$H$521,3,FALSE)</f>
        <v>1148.5</v>
      </c>
      <c r="F98">
        <f>VLOOKUP($A98,'STOCK DATA'!$A$2:$H$521,3,FALSE)</f>
        <v>1148.5</v>
      </c>
      <c r="G98">
        <f>VLOOKUP($A98,'STOCK DATA'!$A$2:$H$521,3,FALSE)</f>
        <v>1148.5</v>
      </c>
      <c r="H98">
        <f>VLOOKUP($A98,'STOCK DATA'!$A$2:$H$521,3,FALSE)</f>
        <v>1148.5</v>
      </c>
      <c r="I98">
        <f>VLOOKUP(A98,'Short-term interest Rates daily'!$A:$E,2,FALSE)</f>
        <v>17.38</v>
      </c>
      <c r="J98">
        <f>VLOOKUP(A98,'Short-term interest Rates daily'!$A:$E,3,FALSE)</f>
        <v>9.5500000000000007</v>
      </c>
      <c r="K98">
        <f>VLOOKUP(A98,'Short-term interest Rates daily'!$A:$E,4,FALSE)</f>
        <v>10.65</v>
      </c>
      <c r="L98">
        <f>VLOOKUP(A98,'Short-term interest Rates daily'!$A:$E,5,FALSE)</f>
        <v>6.24</v>
      </c>
    </row>
    <row r="99" spans="1:12" x14ac:dyDescent="0.3">
      <c r="A99" s="1">
        <v>31510</v>
      </c>
      <c r="B99">
        <f>VLOOKUP(A99,'STOCK DATA'!$A$2:$H$522,2,FALSE)</f>
        <v>123.49</v>
      </c>
      <c r="C99">
        <f>VLOOKUP($A99,'STOCK DATA'!$A$2:H$521,3,FALSE)</f>
        <v>1148.3</v>
      </c>
      <c r="D99">
        <f>VLOOKUP($A99,'STOCK DATA'!$A$2:$H$521,3,FALSE)</f>
        <v>1148.3</v>
      </c>
      <c r="E99">
        <f>VLOOKUP($A99,'STOCK DATA'!$A$2:$H$521,3,FALSE)</f>
        <v>1148.3</v>
      </c>
      <c r="F99">
        <f>VLOOKUP($A99,'STOCK DATA'!$A$2:$H$521,3,FALSE)</f>
        <v>1148.3</v>
      </c>
      <c r="G99">
        <f>VLOOKUP($A99,'STOCK DATA'!$A$2:$H$521,3,FALSE)</f>
        <v>1148.3</v>
      </c>
      <c r="H99">
        <f>VLOOKUP($A99,'STOCK DATA'!$A$2:$H$521,3,FALSE)</f>
        <v>1148.3</v>
      </c>
      <c r="I99">
        <f>VLOOKUP(A99,'Short-term interest Rates daily'!$A:$E,2,FALSE)</f>
        <v>17.75</v>
      </c>
      <c r="J99">
        <f>VLOOKUP(A99,'Short-term interest Rates daily'!$A:$E,3,FALSE)</f>
        <v>9.3800000000000008</v>
      </c>
      <c r="K99">
        <f>VLOOKUP(A99,'Short-term interest Rates daily'!$A:$E,4,FALSE)</f>
        <v>10.46</v>
      </c>
      <c r="L99">
        <f>VLOOKUP(A99,'Short-term interest Rates daily'!$A:$E,5,FALSE)</f>
        <v>6.13</v>
      </c>
    </row>
    <row r="100" spans="1:12" x14ac:dyDescent="0.3">
      <c r="A100" s="1">
        <v>31511</v>
      </c>
      <c r="B100">
        <f>VLOOKUP(A100,'STOCK DATA'!$A$2:$H$522,2,FALSE)</f>
        <v>124.03</v>
      </c>
      <c r="C100">
        <f>VLOOKUP($A100,'STOCK DATA'!$A$2:H$521,3,FALSE)</f>
        <v>1153.9000000000001</v>
      </c>
      <c r="D100">
        <f>VLOOKUP($A100,'STOCK DATA'!$A$2:$H$521,3,FALSE)</f>
        <v>1153.9000000000001</v>
      </c>
      <c r="E100">
        <f>VLOOKUP($A100,'STOCK DATA'!$A$2:$H$521,3,FALSE)</f>
        <v>1153.9000000000001</v>
      </c>
      <c r="F100">
        <f>VLOOKUP($A100,'STOCK DATA'!$A$2:$H$521,3,FALSE)</f>
        <v>1153.9000000000001</v>
      </c>
      <c r="G100">
        <f>VLOOKUP($A100,'STOCK DATA'!$A$2:$H$521,3,FALSE)</f>
        <v>1153.9000000000001</v>
      </c>
      <c r="H100">
        <f>VLOOKUP($A100,'STOCK DATA'!$A$2:$H$521,3,FALSE)</f>
        <v>1153.9000000000001</v>
      </c>
      <c r="I100">
        <f>VLOOKUP(A100,'Short-term interest Rates daily'!$A:$E,2,FALSE)</f>
        <v>18</v>
      </c>
      <c r="J100">
        <f>VLOOKUP(A100,'Short-term interest Rates daily'!$A:$E,3,FALSE)</f>
        <v>9.23</v>
      </c>
      <c r="K100">
        <f>VLOOKUP(A100,'Short-term interest Rates daily'!$A:$E,4,FALSE)</f>
        <v>10.18</v>
      </c>
      <c r="L100">
        <f>VLOOKUP(A100,'Short-term interest Rates daily'!$A:$E,5,FALSE)</f>
        <v>6.01</v>
      </c>
    </row>
    <row r="101" spans="1:12" x14ac:dyDescent="0.3">
      <c r="A101" s="1">
        <v>31512</v>
      </c>
      <c r="B101">
        <f>VLOOKUP(A101,'STOCK DATA'!$A$2:$H$522,2,FALSE)</f>
        <v>123.38</v>
      </c>
      <c r="C101">
        <f>VLOOKUP($A101,'STOCK DATA'!$A$2:H$521,3,FALSE)</f>
        <v>1195.5999999999999</v>
      </c>
      <c r="D101">
        <f>VLOOKUP($A101,'STOCK DATA'!$A$2:$H$521,3,FALSE)</f>
        <v>1195.5999999999999</v>
      </c>
      <c r="E101">
        <f>VLOOKUP($A101,'STOCK DATA'!$A$2:$H$521,3,FALSE)</f>
        <v>1195.5999999999999</v>
      </c>
      <c r="F101">
        <f>VLOOKUP($A101,'STOCK DATA'!$A$2:$H$521,3,FALSE)</f>
        <v>1195.5999999999999</v>
      </c>
      <c r="G101">
        <f>VLOOKUP($A101,'STOCK DATA'!$A$2:$H$521,3,FALSE)</f>
        <v>1195.5999999999999</v>
      </c>
      <c r="H101">
        <f>VLOOKUP($A101,'STOCK DATA'!$A$2:$H$521,3,FALSE)</f>
        <v>1195.5999999999999</v>
      </c>
      <c r="I101">
        <f>VLOOKUP(A101,'Short-term interest Rates daily'!$A:$E,2,FALSE)</f>
        <v>18.75</v>
      </c>
      <c r="J101">
        <f>VLOOKUP(A101,'Short-term interest Rates daily'!$A:$E,3,FALSE)</f>
        <v>9.08</v>
      </c>
      <c r="K101">
        <f>VLOOKUP(A101,'Short-term interest Rates daily'!$A:$E,4,FALSE)</f>
        <v>10.130000000000001</v>
      </c>
      <c r="L101">
        <f>VLOOKUP(A101,'Short-term interest Rates daily'!$A:$E,5,FALSE)</f>
        <v>6.02</v>
      </c>
    </row>
    <row r="102" spans="1:12" x14ac:dyDescent="0.3">
      <c r="A102" s="1">
        <v>31513</v>
      </c>
      <c r="B102">
        <f>VLOOKUP(A102,'STOCK DATA'!$A$2:$H$522,2,FALSE)</f>
        <v>123.84</v>
      </c>
      <c r="C102">
        <f>VLOOKUP($A102,'STOCK DATA'!$A$2:H$521,3,FALSE)</f>
        <v>1214.5999999999999</v>
      </c>
      <c r="D102">
        <f>VLOOKUP($A102,'STOCK DATA'!$A$2:$H$521,3,FALSE)</f>
        <v>1214.5999999999999</v>
      </c>
      <c r="E102">
        <f>VLOOKUP($A102,'STOCK DATA'!$A$2:$H$521,3,FALSE)</f>
        <v>1214.5999999999999</v>
      </c>
      <c r="F102">
        <f>VLOOKUP($A102,'STOCK DATA'!$A$2:$H$521,3,FALSE)</f>
        <v>1214.5999999999999</v>
      </c>
      <c r="G102">
        <f>VLOOKUP($A102,'STOCK DATA'!$A$2:$H$521,3,FALSE)</f>
        <v>1214.5999999999999</v>
      </c>
      <c r="H102">
        <f>VLOOKUP($A102,'STOCK DATA'!$A$2:$H$521,3,FALSE)</f>
        <v>1214.5999999999999</v>
      </c>
      <c r="I102">
        <f>VLOOKUP(A102,'Short-term interest Rates daily'!$A:$E,2,FALSE)</f>
        <v>18.5</v>
      </c>
      <c r="J102">
        <f>VLOOKUP(A102,'Short-term interest Rates daily'!$A:$E,3,FALSE)</f>
        <v>9.18</v>
      </c>
      <c r="K102">
        <f>VLOOKUP(A102,'Short-term interest Rates daily'!$A:$E,4,FALSE)</f>
        <v>10.11</v>
      </c>
      <c r="L102">
        <f>VLOOKUP(A102,'Short-term interest Rates daily'!$A:$E,5,FALSE)</f>
        <v>5.96</v>
      </c>
    </row>
    <row r="103" spans="1:12" x14ac:dyDescent="0.3">
      <c r="A103" s="1">
        <v>31514</v>
      </c>
      <c r="B103" t="e">
        <f>VLOOKUP(A103,'STOCK DATA'!$A$2:$H$522,2,FALSE)</f>
        <v>#N/A</v>
      </c>
      <c r="C103" t="e">
        <f>VLOOKUP($A103,'STOCK DATA'!$A$2:H$521,3,FALSE)</f>
        <v>#N/A</v>
      </c>
      <c r="D103" t="e">
        <f>VLOOKUP($A103,'STOCK DATA'!$A$2:$H$521,3,FALSE)</f>
        <v>#N/A</v>
      </c>
      <c r="E103" t="e">
        <f>VLOOKUP($A103,'STOCK DATA'!$A$2:$H$521,3,FALSE)</f>
        <v>#N/A</v>
      </c>
      <c r="F103" t="e">
        <f>VLOOKUP($A103,'STOCK DATA'!$A$2:$H$521,3,FALSE)</f>
        <v>#N/A</v>
      </c>
      <c r="G103" t="e">
        <f>VLOOKUP($A103,'STOCK DATA'!$A$2:$H$521,3,FALSE)</f>
        <v>#N/A</v>
      </c>
      <c r="H103" t="e">
        <f>VLOOKUP($A103,'STOCK DATA'!$A$2:$H$521,3,FALSE)</f>
        <v>#N/A</v>
      </c>
      <c r="I103" t="e">
        <f>VLOOKUP(A103,'Short-term interest Rates daily'!$A:$E,2,FALSE)</f>
        <v>#N/A</v>
      </c>
      <c r="J103" t="e">
        <f>VLOOKUP(A103,'Short-term interest Rates daily'!$A:$E,3,FALSE)</f>
        <v>#N/A</v>
      </c>
      <c r="K103" t="e">
        <f>VLOOKUP(A103,'Short-term interest Rates daily'!$A:$E,4,FALSE)</f>
        <v>#N/A</v>
      </c>
      <c r="L103" t="e">
        <f>VLOOKUP(A103,'Short-term interest Rates daily'!$A:$E,5,FALSE)</f>
        <v>#N/A</v>
      </c>
    </row>
    <row r="104" spans="1:12" x14ac:dyDescent="0.3">
      <c r="A104" s="1">
        <v>31515</v>
      </c>
      <c r="B104" t="e">
        <f>VLOOKUP(A104,'STOCK DATA'!$A$2:$H$522,2,FALSE)</f>
        <v>#N/A</v>
      </c>
      <c r="C104" t="e">
        <f>VLOOKUP($A104,'STOCK DATA'!$A$2:H$521,3,FALSE)</f>
        <v>#N/A</v>
      </c>
      <c r="D104" t="e">
        <f>VLOOKUP($A104,'STOCK DATA'!$A$2:$H$521,3,FALSE)</f>
        <v>#N/A</v>
      </c>
      <c r="E104" t="e">
        <f>VLOOKUP($A104,'STOCK DATA'!$A$2:$H$521,3,FALSE)</f>
        <v>#N/A</v>
      </c>
      <c r="F104" t="e">
        <f>VLOOKUP($A104,'STOCK DATA'!$A$2:$H$521,3,FALSE)</f>
        <v>#N/A</v>
      </c>
      <c r="G104" t="e">
        <f>VLOOKUP($A104,'STOCK DATA'!$A$2:$H$521,3,FALSE)</f>
        <v>#N/A</v>
      </c>
      <c r="H104" t="e">
        <f>VLOOKUP($A104,'STOCK DATA'!$A$2:$H$521,3,FALSE)</f>
        <v>#N/A</v>
      </c>
      <c r="I104" t="e">
        <f>VLOOKUP(A104,'Short-term interest Rates daily'!$A:$E,2,FALSE)</f>
        <v>#N/A</v>
      </c>
      <c r="J104" t="e">
        <f>VLOOKUP(A104,'Short-term interest Rates daily'!$A:$E,3,FALSE)</f>
        <v>#N/A</v>
      </c>
      <c r="K104" t="e">
        <f>VLOOKUP(A104,'Short-term interest Rates daily'!$A:$E,4,FALSE)</f>
        <v>#N/A</v>
      </c>
      <c r="L104" t="e">
        <f>VLOOKUP(A104,'Short-term interest Rates daily'!$A:$E,5,FALSE)</f>
        <v>#N/A</v>
      </c>
    </row>
    <row r="105" spans="1:12" x14ac:dyDescent="0.3">
      <c r="A105" s="1">
        <v>31516</v>
      </c>
      <c r="B105">
        <f>VLOOKUP(A105,'STOCK DATA'!$A$2:$H$522,2,FALSE)</f>
        <v>125.98</v>
      </c>
      <c r="C105">
        <f>VLOOKUP($A105,'STOCK DATA'!$A$2:H$521,3,FALSE)</f>
        <v>1202.2</v>
      </c>
      <c r="D105">
        <f>VLOOKUP($A105,'STOCK DATA'!$A$2:$H$521,3,FALSE)</f>
        <v>1202.2</v>
      </c>
      <c r="E105">
        <f>VLOOKUP($A105,'STOCK DATA'!$A$2:$H$521,3,FALSE)</f>
        <v>1202.2</v>
      </c>
      <c r="F105">
        <f>VLOOKUP($A105,'STOCK DATA'!$A$2:$H$521,3,FALSE)</f>
        <v>1202.2</v>
      </c>
      <c r="G105">
        <f>VLOOKUP($A105,'STOCK DATA'!$A$2:$H$521,3,FALSE)</f>
        <v>1202.2</v>
      </c>
      <c r="H105">
        <f>VLOOKUP($A105,'STOCK DATA'!$A$2:$H$521,3,FALSE)</f>
        <v>1202.2</v>
      </c>
      <c r="I105">
        <f>VLOOKUP(A105,'Short-term interest Rates daily'!$A:$E,2,FALSE)</f>
        <v>18.88</v>
      </c>
      <c r="J105">
        <f>VLOOKUP(A105,'Short-term interest Rates daily'!$A:$E,3,FALSE)</f>
        <v>9.25</v>
      </c>
      <c r="K105">
        <f>VLOOKUP(A105,'Short-term interest Rates daily'!$A:$E,4,FALSE)</f>
        <v>9.94</v>
      </c>
      <c r="L105">
        <f>VLOOKUP(A105,'Short-term interest Rates daily'!$A:$E,5,FALSE)</f>
        <v>5.91</v>
      </c>
    </row>
    <row r="106" spans="1:12" x14ac:dyDescent="0.3">
      <c r="A106" s="1">
        <v>31517</v>
      </c>
      <c r="B106">
        <f>VLOOKUP(A106,'STOCK DATA'!$A$2:$H$522,2,FALSE)</f>
        <v>124.17</v>
      </c>
      <c r="C106">
        <f>VLOOKUP($A106,'STOCK DATA'!$A$2:H$521,3,FALSE)</f>
        <v>1198.5</v>
      </c>
      <c r="D106">
        <f>VLOOKUP($A106,'STOCK DATA'!$A$2:$H$521,3,FALSE)</f>
        <v>1198.5</v>
      </c>
      <c r="E106">
        <f>VLOOKUP($A106,'STOCK DATA'!$A$2:$H$521,3,FALSE)</f>
        <v>1198.5</v>
      </c>
      <c r="F106">
        <f>VLOOKUP($A106,'STOCK DATA'!$A$2:$H$521,3,FALSE)</f>
        <v>1198.5</v>
      </c>
      <c r="G106">
        <f>VLOOKUP($A106,'STOCK DATA'!$A$2:$H$521,3,FALSE)</f>
        <v>1198.5</v>
      </c>
      <c r="H106">
        <f>VLOOKUP($A106,'STOCK DATA'!$A$2:$H$521,3,FALSE)</f>
        <v>1198.5</v>
      </c>
      <c r="I106">
        <f>VLOOKUP(A106,'Short-term interest Rates daily'!$A:$E,2,FALSE)</f>
        <v>18.38</v>
      </c>
      <c r="J106">
        <f>VLOOKUP(A106,'Short-term interest Rates daily'!$A:$E,3,FALSE)</f>
        <v>9.17</v>
      </c>
      <c r="K106">
        <f>VLOOKUP(A106,'Short-term interest Rates daily'!$A:$E,4,FALSE)</f>
        <v>9.94</v>
      </c>
      <c r="L106">
        <f>VLOOKUP(A106,'Short-term interest Rates daily'!$A:$E,5,FALSE)</f>
        <v>5.81</v>
      </c>
    </row>
    <row r="107" spans="1:12" x14ac:dyDescent="0.3">
      <c r="A107" s="1">
        <v>31518</v>
      </c>
      <c r="B107">
        <f>VLOOKUP(A107,'STOCK DATA'!$A$2:$H$522,2,FALSE)</f>
        <v>125.27</v>
      </c>
      <c r="C107">
        <f>VLOOKUP($A107,'STOCK DATA'!$A$2:H$521,3,FALSE)</f>
        <v>1202.5999999999999</v>
      </c>
      <c r="D107">
        <f>VLOOKUP($A107,'STOCK DATA'!$A$2:$H$521,3,FALSE)</f>
        <v>1202.5999999999999</v>
      </c>
      <c r="E107">
        <f>VLOOKUP($A107,'STOCK DATA'!$A$2:$H$521,3,FALSE)</f>
        <v>1202.5999999999999</v>
      </c>
      <c r="F107">
        <f>VLOOKUP($A107,'STOCK DATA'!$A$2:$H$521,3,FALSE)</f>
        <v>1202.5999999999999</v>
      </c>
      <c r="G107">
        <f>VLOOKUP($A107,'STOCK DATA'!$A$2:$H$521,3,FALSE)</f>
        <v>1202.5999999999999</v>
      </c>
      <c r="H107">
        <f>VLOOKUP($A107,'STOCK DATA'!$A$2:$H$521,3,FALSE)</f>
        <v>1202.5999999999999</v>
      </c>
      <c r="I107">
        <f>VLOOKUP(A107,'Short-term interest Rates daily'!$A:$E,2,FALSE)</f>
        <v>16.63</v>
      </c>
      <c r="J107">
        <f>VLOOKUP(A107,'Short-term interest Rates daily'!$A:$E,3,FALSE)</f>
        <v>9.06</v>
      </c>
      <c r="K107">
        <f>VLOOKUP(A107,'Short-term interest Rates daily'!$A:$E,4,FALSE)</f>
        <v>9.9600000000000009</v>
      </c>
      <c r="L107">
        <f>VLOOKUP(A107,'Short-term interest Rates daily'!$A:$E,5,FALSE)</f>
        <v>5.77</v>
      </c>
    </row>
    <row r="108" spans="1:12" x14ac:dyDescent="0.3">
      <c r="A108" s="1">
        <v>31519</v>
      </c>
      <c r="B108">
        <f>VLOOKUP(A108,'STOCK DATA'!$A$2:$H$522,2,FALSE)</f>
        <v>125.85</v>
      </c>
      <c r="C108">
        <f>VLOOKUP($A108,'STOCK DATA'!$A$2:H$521,3,FALSE)</f>
        <v>1216.8</v>
      </c>
      <c r="D108">
        <f>VLOOKUP($A108,'STOCK DATA'!$A$2:$H$521,3,FALSE)</f>
        <v>1216.8</v>
      </c>
      <c r="E108">
        <f>VLOOKUP($A108,'STOCK DATA'!$A$2:$H$521,3,FALSE)</f>
        <v>1216.8</v>
      </c>
      <c r="F108">
        <f>VLOOKUP($A108,'STOCK DATA'!$A$2:$H$521,3,FALSE)</f>
        <v>1216.8</v>
      </c>
      <c r="G108">
        <f>VLOOKUP($A108,'STOCK DATA'!$A$2:$H$521,3,FALSE)</f>
        <v>1216.8</v>
      </c>
      <c r="H108">
        <f>VLOOKUP($A108,'STOCK DATA'!$A$2:$H$521,3,FALSE)</f>
        <v>1216.8</v>
      </c>
      <c r="I108">
        <f>VLOOKUP(A108,'Short-term interest Rates daily'!$A:$E,2,FALSE)</f>
        <v>16.13</v>
      </c>
      <c r="J108">
        <f>VLOOKUP(A108,'Short-term interest Rates daily'!$A:$E,3,FALSE)</f>
        <v>9.0399999999999991</v>
      </c>
      <c r="K108">
        <f>VLOOKUP(A108,'Short-term interest Rates daily'!$A:$E,4,FALSE)</f>
        <v>9.7200000000000006</v>
      </c>
      <c r="L108">
        <f>VLOOKUP(A108,'Short-term interest Rates daily'!$A:$E,5,FALSE)</f>
        <v>5.84</v>
      </c>
    </row>
    <row r="109" spans="1:12" x14ac:dyDescent="0.3">
      <c r="A109" s="1">
        <v>31520</v>
      </c>
      <c r="B109">
        <f>VLOOKUP(A109,'STOCK DATA'!$A$2:$H$522,2,FALSE)</f>
        <v>124.87</v>
      </c>
      <c r="C109">
        <f>VLOOKUP($A109,'STOCK DATA'!$A$2:H$521,3,FALSE)</f>
        <v>1218.4000000000001</v>
      </c>
      <c r="D109">
        <f>VLOOKUP($A109,'STOCK DATA'!$A$2:$H$521,3,FALSE)</f>
        <v>1218.4000000000001</v>
      </c>
      <c r="E109">
        <f>VLOOKUP($A109,'STOCK DATA'!$A$2:$H$521,3,FALSE)</f>
        <v>1218.4000000000001</v>
      </c>
      <c r="F109">
        <f>VLOOKUP($A109,'STOCK DATA'!$A$2:$H$521,3,FALSE)</f>
        <v>1218.4000000000001</v>
      </c>
      <c r="G109">
        <f>VLOOKUP($A109,'STOCK DATA'!$A$2:$H$521,3,FALSE)</f>
        <v>1218.4000000000001</v>
      </c>
      <c r="H109">
        <f>VLOOKUP($A109,'STOCK DATA'!$A$2:$H$521,3,FALSE)</f>
        <v>1218.4000000000001</v>
      </c>
      <c r="I109">
        <f>VLOOKUP(A109,'Short-term interest Rates daily'!$A:$E,2,FALSE)</f>
        <v>16.5</v>
      </c>
      <c r="J109">
        <f>VLOOKUP(A109,'Short-term interest Rates daily'!$A:$E,3,FALSE)</f>
        <v>9.0299999999999994</v>
      </c>
      <c r="K109">
        <f>VLOOKUP(A109,'Short-term interest Rates daily'!$A:$E,4,FALSE)</f>
        <v>9.75</v>
      </c>
      <c r="L109">
        <f>VLOOKUP(A109,'Short-term interest Rates daily'!$A:$E,5,FALSE)</f>
        <v>5.87</v>
      </c>
    </row>
    <row r="110" spans="1:12" x14ac:dyDescent="0.3">
      <c r="A110" s="1">
        <v>31521</v>
      </c>
      <c r="B110" t="e">
        <f>VLOOKUP(A110,'STOCK DATA'!$A$2:$H$522,2,FALSE)</f>
        <v>#N/A</v>
      </c>
      <c r="C110" t="e">
        <f>VLOOKUP($A110,'STOCK DATA'!$A$2:H$521,3,FALSE)</f>
        <v>#N/A</v>
      </c>
      <c r="D110" t="e">
        <f>VLOOKUP($A110,'STOCK DATA'!$A$2:$H$521,3,FALSE)</f>
        <v>#N/A</v>
      </c>
      <c r="E110" t="e">
        <f>VLOOKUP($A110,'STOCK DATA'!$A$2:$H$521,3,FALSE)</f>
        <v>#N/A</v>
      </c>
      <c r="F110" t="e">
        <f>VLOOKUP($A110,'STOCK DATA'!$A$2:$H$521,3,FALSE)</f>
        <v>#N/A</v>
      </c>
      <c r="G110" t="e">
        <f>VLOOKUP($A110,'STOCK DATA'!$A$2:$H$521,3,FALSE)</f>
        <v>#N/A</v>
      </c>
      <c r="H110" t="e">
        <f>VLOOKUP($A110,'STOCK DATA'!$A$2:$H$521,3,FALSE)</f>
        <v>#N/A</v>
      </c>
      <c r="I110" t="e">
        <f>VLOOKUP(A110,'Short-term interest Rates daily'!$A:$E,2,FALSE)</f>
        <v>#N/A</v>
      </c>
      <c r="J110" t="e">
        <f>VLOOKUP(A110,'Short-term interest Rates daily'!$A:$E,3,FALSE)</f>
        <v>#N/A</v>
      </c>
      <c r="K110" t="e">
        <f>VLOOKUP(A110,'Short-term interest Rates daily'!$A:$E,4,FALSE)</f>
        <v>#N/A</v>
      </c>
      <c r="L110" t="e">
        <f>VLOOKUP(A110,'Short-term interest Rates daily'!$A:$E,5,FALSE)</f>
        <v>#N/A</v>
      </c>
    </row>
    <row r="111" spans="1:12" x14ac:dyDescent="0.3">
      <c r="A111" s="1">
        <v>31522</v>
      </c>
      <c r="B111" t="e">
        <f>VLOOKUP(A111,'STOCK DATA'!$A$2:$H$522,2,FALSE)</f>
        <v>#N/A</v>
      </c>
      <c r="C111" t="e">
        <f>VLOOKUP($A111,'STOCK DATA'!$A$2:H$521,3,FALSE)</f>
        <v>#N/A</v>
      </c>
      <c r="D111" t="e">
        <f>VLOOKUP($A111,'STOCK DATA'!$A$2:$H$521,3,FALSE)</f>
        <v>#N/A</v>
      </c>
      <c r="E111" t="e">
        <f>VLOOKUP($A111,'STOCK DATA'!$A$2:$H$521,3,FALSE)</f>
        <v>#N/A</v>
      </c>
      <c r="F111" t="e">
        <f>VLOOKUP($A111,'STOCK DATA'!$A$2:$H$521,3,FALSE)</f>
        <v>#N/A</v>
      </c>
      <c r="G111" t="e">
        <f>VLOOKUP($A111,'STOCK DATA'!$A$2:$H$521,3,FALSE)</f>
        <v>#N/A</v>
      </c>
      <c r="H111" t="e">
        <f>VLOOKUP($A111,'STOCK DATA'!$A$2:$H$521,3,FALSE)</f>
        <v>#N/A</v>
      </c>
      <c r="I111" t="e">
        <f>VLOOKUP(A111,'Short-term interest Rates daily'!$A:$E,2,FALSE)</f>
        <v>#N/A</v>
      </c>
      <c r="J111" t="e">
        <f>VLOOKUP(A111,'Short-term interest Rates daily'!$A:$E,3,FALSE)</f>
        <v>#N/A</v>
      </c>
      <c r="K111" t="e">
        <f>VLOOKUP(A111,'Short-term interest Rates daily'!$A:$E,4,FALSE)</f>
        <v>#N/A</v>
      </c>
      <c r="L111" t="e">
        <f>VLOOKUP(A111,'Short-term interest Rates daily'!$A:$E,5,FALSE)</f>
        <v>#N/A</v>
      </c>
    </row>
    <row r="112" spans="1:12" x14ac:dyDescent="0.3">
      <c r="A112" s="1">
        <v>31523</v>
      </c>
      <c r="B112">
        <f>VLOOKUP(A112,'STOCK DATA'!$A$2:$H$522,2,FALSE)</f>
        <v>124.49</v>
      </c>
      <c r="C112">
        <f>VLOOKUP($A112,'STOCK DATA'!$A$2:H$521,3,FALSE)</f>
        <v>1218.4000000000001</v>
      </c>
      <c r="D112">
        <f>VLOOKUP($A112,'STOCK DATA'!$A$2:$H$521,3,FALSE)</f>
        <v>1218.4000000000001</v>
      </c>
      <c r="E112">
        <f>VLOOKUP($A112,'STOCK DATA'!$A$2:$H$521,3,FALSE)</f>
        <v>1218.4000000000001</v>
      </c>
      <c r="F112">
        <f>VLOOKUP($A112,'STOCK DATA'!$A$2:$H$521,3,FALSE)</f>
        <v>1218.4000000000001</v>
      </c>
      <c r="G112">
        <f>VLOOKUP($A112,'STOCK DATA'!$A$2:$H$521,3,FALSE)</f>
        <v>1218.4000000000001</v>
      </c>
      <c r="H112">
        <f>VLOOKUP($A112,'STOCK DATA'!$A$2:$H$521,3,FALSE)</f>
        <v>1218.4000000000001</v>
      </c>
      <c r="I112">
        <f>VLOOKUP(A112,'Short-term interest Rates daily'!$A:$E,2,FALSE)</f>
        <v>17</v>
      </c>
      <c r="J112">
        <f>VLOOKUP(A112,'Short-term interest Rates daily'!$A:$E,3,FALSE)</f>
        <v>9.07</v>
      </c>
      <c r="K112">
        <f>VLOOKUP(A112,'Short-term interest Rates daily'!$A:$E,4,FALSE)</f>
        <v>9.74</v>
      </c>
      <c r="L112">
        <f>VLOOKUP(A112,'Short-term interest Rates daily'!$A:$E,5,FALSE)</f>
        <v>5.87</v>
      </c>
    </row>
    <row r="113" spans="1:12" x14ac:dyDescent="0.3">
      <c r="A113" s="1">
        <v>31524</v>
      </c>
      <c r="B113">
        <f>VLOOKUP(A113,'STOCK DATA'!$A$2:$H$522,2,FALSE)</f>
        <v>124.48</v>
      </c>
      <c r="C113">
        <f>VLOOKUP($A113,'STOCK DATA'!$A$2:H$521,3,FALSE)</f>
        <v>1206.5</v>
      </c>
      <c r="D113">
        <f>VLOOKUP($A113,'STOCK DATA'!$A$2:$H$521,3,FALSE)</f>
        <v>1206.5</v>
      </c>
      <c r="E113">
        <f>VLOOKUP($A113,'STOCK DATA'!$A$2:$H$521,3,FALSE)</f>
        <v>1206.5</v>
      </c>
      <c r="F113">
        <f>VLOOKUP($A113,'STOCK DATA'!$A$2:$H$521,3,FALSE)</f>
        <v>1206.5</v>
      </c>
      <c r="G113">
        <f>VLOOKUP($A113,'STOCK DATA'!$A$2:$H$521,3,FALSE)</f>
        <v>1206.5</v>
      </c>
      <c r="H113">
        <f>VLOOKUP($A113,'STOCK DATA'!$A$2:$H$521,3,FALSE)</f>
        <v>1206.5</v>
      </c>
      <c r="I113">
        <f>VLOOKUP(A113,'Short-term interest Rates daily'!$A:$E,2,FALSE)</f>
        <v>16.88</v>
      </c>
      <c r="J113">
        <f>VLOOKUP(A113,'Short-term interest Rates daily'!$A:$E,3,FALSE)</f>
        <v>9.19</v>
      </c>
      <c r="K113">
        <f>VLOOKUP(A113,'Short-term interest Rates daily'!$A:$E,4,FALSE)</f>
        <v>9.93</v>
      </c>
      <c r="L113">
        <f>VLOOKUP(A113,'Short-term interest Rates daily'!$A:$E,5,FALSE)</f>
        <v>5.95</v>
      </c>
    </row>
    <row r="114" spans="1:12" x14ac:dyDescent="0.3">
      <c r="A114" s="1">
        <v>31525</v>
      </c>
      <c r="B114">
        <f>VLOOKUP(A114,'STOCK DATA'!$A$2:$H$522,2,FALSE)</f>
        <v>122.66</v>
      </c>
      <c r="C114">
        <f>VLOOKUP($A114,'STOCK DATA'!$A$2:H$521,3,FALSE)</f>
        <v>1207.3</v>
      </c>
      <c r="D114">
        <f>VLOOKUP($A114,'STOCK DATA'!$A$2:$H$521,3,FALSE)</f>
        <v>1207.3</v>
      </c>
      <c r="E114">
        <f>VLOOKUP($A114,'STOCK DATA'!$A$2:$H$521,3,FALSE)</f>
        <v>1207.3</v>
      </c>
      <c r="F114">
        <f>VLOOKUP($A114,'STOCK DATA'!$A$2:$H$521,3,FALSE)</f>
        <v>1207.3</v>
      </c>
      <c r="G114">
        <f>VLOOKUP($A114,'STOCK DATA'!$A$2:$H$521,3,FALSE)</f>
        <v>1207.3</v>
      </c>
      <c r="H114">
        <f>VLOOKUP($A114,'STOCK DATA'!$A$2:$H$521,3,FALSE)</f>
        <v>1207.3</v>
      </c>
      <c r="I114">
        <f>VLOOKUP(A114,'Short-term interest Rates daily'!$A:$E,2,FALSE)</f>
        <v>18.25</v>
      </c>
      <c r="J114">
        <f>VLOOKUP(A114,'Short-term interest Rates daily'!$A:$E,3,FALSE)</f>
        <v>9.18</v>
      </c>
      <c r="K114">
        <f>VLOOKUP(A114,'Short-term interest Rates daily'!$A:$E,4,FALSE)</f>
        <v>10</v>
      </c>
      <c r="L114">
        <f>VLOOKUP(A114,'Short-term interest Rates daily'!$A:$E,5,FALSE)</f>
        <v>6.09</v>
      </c>
    </row>
    <row r="115" spans="1:12" x14ac:dyDescent="0.3">
      <c r="A115" s="1">
        <v>31526</v>
      </c>
      <c r="B115">
        <f>VLOOKUP(A115,'STOCK DATA'!$A$2:$H$522,2,FALSE)</f>
        <v>122.6</v>
      </c>
      <c r="C115">
        <f>VLOOKUP($A115,'STOCK DATA'!$A$2:H$521,3,FALSE)</f>
        <v>1210.4000000000001</v>
      </c>
      <c r="D115">
        <f>VLOOKUP($A115,'STOCK DATA'!$A$2:$H$521,3,FALSE)</f>
        <v>1210.4000000000001</v>
      </c>
      <c r="E115">
        <f>VLOOKUP($A115,'STOCK DATA'!$A$2:$H$521,3,FALSE)</f>
        <v>1210.4000000000001</v>
      </c>
      <c r="F115">
        <f>VLOOKUP($A115,'STOCK DATA'!$A$2:$H$521,3,FALSE)</f>
        <v>1210.4000000000001</v>
      </c>
      <c r="G115">
        <f>VLOOKUP($A115,'STOCK DATA'!$A$2:$H$521,3,FALSE)</f>
        <v>1210.4000000000001</v>
      </c>
      <c r="H115">
        <f>VLOOKUP($A115,'STOCK DATA'!$A$2:$H$521,3,FALSE)</f>
        <v>1210.4000000000001</v>
      </c>
      <c r="I115">
        <f>VLOOKUP(A115,'Short-term interest Rates daily'!$A:$E,2,FALSE)</f>
        <v>16.13</v>
      </c>
      <c r="J115">
        <f>VLOOKUP(A115,'Short-term interest Rates daily'!$A:$E,3,FALSE)</f>
        <v>9.14</v>
      </c>
      <c r="K115">
        <f>VLOOKUP(A115,'Short-term interest Rates daily'!$A:$E,4,FALSE)</f>
        <v>10</v>
      </c>
      <c r="L115">
        <f>VLOOKUP(A115,'Short-term interest Rates daily'!$A:$E,5,FALSE)</f>
        <v>6.11</v>
      </c>
    </row>
    <row r="116" spans="1:12" x14ac:dyDescent="0.3">
      <c r="A116" s="1">
        <v>31527</v>
      </c>
      <c r="B116">
        <f>VLOOKUP(A116,'STOCK DATA'!$A$2:$H$522,2,FALSE)</f>
        <v>122.5</v>
      </c>
      <c r="C116">
        <f>VLOOKUP($A116,'STOCK DATA'!$A$2:H$521,3,FALSE)</f>
        <v>0</v>
      </c>
      <c r="D116">
        <f>VLOOKUP($A116,'STOCK DATA'!$A$2:$H$521,3,FALSE)</f>
        <v>0</v>
      </c>
      <c r="E116">
        <f>VLOOKUP($A116,'STOCK DATA'!$A$2:$H$521,3,FALSE)</f>
        <v>0</v>
      </c>
      <c r="F116">
        <f>VLOOKUP($A116,'STOCK DATA'!$A$2:$H$521,3,FALSE)</f>
        <v>0</v>
      </c>
      <c r="G116">
        <f>VLOOKUP($A116,'STOCK DATA'!$A$2:$H$521,3,FALSE)</f>
        <v>0</v>
      </c>
      <c r="H116">
        <f>VLOOKUP($A116,'STOCK DATA'!$A$2:$H$521,3,FALSE)</f>
        <v>0</v>
      </c>
      <c r="I116">
        <f>VLOOKUP(A116,'Short-term interest Rates daily'!$A:$E,2,FALSE)</f>
        <v>0</v>
      </c>
      <c r="J116">
        <f>VLOOKUP(A116,'Short-term interest Rates daily'!$A:$E,3,FALSE)</f>
        <v>8.99</v>
      </c>
      <c r="K116">
        <f>VLOOKUP(A116,'Short-term interest Rates daily'!$A:$E,4,FALSE)</f>
        <v>10.039999999999999</v>
      </c>
      <c r="L116">
        <f>VLOOKUP(A116,'Short-term interest Rates daily'!$A:$E,5,FALSE)</f>
        <v>6.14</v>
      </c>
    </row>
    <row r="117" spans="1:12" x14ac:dyDescent="0.3">
      <c r="A117" s="1">
        <v>31528</v>
      </c>
      <c r="B117" t="e">
        <f>VLOOKUP(A117,'STOCK DATA'!$A$2:$H$522,2,FALSE)</f>
        <v>#N/A</v>
      </c>
      <c r="C117" t="e">
        <f>VLOOKUP($A117,'STOCK DATA'!$A$2:H$521,3,FALSE)</f>
        <v>#N/A</v>
      </c>
      <c r="D117" t="e">
        <f>VLOOKUP($A117,'STOCK DATA'!$A$2:$H$521,3,FALSE)</f>
        <v>#N/A</v>
      </c>
      <c r="E117" t="e">
        <f>VLOOKUP($A117,'STOCK DATA'!$A$2:$H$521,3,FALSE)</f>
        <v>#N/A</v>
      </c>
      <c r="F117" t="e">
        <f>VLOOKUP($A117,'STOCK DATA'!$A$2:$H$521,3,FALSE)</f>
        <v>#N/A</v>
      </c>
      <c r="G117" t="e">
        <f>VLOOKUP($A117,'STOCK DATA'!$A$2:$H$521,3,FALSE)</f>
        <v>#N/A</v>
      </c>
      <c r="H117" t="e">
        <f>VLOOKUP($A117,'STOCK DATA'!$A$2:$H$521,3,FALSE)</f>
        <v>#N/A</v>
      </c>
      <c r="I117" t="e">
        <f>VLOOKUP(A117,'Short-term interest Rates daily'!$A:$E,2,FALSE)</f>
        <v>#N/A</v>
      </c>
      <c r="J117" t="e">
        <f>VLOOKUP(A117,'Short-term interest Rates daily'!$A:$E,3,FALSE)</f>
        <v>#N/A</v>
      </c>
      <c r="K117" t="e">
        <f>VLOOKUP(A117,'Short-term interest Rates daily'!$A:$E,4,FALSE)</f>
        <v>#N/A</v>
      </c>
      <c r="L117" t="e">
        <f>VLOOKUP(A117,'Short-term interest Rates daily'!$A:$E,5,FALSE)</f>
        <v>#N/A</v>
      </c>
    </row>
    <row r="118" spans="1:12" x14ac:dyDescent="0.3">
      <c r="A118" s="1">
        <v>31529</v>
      </c>
      <c r="B118" t="e">
        <f>VLOOKUP(A118,'STOCK DATA'!$A$2:$H$522,2,FALSE)</f>
        <v>#N/A</v>
      </c>
      <c r="C118" t="e">
        <f>VLOOKUP($A118,'STOCK DATA'!$A$2:H$521,3,FALSE)</f>
        <v>#N/A</v>
      </c>
      <c r="D118" t="e">
        <f>VLOOKUP($A118,'STOCK DATA'!$A$2:$H$521,3,FALSE)</f>
        <v>#N/A</v>
      </c>
      <c r="E118" t="e">
        <f>VLOOKUP($A118,'STOCK DATA'!$A$2:$H$521,3,FALSE)</f>
        <v>#N/A</v>
      </c>
      <c r="F118" t="e">
        <f>VLOOKUP($A118,'STOCK DATA'!$A$2:$H$521,3,FALSE)</f>
        <v>#N/A</v>
      </c>
      <c r="G118" t="e">
        <f>VLOOKUP($A118,'STOCK DATA'!$A$2:$H$521,3,FALSE)</f>
        <v>#N/A</v>
      </c>
      <c r="H118" t="e">
        <f>VLOOKUP($A118,'STOCK DATA'!$A$2:$H$521,3,FALSE)</f>
        <v>#N/A</v>
      </c>
      <c r="I118" t="e">
        <f>VLOOKUP(A118,'Short-term interest Rates daily'!$A:$E,2,FALSE)</f>
        <v>#N/A</v>
      </c>
      <c r="J118" t="e">
        <f>VLOOKUP(A118,'Short-term interest Rates daily'!$A:$E,3,FALSE)</f>
        <v>#N/A</v>
      </c>
      <c r="K118" t="e">
        <f>VLOOKUP(A118,'Short-term interest Rates daily'!$A:$E,4,FALSE)</f>
        <v>#N/A</v>
      </c>
      <c r="L118" t="e">
        <f>VLOOKUP(A118,'Short-term interest Rates daily'!$A:$E,5,FALSE)</f>
        <v>#N/A</v>
      </c>
    </row>
    <row r="119" spans="1:12" x14ac:dyDescent="0.3">
      <c r="A119" s="1">
        <v>31530</v>
      </c>
      <c r="B119">
        <f>VLOOKUP(A119,'STOCK DATA'!$A$2:$H$522,2,FALSE)</f>
        <v>118.41</v>
      </c>
      <c r="C119">
        <f>VLOOKUP($A119,'STOCK DATA'!$A$2:H$521,3,FALSE)</f>
        <v>1206.9000000000001</v>
      </c>
      <c r="D119">
        <f>VLOOKUP($A119,'STOCK DATA'!$A$2:$H$521,3,FALSE)</f>
        <v>1206.9000000000001</v>
      </c>
      <c r="E119">
        <f>VLOOKUP($A119,'STOCK DATA'!$A$2:$H$521,3,FALSE)</f>
        <v>1206.9000000000001</v>
      </c>
      <c r="F119">
        <f>VLOOKUP($A119,'STOCK DATA'!$A$2:$H$521,3,FALSE)</f>
        <v>1206.9000000000001</v>
      </c>
      <c r="G119">
        <f>VLOOKUP($A119,'STOCK DATA'!$A$2:$H$521,3,FALSE)</f>
        <v>1206.9000000000001</v>
      </c>
      <c r="H119">
        <f>VLOOKUP($A119,'STOCK DATA'!$A$2:$H$521,3,FALSE)</f>
        <v>1206.9000000000001</v>
      </c>
      <c r="I119">
        <f>VLOOKUP(A119,'Short-term interest Rates daily'!$A:$E,2,FALSE)</f>
        <v>16.63</v>
      </c>
      <c r="J119">
        <f>VLOOKUP(A119,'Short-term interest Rates daily'!$A:$E,3,FALSE)</f>
        <v>8.85</v>
      </c>
      <c r="K119">
        <f>VLOOKUP(A119,'Short-term interest Rates daily'!$A:$E,4,FALSE)</f>
        <v>10.08</v>
      </c>
      <c r="L119">
        <f>VLOOKUP(A119,'Short-term interest Rates daily'!$A:$E,5,FALSE)</f>
        <v>6.1</v>
      </c>
    </row>
    <row r="120" spans="1:12" x14ac:dyDescent="0.3">
      <c r="A120" s="1">
        <v>31531</v>
      </c>
      <c r="B120">
        <f>VLOOKUP(A120,'STOCK DATA'!$A$2:$H$522,2,FALSE)</f>
        <v>120.12</v>
      </c>
      <c r="C120">
        <f>VLOOKUP($A120,'STOCK DATA'!$A$2:H$521,3,FALSE)</f>
        <v>1209.0999999999999</v>
      </c>
      <c r="D120">
        <f>VLOOKUP($A120,'STOCK DATA'!$A$2:$H$521,3,FALSE)</f>
        <v>1209.0999999999999</v>
      </c>
      <c r="E120">
        <f>VLOOKUP($A120,'STOCK DATA'!$A$2:$H$521,3,FALSE)</f>
        <v>1209.0999999999999</v>
      </c>
      <c r="F120">
        <f>VLOOKUP($A120,'STOCK DATA'!$A$2:$H$521,3,FALSE)</f>
        <v>1209.0999999999999</v>
      </c>
      <c r="G120">
        <f>VLOOKUP($A120,'STOCK DATA'!$A$2:$H$521,3,FALSE)</f>
        <v>1209.0999999999999</v>
      </c>
      <c r="H120">
        <f>VLOOKUP($A120,'STOCK DATA'!$A$2:$H$521,3,FALSE)</f>
        <v>1209.0999999999999</v>
      </c>
      <c r="I120">
        <f>VLOOKUP(A120,'Short-term interest Rates daily'!$A:$E,2,FALSE)</f>
        <v>15.63</v>
      </c>
      <c r="J120">
        <f>VLOOKUP(A120,'Short-term interest Rates daily'!$A:$E,3,FALSE)</f>
        <v>8.82</v>
      </c>
      <c r="K120">
        <f>VLOOKUP(A120,'Short-term interest Rates daily'!$A:$E,4,FALSE)</f>
        <v>10.050000000000001</v>
      </c>
      <c r="L120">
        <f>VLOOKUP(A120,'Short-term interest Rates daily'!$A:$E,5,FALSE)</f>
        <v>6.09</v>
      </c>
    </row>
    <row r="121" spans="1:12" x14ac:dyDescent="0.3">
      <c r="A121" s="1">
        <v>31532</v>
      </c>
      <c r="B121">
        <f>VLOOKUP(A121,'STOCK DATA'!$A$2:$H$522,2,FALSE)</f>
        <v>120.12</v>
      </c>
      <c r="C121">
        <f>VLOOKUP($A121,'STOCK DATA'!$A$2:H$521,3,FALSE)</f>
        <v>1210.5999999999999</v>
      </c>
      <c r="D121">
        <f>VLOOKUP($A121,'STOCK DATA'!$A$2:$H$521,3,FALSE)</f>
        <v>1210.5999999999999</v>
      </c>
      <c r="E121">
        <f>VLOOKUP($A121,'STOCK DATA'!$A$2:$H$521,3,FALSE)</f>
        <v>1210.5999999999999</v>
      </c>
      <c r="F121">
        <f>VLOOKUP($A121,'STOCK DATA'!$A$2:$H$521,3,FALSE)</f>
        <v>1210.5999999999999</v>
      </c>
      <c r="G121">
        <f>VLOOKUP($A121,'STOCK DATA'!$A$2:$H$521,3,FALSE)</f>
        <v>1210.5999999999999</v>
      </c>
      <c r="H121">
        <f>VLOOKUP($A121,'STOCK DATA'!$A$2:$H$521,3,FALSE)</f>
        <v>1210.5999999999999</v>
      </c>
      <c r="I121">
        <f>VLOOKUP(A121,'Short-term interest Rates daily'!$A:$E,2,FALSE)</f>
        <v>15.38</v>
      </c>
      <c r="J121">
        <f>VLOOKUP(A121,'Short-term interest Rates daily'!$A:$E,3,FALSE)</f>
        <v>8.81</v>
      </c>
      <c r="K121">
        <f>VLOOKUP(A121,'Short-term interest Rates daily'!$A:$E,4,FALSE)</f>
        <v>10.01</v>
      </c>
      <c r="L121">
        <f>VLOOKUP(A121,'Short-term interest Rates daily'!$A:$E,5,FALSE)</f>
        <v>6.1</v>
      </c>
    </row>
    <row r="122" spans="1:12" x14ac:dyDescent="0.3">
      <c r="A122" s="1">
        <v>31533</v>
      </c>
      <c r="B122">
        <f>VLOOKUP(A122,'STOCK DATA'!$A$2:$H$522,2,FALSE)</f>
        <v>118.83</v>
      </c>
      <c r="C122">
        <f>VLOOKUP($A122,'STOCK DATA'!$A$2:H$521,3,FALSE)</f>
        <v>1212.9000000000001</v>
      </c>
      <c r="D122">
        <f>VLOOKUP($A122,'STOCK DATA'!$A$2:$H$521,3,FALSE)</f>
        <v>1212.9000000000001</v>
      </c>
      <c r="E122">
        <f>VLOOKUP($A122,'STOCK DATA'!$A$2:$H$521,3,FALSE)</f>
        <v>1212.9000000000001</v>
      </c>
      <c r="F122">
        <f>VLOOKUP($A122,'STOCK DATA'!$A$2:$H$521,3,FALSE)</f>
        <v>1212.9000000000001</v>
      </c>
      <c r="G122">
        <f>VLOOKUP($A122,'STOCK DATA'!$A$2:$H$521,3,FALSE)</f>
        <v>1212.9000000000001</v>
      </c>
      <c r="H122">
        <f>VLOOKUP($A122,'STOCK DATA'!$A$2:$H$521,3,FALSE)</f>
        <v>1212.9000000000001</v>
      </c>
      <c r="I122">
        <f>VLOOKUP(A122,'Short-term interest Rates daily'!$A:$E,2,FALSE)</f>
        <v>14.5</v>
      </c>
      <c r="J122">
        <f>VLOOKUP(A122,'Short-term interest Rates daily'!$A:$E,3,FALSE)</f>
        <v>8.7100000000000009</v>
      </c>
      <c r="K122">
        <f>VLOOKUP(A122,'Short-term interest Rates daily'!$A:$E,4,FALSE)</f>
        <v>9.99</v>
      </c>
      <c r="L122">
        <f>VLOOKUP(A122,'Short-term interest Rates daily'!$A:$E,5,FALSE)</f>
        <v>6.11</v>
      </c>
    </row>
    <row r="123" spans="1:12" x14ac:dyDescent="0.3">
      <c r="A123" s="1">
        <v>31534</v>
      </c>
      <c r="B123">
        <f>VLOOKUP(A123,'STOCK DATA'!$A$2:$H$522,2,FALSE)</f>
        <v>118.59</v>
      </c>
      <c r="C123">
        <f>VLOOKUP($A123,'STOCK DATA'!$A$2:H$521,3,FALSE)</f>
        <v>1224.7</v>
      </c>
      <c r="D123">
        <f>VLOOKUP($A123,'STOCK DATA'!$A$2:$H$521,3,FALSE)</f>
        <v>1224.7</v>
      </c>
      <c r="E123">
        <f>VLOOKUP($A123,'STOCK DATA'!$A$2:$H$521,3,FALSE)</f>
        <v>1224.7</v>
      </c>
      <c r="F123">
        <f>VLOOKUP($A123,'STOCK DATA'!$A$2:$H$521,3,FALSE)</f>
        <v>1224.7</v>
      </c>
      <c r="G123">
        <f>VLOOKUP($A123,'STOCK DATA'!$A$2:$H$521,3,FALSE)</f>
        <v>1224.7</v>
      </c>
      <c r="H123">
        <f>VLOOKUP($A123,'STOCK DATA'!$A$2:$H$521,3,FALSE)</f>
        <v>1224.7</v>
      </c>
      <c r="I123">
        <f>VLOOKUP(A123,'Short-term interest Rates daily'!$A:$E,2,FALSE)</f>
        <v>14.25</v>
      </c>
      <c r="J123">
        <f>VLOOKUP(A123,'Short-term interest Rates daily'!$A:$E,3,FALSE)</f>
        <v>8.65</v>
      </c>
      <c r="K123">
        <f>VLOOKUP(A123,'Short-term interest Rates daily'!$A:$E,4,FALSE)</f>
        <v>10.050000000000001</v>
      </c>
      <c r="L123">
        <f>VLOOKUP(A123,'Short-term interest Rates daily'!$A:$E,5,FALSE)</f>
        <v>6.15</v>
      </c>
    </row>
    <row r="124" spans="1:12" x14ac:dyDescent="0.3">
      <c r="A124" s="1">
        <v>31535</v>
      </c>
      <c r="B124" t="e">
        <f>VLOOKUP(A124,'STOCK DATA'!$A$2:$H$522,2,FALSE)</f>
        <v>#N/A</v>
      </c>
      <c r="C124" t="e">
        <f>VLOOKUP($A124,'STOCK DATA'!$A$2:H$521,3,FALSE)</f>
        <v>#N/A</v>
      </c>
      <c r="D124" t="e">
        <f>VLOOKUP($A124,'STOCK DATA'!$A$2:$H$521,3,FALSE)</f>
        <v>#N/A</v>
      </c>
      <c r="E124" t="e">
        <f>VLOOKUP($A124,'STOCK DATA'!$A$2:$H$521,3,FALSE)</f>
        <v>#N/A</v>
      </c>
      <c r="F124" t="e">
        <f>VLOOKUP($A124,'STOCK DATA'!$A$2:$H$521,3,FALSE)</f>
        <v>#N/A</v>
      </c>
      <c r="G124" t="e">
        <f>VLOOKUP($A124,'STOCK DATA'!$A$2:$H$521,3,FALSE)</f>
        <v>#N/A</v>
      </c>
      <c r="H124" t="e">
        <f>VLOOKUP($A124,'STOCK DATA'!$A$2:$H$521,3,FALSE)</f>
        <v>#N/A</v>
      </c>
      <c r="I124" t="e">
        <f>VLOOKUP(A124,'Short-term interest Rates daily'!$A:$E,2,FALSE)</f>
        <v>#N/A</v>
      </c>
      <c r="J124" t="e">
        <f>VLOOKUP(A124,'Short-term interest Rates daily'!$A:$E,3,FALSE)</f>
        <v>#N/A</v>
      </c>
      <c r="K124" t="e">
        <f>VLOOKUP(A124,'Short-term interest Rates daily'!$A:$E,4,FALSE)</f>
        <v>#N/A</v>
      </c>
      <c r="L124" t="e">
        <f>VLOOKUP(A124,'Short-term interest Rates daily'!$A:$E,5,FALSE)</f>
        <v>#N/A</v>
      </c>
    </row>
    <row r="125" spans="1:12" x14ac:dyDescent="0.3">
      <c r="A125" s="1">
        <v>31536</v>
      </c>
      <c r="B125" t="e">
        <f>VLOOKUP(A125,'STOCK DATA'!$A$2:$H$522,2,FALSE)</f>
        <v>#N/A</v>
      </c>
      <c r="C125" t="e">
        <f>VLOOKUP($A125,'STOCK DATA'!$A$2:H$521,3,FALSE)</f>
        <v>#N/A</v>
      </c>
      <c r="D125" t="e">
        <f>VLOOKUP($A125,'STOCK DATA'!$A$2:$H$521,3,FALSE)</f>
        <v>#N/A</v>
      </c>
      <c r="E125" t="e">
        <f>VLOOKUP($A125,'STOCK DATA'!$A$2:$H$521,3,FALSE)</f>
        <v>#N/A</v>
      </c>
      <c r="F125" t="e">
        <f>VLOOKUP($A125,'STOCK DATA'!$A$2:$H$521,3,FALSE)</f>
        <v>#N/A</v>
      </c>
      <c r="G125" t="e">
        <f>VLOOKUP($A125,'STOCK DATA'!$A$2:$H$521,3,FALSE)</f>
        <v>#N/A</v>
      </c>
      <c r="H125" t="e">
        <f>VLOOKUP($A125,'STOCK DATA'!$A$2:$H$521,3,FALSE)</f>
        <v>#N/A</v>
      </c>
      <c r="I125" t="e">
        <f>VLOOKUP(A125,'Short-term interest Rates daily'!$A:$E,2,FALSE)</f>
        <v>#N/A</v>
      </c>
      <c r="J125" t="e">
        <f>VLOOKUP(A125,'Short-term interest Rates daily'!$A:$E,3,FALSE)</f>
        <v>#N/A</v>
      </c>
      <c r="K125" t="e">
        <f>VLOOKUP(A125,'Short-term interest Rates daily'!$A:$E,4,FALSE)</f>
        <v>#N/A</v>
      </c>
      <c r="L125" t="e">
        <f>VLOOKUP(A125,'Short-term interest Rates daily'!$A:$E,5,FALSE)</f>
        <v>#N/A</v>
      </c>
    </row>
    <row r="126" spans="1:12" x14ac:dyDescent="0.3">
      <c r="A126" s="1">
        <v>31537</v>
      </c>
      <c r="B126">
        <f>VLOOKUP(A126,'STOCK DATA'!$A$2:$H$522,2,FALSE)</f>
        <v>118.25</v>
      </c>
      <c r="C126">
        <f>VLOOKUP($A126,'STOCK DATA'!$A$2:H$521,3,FALSE)</f>
        <v>1231.4000000000001</v>
      </c>
      <c r="D126">
        <f>VLOOKUP($A126,'STOCK DATA'!$A$2:$H$521,3,FALSE)</f>
        <v>1231.4000000000001</v>
      </c>
      <c r="E126">
        <f>VLOOKUP($A126,'STOCK DATA'!$A$2:$H$521,3,FALSE)</f>
        <v>1231.4000000000001</v>
      </c>
      <c r="F126">
        <f>VLOOKUP($A126,'STOCK DATA'!$A$2:$H$521,3,FALSE)</f>
        <v>1231.4000000000001</v>
      </c>
      <c r="G126">
        <f>VLOOKUP($A126,'STOCK DATA'!$A$2:$H$521,3,FALSE)</f>
        <v>1231.4000000000001</v>
      </c>
      <c r="H126">
        <f>VLOOKUP($A126,'STOCK DATA'!$A$2:$H$521,3,FALSE)</f>
        <v>1231.4000000000001</v>
      </c>
      <c r="I126">
        <f>VLOOKUP(A126,'Short-term interest Rates daily'!$A:$E,2,FALSE)</f>
        <v>16.88</v>
      </c>
      <c r="J126">
        <f>VLOOKUP(A126,'Short-term interest Rates daily'!$A:$E,3,FALSE)</f>
        <v>8.56</v>
      </c>
      <c r="K126">
        <f>VLOOKUP(A126,'Short-term interest Rates daily'!$A:$E,4,FALSE)</f>
        <v>10.050000000000001</v>
      </c>
      <c r="L126">
        <f>VLOOKUP(A126,'Short-term interest Rates daily'!$A:$E,5,FALSE)</f>
        <v>6.06</v>
      </c>
    </row>
    <row r="127" spans="1:12" x14ac:dyDescent="0.3">
      <c r="A127" s="1">
        <v>31538</v>
      </c>
      <c r="B127">
        <f>VLOOKUP(A127,'STOCK DATA'!$A$2:$H$522,2,FALSE)</f>
        <v>119.75</v>
      </c>
      <c r="C127">
        <f>VLOOKUP($A127,'STOCK DATA'!$A$2:H$521,3,FALSE)</f>
        <v>1238.3</v>
      </c>
      <c r="D127">
        <f>VLOOKUP($A127,'STOCK DATA'!$A$2:$H$521,3,FALSE)</f>
        <v>1238.3</v>
      </c>
      <c r="E127">
        <f>VLOOKUP($A127,'STOCK DATA'!$A$2:$H$521,3,FALSE)</f>
        <v>1238.3</v>
      </c>
      <c r="F127">
        <f>VLOOKUP($A127,'STOCK DATA'!$A$2:$H$521,3,FALSE)</f>
        <v>1238.3</v>
      </c>
      <c r="G127">
        <f>VLOOKUP($A127,'STOCK DATA'!$A$2:$H$521,3,FALSE)</f>
        <v>1238.3</v>
      </c>
      <c r="H127">
        <f>VLOOKUP($A127,'STOCK DATA'!$A$2:$H$521,3,FALSE)</f>
        <v>1238.3</v>
      </c>
      <c r="I127">
        <f>VLOOKUP(A127,'Short-term interest Rates daily'!$A:$E,2,FALSE)</f>
        <v>16.13</v>
      </c>
      <c r="J127">
        <f>VLOOKUP(A127,'Short-term interest Rates daily'!$A:$E,3,FALSE)</f>
        <v>8.6</v>
      </c>
      <c r="K127">
        <f>VLOOKUP(A127,'Short-term interest Rates daily'!$A:$E,4,FALSE)</f>
        <v>9.98</v>
      </c>
      <c r="L127">
        <f>VLOOKUP(A127,'Short-term interest Rates daily'!$A:$E,5,FALSE)</f>
        <v>6.05</v>
      </c>
    </row>
    <row r="128" spans="1:12" x14ac:dyDescent="0.3">
      <c r="A128" s="1">
        <v>31539</v>
      </c>
      <c r="B128">
        <f>VLOOKUP(A128,'STOCK DATA'!$A$2:$H$522,2,FALSE)</f>
        <v>117.4</v>
      </c>
      <c r="C128">
        <f>VLOOKUP($A128,'STOCK DATA'!$A$2:H$521,3,FALSE)</f>
        <v>1247</v>
      </c>
      <c r="D128">
        <f>VLOOKUP($A128,'STOCK DATA'!$A$2:$H$521,3,FALSE)</f>
        <v>1247</v>
      </c>
      <c r="E128">
        <f>VLOOKUP($A128,'STOCK DATA'!$A$2:$H$521,3,FALSE)</f>
        <v>1247</v>
      </c>
      <c r="F128">
        <f>VLOOKUP($A128,'STOCK DATA'!$A$2:$H$521,3,FALSE)</f>
        <v>1247</v>
      </c>
      <c r="G128">
        <f>VLOOKUP($A128,'STOCK DATA'!$A$2:$H$521,3,FALSE)</f>
        <v>1247</v>
      </c>
      <c r="H128">
        <f>VLOOKUP($A128,'STOCK DATA'!$A$2:$H$521,3,FALSE)</f>
        <v>1247</v>
      </c>
      <c r="I128">
        <f>VLOOKUP(A128,'Short-term interest Rates daily'!$A:$E,2,FALSE)</f>
        <v>15.38</v>
      </c>
      <c r="J128">
        <f>VLOOKUP(A128,'Short-term interest Rates daily'!$A:$E,3,FALSE)</f>
        <v>8.6199999999999992</v>
      </c>
      <c r="K128">
        <f>VLOOKUP(A128,'Short-term interest Rates daily'!$A:$E,4,FALSE)</f>
        <v>10.029999999999999</v>
      </c>
      <c r="L128">
        <f>VLOOKUP(A128,'Short-term interest Rates daily'!$A:$E,5,FALSE)</f>
        <v>6.04</v>
      </c>
    </row>
    <row r="129" spans="1:12" x14ac:dyDescent="0.3">
      <c r="A129" s="1">
        <v>31540</v>
      </c>
      <c r="B129">
        <f>VLOOKUP(A129,'STOCK DATA'!$A$2:$H$522,2,FALSE)</f>
        <v>117.4</v>
      </c>
      <c r="C129">
        <f>VLOOKUP($A129,'STOCK DATA'!$A$2:H$521,3,FALSE)</f>
        <v>1242.5999999999999</v>
      </c>
      <c r="D129">
        <f>VLOOKUP($A129,'STOCK DATA'!$A$2:$H$521,3,FALSE)</f>
        <v>1242.5999999999999</v>
      </c>
      <c r="E129">
        <f>VLOOKUP($A129,'STOCK DATA'!$A$2:$H$521,3,FALSE)</f>
        <v>1242.5999999999999</v>
      </c>
      <c r="F129">
        <f>VLOOKUP($A129,'STOCK DATA'!$A$2:$H$521,3,FALSE)</f>
        <v>1242.5999999999999</v>
      </c>
      <c r="G129">
        <f>VLOOKUP($A129,'STOCK DATA'!$A$2:$H$521,3,FALSE)</f>
        <v>1242.5999999999999</v>
      </c>
      <c r="H129">
        <f>VLOOKUP($A129,'STOCK DATA'!$A$2:$H$521,3,FALSE)</f>
        <v>1242.5999999999999</v>
      </c>
      <c r="I129">
        <f>VLOOKUP(A129,'Short-term interest Rates daily'!$A:$E,2,FALSE)</f>
        <v>15.5</v>
      </c>
      <c r="J129">
        <f>VLOOKUP(A129,'Short-term interest Rates daily'!$A:$E,3,FALSE)</f>
        <v>8.4600000000000009</v>
      </c>
      <c r="K129">
        <f>VLOOKUP(A129,'Short-term interest Rates daily'!$A:$E,4,FALSE)</f>
        <v>10.050000000000001</v>
      </c>
      <c r="L129">
        <f>VLOOKUP(A129,'Short-term interest Rates daily'!$A:$E,5,FALSE)</f>
        <v>6.04</v>
      </c>
    </row>
    <row r="130" spans="1:12" x14ac:dyDescent="0.3">
      <c r="A130" s="1">
        <v>31541</v>
      </c>
      <c r="B130">
        <f>VLOOKUP(A130,'STOCK DATA'!$A$2:$H$522,2,FALSE)</f>
        <v>115.99</v>
      </c>
      <c r="C130">
        <f>VLOOKUP($A130,'STOCK DATA'!$A$2:H$521,3,FALSE)</f>
        <v>1232.0999999999999</v>
      </c>
      <c r="D130">
        <f>VLOOKUP($A130,'STOCK DATA'!$A$2:$H$521,3,FALSE)</f>
        <v>1232.0999999999999</v>
      </c>
      <c r="E130">
        <f>VLOOKUP($A130,'STOCK DATA'!$A$2:$H$521,3,FALSE)</f>
        <v>1232.0999999999999</v>
      </c>
      <c r="F130">
        <f>VLOOKUP($A130,'STOCK DATA'!$A$2:$H$521,3,FALSE)</f>
        <v>1232.0999999999999</v>
      </c>
      <c r="G130">
        <f>VLOOKUP($A130,'STOCK DATA'!$A$2:$H$521,3,FALSE)</f>
        <v>1232.0999999999999</v>
      </c>
      <c r="H130">
        <f>VLOOKUP($A130,'STOCK DATA'!$A$2:$H$521,3,FALSE)</f>
        <v>1232.0999999999999</v>
      </c>
      <c r="I130">
        <f>VLOOKUP(A130,'Short-term interest Rates daily'!$A:$E,2,FALSE)</f>
        <v>15.38</v>
      </c>
      <c r="J130">
        <f>VLOOKUP(A130,'Short-term interest Rates daily'!$A:$E,3,FALSE)</f>
        <v>8.48</v>
      </c>
      <c r="K130">
        <f>VLOOKUP(A130,'Short-term interest Rates daily'!$A:$E,4,FALSE)</f>
        <v>10.08</v>
      </c>
      <c r="L130">
        <f>VLOOKUP(A130,'Short-term interest Rates daily'!$A:$E,5,FALSE)</f>
        <v>6.05</v>
      </c>
    </row>
    <row r="131" spans="1:12" x14ac:dyDescent="0.3">
      <c r="A131" s="1">
        <v>31542</v>
      </c>
      <c r="B131" t="e">
        <f>VLOOKUP(A131,'STOCK DATA'!$A$2:$H$522,2,FALSE)</f>
        <v>#N/A</v>
      </c>
      <c r="C131" t="e">
        <f>VLOOKUP($A131,'STOCK DATA'!$A$2:H$521,3,FALSE)</f>
        <v>#N/A</v>
      </c>
      <c r="D131" t="e">
        <f>VLOOKUP($A131,'STOCK DATA'!$A$2:$H$521,3,FALSE)</f>
        <v>#N/A</v>
      </c>
      <c r="E131" t="e">
        <f>VLOOKUP($A131,'STOCK DATA'!$A$2:$H$521,3,FALSE)</f>
        <v>#N/A</v>
      </c>
      <c r="F131" t="e">
        <f>VLOOKUP($A131,'STOCK DATA'!$A$2:$H$521,3,FALSE)</f>
        <v>#N/A</v>
      </c>
      <c r="G131" t="e">
        <f>VLOOKUP($A131,'STOCK DATA'!$A$2:$H$521,3,FALSE)</f>
        <v>#N/A</v>
      </c>
      <c r="H131" t="e">
        <f>VLOOKUP($A131,'STOCK DATA'!$A$2:$H$521,3,FALSE)</f>
        <v>#N/A</v>
      </c>
      <c r="I131" t="e">
        <f>VLOOKUP(A131,'Short-term interest Rates daily'!$A:$E,2,FALSE)</f>
        <v>#N/A</v>
      </c>
      <c r="J131" t="e">
        <f>VLOOKUP(A131,'Short-term interest Rates daily'!$A:$E,3,FALSE)</f>
        <v>#N/A</v>
      </c>
      <c r="K131" t="e">
        <f>VLOOKUP(A131,'Short-term interest Rates daily'!$A:$E,4,FALSE)</f>
        <v>#N/A</v>
      </c>
      <c r="L131" t="e">
        <f>VLOOKUP(A131,'Short-term interest Rates daily'!$A:$E,5,FALSE)</f>
        <v>#N/A</v>
      </c>
    </row>
    <row r="132" spans="1:12" x14ac:dyDescent="0.3">
      <c r="A132" s="1">
        <v>31543</v>
      </c>
      <c r="B132" t="e">
        <f>VLOOKUP(A132,'STOCK DATA'!$A$2:$H$522,2,FALSE)</f>
        <v>#N/A</v>
      </c>
      <c r="C132" t="e">
        <f>VLOOKUP($A132,'STOCK DATA'!$A$2:H$521,3,FALSE)</f>
        <v>#N/A</v>
      </c>
      <c r="D132" t="e">
        <f>VLOOKUP($A132,'STOCK DATA'!$A$2:$H$521,3,FALSE)</f>
        <v>#N/A</v>
      </c>
      <c r="E132" t="e">
        <f>VLOOKUP($A132,'STOCK DATA'!$A$2:$H$521,3,FALSE)</f>
        <v>#N/A</v>
      </c>
      <c r="F132" t="e">
        <f>VLOOKUP($A132,'STOCK DATA'!$A$2:$H$521,3,FALSE)</f>
        <v>#N/A</v>
      </c>
      <c r="G132" t="e">
        <f>VLOOKUP($A132,'STOCK DATA'!$A$2:$H$521,3,FALSE)</f>
        <v>#N/A</v>
      </c>
      <c r="H132" t="e">
        <f>VLOOKUP($A132,'STOCK DATA'!$A$2:$H$521,3,FALSE)</f>
        <v>#N/A</v>
      </c>
      <c r="I132" t="e">
        <f>VLOOKUP(A132,'Short-term interest Rates daily'!$A:$E,2,FALSE)</f>
        <v>#N/A</v>
      </c>
      <c r="J132" t="e">
        <f>VLOOKUP(A132,'Short-term interest Rates daily'!$A:$E,3,FALSE)</f>
        <v>#N/A</v>
      </c>
      <c r="K132" t="e">
        <f>VLOOKUP(A132,'Short-term interest Rates daily'!$A:$E,4,FALSE)</f>
        <v>#N/A</v>
      </c>
      <c r="L132" t="e">
        <f>VLOOKUP(A132,'Short-term interest Rates daily'!$A:$E,5,FALSE)</f>
        <v>#N/A</v>
      </c>
    </row>
    <row r="133" spans="1:12" x14ac:dyDescent="0.3">
      <c r="A133" s="1">
        <v>31544</v>
      </c>
      <c r="B133">
        <f>VLOOKUP(A133,'STOCK DATA'!$A$2:$H$522,2,FALSE)</f>
        <v>114.87</v>
      </c>
      <c r="C133">
        <f>VLOOKUP($A133,'STOCK DATA'!$A$2:H$521,3,FALSE)</f>
        <v>1218.3</v>
      </c>
      <c r="D133">
        <f>VLOOKUP($A133,'STOCK DATA'!$A$2:$H$521,3,FALSE)</f>
        <v>1218.3</v>
      </c>
      <c r="E133">
        <f>VLOOKUP($A133,'STOCK DATA'!$A$2:$H$521,3,FALSE)</f>
        <v>1218.3</v>
      </c>
      <c r="F133">
        <f>VLOOKUP($A133,'STOCK DATA'!$A$2:$H$521,3,FALSE)</f>
        <v>1218.3</v>
      </c>
      <c r="G133">
        <f>VLOOKUP($A133,'STOCK DATA'!$A$2:$H$521,3,FALSE)</f>
        <v>1218.3</v>
      </c>
      <c r="H133">
        <f>VLOOKUP($A133,'STOCK DATA'!$A$2:$H$521,3,FALSE)</f>
        <v>1218.3</v>
      </c>
      <c r="I133">
        <f>VLOOKUP(A133,'Short-term interest Rates daily'!$A:$E,2,FALSE)</f>
        <v>15.75</v>
      </c>
      <c r="J133">
        <f>VLOOKUP(A133,'Short-term interest Rates daily'!$A:$E,3,FALSE)</f>
        <v>8.51</v>
      </c>
      <c r="K133">
        <f>VLOOKUP(A133,'Short-term interest Rates daily'!$A:$E,4,FALSE)</f>
        <v>10.02</v>
      </c>
      <c r="L133">
        <f>VLOOKUP(A133,'Short-term interest Rates daily'!$A:$E,5,FALSE)</f>
        <v>6.13</v>
      </c>
    </row>
    <row r="134" spans="1:12" x14ac:dyDescent="0.3">
      <c r="A134" s="1">
        <v>31545</v>
      </c>
      <c r="B134">
        <f>VLOOKUP(A134,'STOCK DATA'!$A$2:$H$522,2,FALSE)</f>
        <v>113.94</v>
      </c>
      <c r="C134">
        <f>VLOOKUP($A134,'STOCK DATA'!$A$2:H$521,3,FALSE)</f>
        <v>1201.8</v>
      </c>
      <c r="D134">
        <f>VLOOKUP($A134,'STOCK DATA'!$A$2:$H$521,3,FALSE)</f>
        <v>1201.8</v>
      </c>
      <c r="E134">
        <f>VLOOKUP($A134,'STOCK DATA'!$A$2:$H$521,3,FALSE)</f>
        <v>1201.8</v>
      </c>
      <c r="F134">
        <f>VLOOKUP($A134,'STOCK DATA'!$A$2:$H$521,3,FALSE)</f>
        <v>1201.8</v>
      </c>
      <c r="G134">
        <f>VLOOKUP($A134,'STOCK DATA'!$A$2:$H$521,3,FALSE)</f>
        <v>1201.8</v>
      </c>
      <c r="H134">
        <f>VLOOKUP($A134,'STOCK DATA'!$A$2:$H$521,3,FALSE)</f>
        <v>1201.8</v>
      </c>
      <c r="I134">
        <f>VLOOKUP(A134,'Short-term interest Rates daily'!$A:$E,2,FALSE)</f>
        <v>15.63</v>
      </c>
      <c r="J134">
        <f>VLOOKUP(A134,'Short-term interest Rates daily'!$A:$E,3,FALSE)</f>
        <v>8.5</v>
      </c>
      <c r="K134">
        <f>VLOOKUP(A134,'Short-term interest Rates daily'!$A:$E,4,FALSE)</f>
        <v>9.99</v>
      </c>
      <c r="L134">
        <f>VLOOKUP(A134,'Short-term interest Rates daily'!$A:$E,5,FALSE)</f>
        <v>6.09</v>
      </c>
    </row>
    <row r="135" spans="1:12" x14ac:dyDescent="0.3">
      <c r="A135" s="1">
        <v>31546</v>
      </c>
      <c r="B135">
        <f>VLOOKUP(A135,'STOCK DATA'!$A$2:$H$522,2,FALSE)</f>
        <v>115.4</v>
      </c>
      <c r="C135">
        <f>VLOOKUP($A135,'STOCK DATA'!$A$2:H$521,3,FALSE)</f>
        <v>1222.4000000000001</v>
      </c>
      <c r="D135">
        <f>VLOOKUP($A135,'STOCK DATA'!$A$2:$H$521,3,FALSE)</f>
        <v>1222.4000000000001</v>
      </c>
      <c r="E135">
        <f>VLOOKUP($A135,'STOCK DATA'!$A$2:$H$521,3,FALSE)</f>
        <v>1222.4000000000001</v>
      </c>
      <c r="F135">
        <f>VLOOKUP($A135,'STOCK DATA'!$A$2:$H$521,3,FALSE)</f>
        <v>1222.4000000000001</v>
      </c>
      <c r="G135">
        <f>VLOOKUP($A135,'STOCK DATA'!$A$2:$H$521,3,FALSE)</f>
        <v>1222.4000000000001</v>
      </c>
      <c r="H135">
        <f>VLOOKUP($A135,'STOCK DATA'!$A$2:$H$521,3,FALSE)</f>
        <v>1222.4000000000001</v>
      </c>
      <c r="I135">
        <f>VLOOKUP(A135,'Short-term interest Rates daily'!$A:$E,2,FALSE)</f>
        <v>14.63</v>
      </c>
      <c r="J135">
        <f>VLOOKUP(A135,'Short-term interest Rates daily'!$A:$E,3,FALSE)</f>
        <v>8.44</v>
      </c>
      <c r="K135">
        <f>VLOOKUP(A135,'Short-term interest Rates daily'!$A:$E,4,FALSE)</f>
        <v>9.74</v>
      </c>
      <c r="L135">
        <f>VLOOKUP(A135,'Short-term interest Rates daily'!$A:$E,5,FALSE)</f>
        <v>6.09</v>
      </c>
    </row>
    <row r="136" spans="1:12" x14ac:dyDescent="0.3">
      <c r="A136" s="1">
        <v>31547</v>
      </c>
      <c r="B136">
        <f>VLOOKUP(A136,'STOCK DATA'!$A$2:$H$522,2,FALSE)</f>
        <v>116.26</v>
      </c>
      <c r="C136">
        <f>VLOOKUP($A136,'STOCK DATA'!$A$2:H$521,3,FALSE)</f>
        <v>1222.4000000000001</v>
      </c>
      <c r="D136">
        <f>VLOOKUP($A136,'STOCK DATA'!$A$2:$H$521,3,FALSE)</f>
        <v>1222.4000000000001</v>
      </c>
      <c r="E136">
        <f>VLOOKUP($A136,'STOCK DATA'!$A$2:$H$521,3,FALSE)</f>
        <v>1222.4000000000001</v>
      </c>
      <c r="F136">
        <f>VLOOKUP($A136,'STOCK DATA'!$A$2:$H$521,3,FALSE)</f>
        <v>1222.4000000000001</v>
      </c>
      <c r="G136">
        <f>VLOOKUP($A136,'STOCK DATA'!$A$2:$H$521,3,FALSE)</f>
        <v>1222.4000000000001</v>
      </c>
      <c r="H136">
        <f>VLOOKUP($A136,'STOCK DATA'!$A$2:$H$521,3,FALSE)</f>
        <v>1222.4000000000001</v>
      </c>
      <c r="I136">
        <f>VLOOKUP(A136,'Short-term interest Rates daily'!$A:$E,2,FALSE)</f>
        <v>13.88</v>
      </c>
      <c r="J136">
        <f>VLOOKUP(A136,'Short-term interest Rates daily'!$A:$E,3,FALSE)</f>
        <v>8.36</v>
      </c>
      <c r="K136">
        <f>VLOOKUP(A136,'Short-term interest Rates daily'!$A:$E,4,FALSE)</f>
        <v>9.82</v>
      </c>
      <c r="L136">
        <f>VLOOKUP(A136,'Short-term interest Rates daily'!$A:$E,5,FALSE)</f>
        <v>6.17</v>
      </c>
    </row>
    <row r="137" spans="1:12" x14ac:dyDescent="0.3">
      <c r="A137" s="1">
        <v>31548</v>
      </c>
      <c r="B137">
        <f>VLOOKUP(A137,'STOCK DATA'!$A$2:$H$522,2,FALSE)</f>
        <v>115.68</v>
      </c>
      <c r="C137">
        <f>VLOOKUP($A137,'STOCK DATA'!$A$2:H$521,3,FALSE)</f>
        <v>1194.3</v>
      </c>
      <c r="D137">
        <f>VLOOKUP($A137,'STOCK DATA'!$A$2:$H$521,3,FALSE)</f>
        <v>1194.3</v>
      </c>
      <c r="E137">
        <f>VLOOKUP($A137,'STOCK DATA'!$A$2:$H$521,3,FALSE)</f>
        <v>1194.3</v>
      </c>
      <c r="F137">
        <f>VLOOKUP($A137,'STOCK DATA'!$A$2:$H$521,3,FALSE)</f>
        <v>1194.3</v>
      </c>
      <c r="G137">
        <f>VLOOKUP($A137,'STOCK DATA'!$A$2:$H$521,3,FALSE)</f>
        <v>1194.3</v>
      </c>
      <c r="H137">
        <f>VLOOKUP($A137,'STOCK DATA'!$A$2:$H$521,3,FALSE)</f>
        <v>1194.3</v>
      </c>
      <c r="I137">
        <f>VLOOKUP(A137,'Short-term interest Rates daily'!$A:$E,2,FALSE)</f>
        <v>14.38</v>
      </c>
      <c r="J137">
        <f>VLOOKUP(A137,'Short-term interest Rates daily'!$A:$E,3,FALSE)</f>
        <v>8.3800000000000008</v>
      </c>
      <c r="K137">
        <f>VLOOKUP(A137,'Short-term interest Rates daily'!$A:$E,4,FALSE)</f>
        <v>9.85</v>
      </c>
      <c r="L137">
        <f>VLOOKUP(A137,'Short-term interest Rates daily'!$A:$E,5,FALSE)</f>
        <v>6.21</v>
      </c>
    </row>
    <row r="138" spans="1:12" x14ac:dyDescent="0.3">
      <c r="A138" s="1">
        <v>31549</v>
      </c>
      <c r="B138" t="e">
        <f>VLOOKUP(A138,'STOCK DATA'!$A$2:$H$522,2,FALSE)</f>
        <v>#N/A</v>
      </c>
      <c r="C138" t="e">
        <f>VLOOKUP($A138,'STOCK DATA'!$A$2:H$521,3,FALSE)</f>
        <v>#N/A</v>
      </c>
      <c r="D138" t="e">
        <f>VLOOKUP($A138,'STOCK DATA'!$A$2:$H$521,3,FALSE)</f>
        <v>#N/A</v>
      </c>
      <c r="E138" t="e">
        <f>VLOOKUP($A138,'STOCK DATA'!$A$2:$H$521,3,FALSE)</f>
        <v>#N/A</v>
      </c>
      <c r="F138" t="e">
        <f>VLOOKUP($A138,'STOCK DATA'!$A$2:$H$521,3,FALSE)</f>
        <v>#N/A</v>
      </c>
      <c r="G138" t="e">
        <f>VLOOKUP($A138,'STOCK DATA'!$A$2:$H$521,3,FALSE)</f>
        <v>#N/A</v>
      </c>
      <c r="H138" t="e">
        <f>VLOOKUP($A138,'STOCK DATA'!$A$2:$H$521,3,FALSE)</f>
        <v>#N/A</v>
      </c>
      <c r="I138" t="e">
        <f>VLOOKUP(A138,'Short-term interest Rates daily'!$A:$E,2,FALSE)</f>
        <v>#N/A</v>
      </c>
      <c r="J138" t="e">
        <f>VLOOKUP(A138,'Short-term interest Rates daily'!$A:$E,3,FALSE)</f>
        <v>#N/A</v>
      </c>
      <c r="K138" t="e">
        <f>VLOOKUP(A138,'Short-term interest Rates daily'!$A:$E,4,FALSE)</f>
        <v>#N/A</v>
      </c>
      <c r="L138" t="e">
        <f>VLOOKUP(A138,'Short-term interest Rates daily'!$A:$E,5,FALSE)</f>
        <v>#N/A</v>
      </c>
    </row>
    <row r="139" spans="1:12" x14ac:dyDescent="0.3">
      <c r="A139" s="1">
        <v>31550</v>
      </c>
      <c r="B139" t="e">
        <f>VLOOKUP(A139,'STOCK DATA'!$A$2:$H$522,2,FALSE)</f>
        <v>#N/A</v>
      </c>
      <c r="C139" t="e">
        <f>VLOOKUP($A139,'STOCK DATA'!$A$2:H$521,3,FALSE)</f>
        <v>#N/A</v>
      </c>
      <c r="D139" t="e">
        <f>VLOOKUP($A139,'STOCK DATA'!$A$2:$H$521,3,FALSE)</f>
        <v>#N/A</v>
      </c>
      <c r="E139" t="e">
        <f>VLOOKUP($A139,'STOCK DATA'!$A$2:$H$521,3,FALSE)</f>
        <v>#N/A</v>
      </c>
      <c r="F139" t="e">
        <f>VLOOKUP($A139,'STOCK DATA'!$A$2:$H$521,3,FALSE)</f>
        <v>#N/A</v>
      </c>
      <c r="G139" t="e">
        <f>VLOOKUP($A139,'STOCK DATA'!$A$2:$H$521,3,FALSE)</f>
        <v>#N/A</v>
      </c>
      <c r="H139" t="e">
        <f>VLOOKUP($A139,'STOCK DATA'!$A$2:$H$521,3,FALSE)</f>
        <v>#N/A</v>
      </c>
      <c r="I139" t="e">
        <f>VLOOKUP(A139,'Short-term interest Rates daily'!$A:$E,2,FALSE)</f>
        <v>#N/A</v>
      </c>
      <c r="J139" t="e">
        <f>VLOOKUP(A139,'Short-term interest Rates daily'!$A:$E,3,FALSE)</f>
        <v>#N/A</v>
      </c>
      <c r="K139" t="e">
        <f>VLOOKUP(A139,'Short-term interest Rates daily'!$A:$E,4,FALSE)</f>
        <v>#N/A</v>
      </c>
      <c r="L139" t="e">
        <f>VLOOKUP(A139,'Short-term interest Rates daily'!$A:$E,5,FALSE)</f>
        <v>#N/A</v>
      </c>
    </row>
    <row r="140" spans="1:12" x14ac:dyDescent="0.3">
      <c r="A140" s="1">
        <v>31551</v>
      </c>
      <c r="B140">
        <f>VLOOKUP(A140,'STOCK DATA'!$A$2:$H$522,2,FALSE)</f>
        <v>115.68</v>
      </c>
      <c r="C140">
        <f>VLOOKUP($A140,'STOCK DATA'!$A$2:H$521,3,FALSE)</f>
        <v>1197.9000000000001</v>
      </c>
      <c r="D140">
        <f>VLOOKUP($A140,'STOCK DATA'!$A$2:$H$521,3,FALSE)</f>
        <v>1197.9000000000001</v>
      </c>
      <c r="E140">
        <f>VLOOKUP($A140,'STOCK DATA'!$A$2:$H$521,3,FALSE)</f>
        <v>1197.9000000000001</v>
      </c>
      <c r="F140">
        <f>VLOOKUP($A140,'STOCK DATA'!$A$2:$H$521,3,FALSE)</f>
        <v>1197.9000000000001</v>
      </c>
      <c r="G140">
        <f>VLOOKUP($A140,'STOCK DATA'!$A$2:$H$521,3,FALSE)</f>
        <v>1197.9000000000001</v>
      </c>
      <c r="H140">
        <f>VLOOKUP($A140,'STOCK DATA'!$A$2:$H$521,3,FALSE)</f>
        <v>1197.9000000000001</v>
      </c>
      <c r="I140">
        <f>VLOOKUP(A140,'Short-term interest Rates daily'!$A:$E,2,FALSE)</f>
        <v>14.63</v>
      </c>
      <c r="J140">
        <f>VLOOKUP(A140,'Short-term interest Rates daily'!$A:$E,3,FALSE)</f>
        <v>0</v>
      </c>
      <c r="K140">
        <f>VLOOKUP(A140,'Short-term interest Rates daily'!$A:$E,4,FALSE)</f>
        <v>9.9700000000000006</v>
      </c>
      <c r="L140">
        <f>VLOOKUP(A140,'Short-term interest Rates daily'!$A:$E,5,FALSE)</f>
        <v>6.2</v>
      </c>
    </row>
    <row r="141" spans="1:12" x14ac:dyDescent="0.3">
      <c r="A141" s="1">
        <v>31552</v>
      </c>
      <c r="B141">
        <f>VLOOKUP(A141,'STOCK DATA'!$A$2:$H$522,2,FALSE)</f>
        <v>117.11</v>
      </c>
      <c r="C141">
        <f>VLOOKUP($A141,'STOCK DATA'!$A$2:H$521,3,FALSE)</f>
        <v>1176.3</v>
      </c>
      <c r="D141">
        <f>VLOOKUP($A141,'STOCK DATA'!$A$2:$H$521,3,FALSE)</f>
        <v>1176.3</v>
      </c>
      <c r="E141">
        <f>VLOOKUP($A141,'STOCK DATA'!$A$2:$H$521,3,FALSE)</f>
        <v>1176.3</v>
      </c>
      <c r="F141">
        <f>VLOOKUP($A141,'STOCK DATA'!$A$2:$H$521,3,FALSE)</f>
        <v>1176.3</v>
      </c>
      <c r="G141">
        <f>VLOOKUP($A141,'STOCK DATA'!$A$2:$H$521,3,FALSE)</f>
        <v>1176.3</v>
      </c>
      <c r="H141">
        <f>VLOOKUP($A141,'STOCK DATA'!$A$2:$H$521,3,FALSE)</f>
        <v>1176.3</v>
      </c>
      <c r="I141">
        <f>VLOOKUP(A141,'Short-term interest Rates daily'!$A:$E,2,FALSE)</f>
        <v>14.88</v>
      </c>
      <c r="J141">
        <f>VLOOKUP(A141,'Short-term interest Rates daily'!$A:$E,3,FALSE)</f>
        <v>8.3800000000000008</v>
      </c>
      <c r="K141">
        <f>VLOOKUP(A141,'Short-term interest Rates daily'!$A:$E,4,FALSE)</f>
        <v>10.029999999999999</v>
      </c>
      <c r="L141">
        <f>VLOOKUP(A141,'Short-term interest Rates daily'!$A:$E,5,FALSE)</f>
        <v>6.23</v>
      </c>
    </row>
    <row r="142" spans="1:12" x14ac:dyDescent="0.3">
      <c r="A142" s="1">
        <v>31553</v>
      </c>
      <c r="B142">
        <f>VLOOKUP(A142,'STOCK DATA'!$A$2:$H$522,2,FALSE)</f>
        <v>120.39</v>
      </c>
      <c r="C142">
        <f>VLOOKUP($A142,'STOCK DATA'!$A$2:H$521,3,FALSE)</f>
        <v>1172.9000000000001</v>
      </c>
      <c r="D142">
        <f>VLOOKUP($A142,'STOCK DATA'!$A$2:$H$521,3,FALSE)</f>
        <v>1172.9000000000001</v>
      </c>
      <c r="E142">
        <f>VLOOKUP($A142,'STOCK DATA'!$A$2:$H$521,3,FALSE)</f>
        <v>1172.9000000000001</v>
      </c>
      <c r="F142">
        <f>VLOOKUP($A142,'STOCK DATA'!$A$2:$H$521,3,FALSE)</f>
        <v>1172.9000000000001</v>
      </c>
      <c r="G142">
        <f>VLOOKUP($A142,'STOCK DATA'!$A$2:$H$521,3,FALSE)</f>
        <v>1172.9000000000001</v>
      </c>
      <c r="H142">
        <f>VLOOKUP($A142,'STOCK DATA'!$A$2:$H$521,3,FALSE)</f>
        <v>1172.9000000000001</v>
      </c>
      <c r="I142">
        <f>VLOOKUP(A142,'Short-term interest Rates daily'!$A:$E,2,FALSE)</f>
        <v>15.13</v>
      </c>
      <c r="J142">
        <f>VLOOKUP(A142,'Short-term interest Rates daily'!$A:$E,3,FALSE)</f>
        <v>8.31</v>
      </c>
      <c r="K142">
        <f>VLOOKUP(A142,'Short-term interest Rates daily'!$A:$E,4,FALSE)</f>
        <v>9.93</v>
      </c>
      <c r="L142">
        <f>VLOOKUP(A142,'Short-term interest Rates daily'!$A:$E,5,FALSE)</f>
        <v>6.2</v>
      </c>
    </row>
    <row r="143" spans="1:12" x14ac:dyDescent="0.3">
      <c r="A143" s="1">
        <v>31554</v>
      </c>
      <c r="B143">
        <f>VLOOKUP(A143,'STOCK DATA'!$A$2:$H$522,2,FALSE)</f>
        <v>127.7</v>
      </c>
      <c r="C143">
        <f>VLOOKUP($A143,'STOCK DATA'!$A$2:H$521,3,FALSE)</f>
        <v>1174.5999999999999</v>
      </c>
      <c r="D143">
        <f>VLOOKUP($A143,'STOCK DATA'!$A$2:$H$521,3,FALSE)</f>
        <v>1174.5999999999999</v>
      </c>
      <c r="E143">
        <f>VLOOKUP($A143,'STOCK DATA'!$A$2:$H$521,3,FALSE)</f>
        <v>1174.5999999999999</v>
      </c>
      <c r="F143">
        <f>VLOOKUP($A143,'STOCK DATA'!$A$2:$H$521,3,FALSE)</f>
        <v>1174.5999999999999</v>
      </c>
      <c r="G143">
        <f>VLOOKUP($A143,'STOCK DATA'!$A$2:$H$521,3,FALSE)</f>
        <v>1174.5999999999999</v>
      </c>
      <c r="H143">
        <f>VLOOKUP($A143,'STOCK DATA'!$A$2:$H$521,3,FALSE)</f>
        <v>1174.5999999999999</v>
      </c>
      <c r="I143">
        <f>VLOOKUP(A143,'Short-term interest Rates daily'!$A:$E,2,FALSE)</f>
        <v>16.38</v>
      </c>
      <c r="J143">
        <f>VLOOKUP(A143,'Short-term interest Rates daily'!$A:$E,3,FALSE)</f>
        <v>8.2100000000000009</v>
      </c>
      <c r="K143">
        <f>VLOOKUP(A143,'Short-term interest Rates daily'!$A:$E,4,FALSE)</f>
        <v>9.74</v>
      </c>
      <c r="L143">
        <f>VLOOKUP(A143,'Short-term interest Rates daily'!$A:$E,5,FALSE)</f>
        <v>6.2</v>
      </c>
    </row>
    <row r="144" spans="1:12" x14ac:dyDescent="0.3">
      <c r="A144" s="1">
        <v>31555</v>
      </c>
      <c r="B144">
        <f>VLOOKUP(A144,'STOCK DATA'!$A$2:$H$522,2,FALSE)</f>
        <v>127.5</v>
      </c>
      <c r="C144">
        <f>VLOOKUP($A144,'STOCK DATA'!$A$2:H$521,3,FALSE)</f>
        <v>1191.7</v>
      </c>
      <c r="D144">
        <f>VLOOKUP($A144,'STOCK DATA'!$A$2:$H$521,3,FALSE)</f>
        <v>1191.7</v>
      </c>
      <c r="E144">
        <f>VLOOKUP($A144,'STOCK DATA'!$A$2:$H$521,3,FALSE)</f>
        <v>1191.7</v>
      </c>
      <c r="F144">
        <f>VLOOKUP($A144,'STOCK DATA'!$A$2:$H$521,3,FALSE)</f>
        <v>1191.7</v>
      </c>
      <c r="G144">
        <f>VLOOKUP($A144,'STOCK DATA'!$A$2:$H$521,3,FALSE)</f>
        <v>1191.7</v>
      </c>
      <c r="H144">
        <f>VLOOKUP($A144,'STOCK DATA'!$A$2:$H$521,3,FALSE)</f>
        <v>1191.7</v>
      </c>
      <c r="I144">
        <f>VLOOKUP(A144,'Short-term interest Rates daily'!$A:$E,2,FALSE)</f>
        <v>15.5</v>
      </c>
      <c r="J144">
        <f>VLOOKUP(A144,'Short-term interest Rates daily'!$A:$E,3,FALSE)</f>
        <v>8.2100000000000009</v>
      </c>
      <c r="K144">
        <f>VLOOKUP(A144,'Short-term interest Rates daily'!$A:$E,4,FALSE)</f>
        <v>9.68</v>
      </c>
      <c r="L144">
        <f>VLOOKUP(A144,'Short-term interest Rates daily'!$A:$E,5,FALSE)</f>
        <v>6.18</v>
      </c>
    </row>
    <row r="145" spans="1:12" x14ac:dyDescent="0.3">
      <c r="A145" s="1">
        <v>31556</v>
      </c>
      <c r="B145" t="e">
        <f>VLOOKUP(A145,'STOCK DATA'!$A$2:$H$522,2,FALSE)</f>
        <v>#N/A</v>
      </c>
      <c r="C145" t="e">
        <f>VLOOKUP($A145,'STOCK DATA'!$A$2:H$521,3,FALSE)</f>
        <v>#N/A</v>
      </c>
      <c r="D145" t="e">
        <f>VLOOKUP($A145,'STOCK DATA'!$A$2:$H$521,3,FALSE)</f>
        <v>#N/A</v>
      </c>
      <c r="E145" t="e">
        <f>VLOOKUP($A145,'STOCK DATA'!$A$2:$H$521,3,FALSE)</f>
        <v>#N/A</v>
      </c>
      <c r="F145" t="e">
        <f>VLOOKUP($A145,'STOCK DATA'!$A$2:$H$521,3,FALSE)</f>
        <v>#N/A</v>
      </c>
      <c r="G145" t="e">
        <f>VLOOKUP($A145,'STOCK DATA'!$A$2:$H$521,3,FALSE)</f>
        <v>#N/A</v>
      </c>
      <c r="H145" t="e">
        <f>VLOOKUP($A145,'STOCK DATA'!$A$2:$H$521,3,FALSE)</f>
        <v>#N/A</v>
      </c>
      <c r="I145" t="e">
        <f>VLOOKUP(A145,'Short-term interest Rates daily'!$A:$E,2,FALSE)</f>
        <v>#N/A</v>
      </c>
      <c r="J145" t="e">
        <f>VLOOKUP(A145,'Short-term interest Rates daily'!$A:$E,3,FALSE)</f>
        <v>#N/A</v>
      </c>
      <c r="K145" t="e">
        <f>VLOOKUP(A145,'Short-term interest Rates daily'!$A:$E,4,FALSE)</f>
        <v>#N/A</v>
      </c>
      <c r="L145" t="e">
        <f>VLOOKUP(A145,'Short-term interest Rates daily'!$A:$E,5,FALSE)</f>
        <v>#N/A</v>
      </c>
    </row>
    <row r="146" spans="1:12" x14ac:dyDescent="0.3">
      <c r="A146" s="1">
        <v>31557</v>
      </c>
      <c r="B146" t="e">
        <f>VLOOKUP(A146,'STOCK DATA'!$A$2:$H$522,2,FALSE)</f>
        <v>#N/A</v>
      </c>
      <c r="C146" t="e">
        <f>VLOOKUP($A146,'STOCK DATA'!$A$2:H$521,3,FALSE)</f>
        <v>#N/A</v>
      </c>
      <c r="D146" t="e">
        <f>VLOOKUP($A146,'STOCK DATA'!$A$2:$H$521,3,FALSE)</f>
        <v>#N/A</v>
      </c>
      <c r="E146" t="e">
        <f>VLOOKUP($A146,'STOCK DATA'!$A$2:$H$521,3,FALSE)</f>
        <v>#N/A</v>
      </c>
      <c r="F146" t="e">
        <f>VLOOKUP($A146,'STOCK DATA'!$A$2:$H$521,3,FALSE)</f>
        <v>#N/A</v>
      </c>
      <c r="G146" t="e">
        <f>VLOOKUP($A146,'STOCK DATA'!$A$2:$H$521,3,FALSE)</f>
        <v>#N/A</v>
      </c>
      <c r="H146" t="e">
        <f>VLOOKUP($A146,'STOCK DATA'!$A$2:$H$521,3,FALSE)</f>
        <v>#N/A</v>
      </c>
      <c r="I146" t="e">
        <f>VLOOKUP(A146,'Short-term interest Rates daily'!$A:$E,2,FALSE)</f>
        <v>#N/A</v>
      </c>
      <c r="J146" t="e">
        <f>VLOOKUP(A146,'Short-term interest Rates daily'!$A:$E,3,FALSE)</f>
        <v>#N/A</v>
      </c>
      <c r="K146" t="e">
        <f>VLOOKUP(A146,'Short-term interest Rates daily'!$A:$E,4,FALSE)</f>
        <v>#N/A</v>
      </c>
      <c r="L146" t="e">
        <f>VLOOKUP(A146,'Short-term interest Rates daily'!$A:$E,5,FALSE)</f>
        <v>#N/A</v>
      </c>
    </row>
    <row r="147" spans="1:12" x14ac:dyDescent="0.3">
      <c r="A147" s="1">
        <v>31558</v>
      </c>
      <c r="B147">
        <f>VLOOKUP(A147,'STOCK DATA'!$A$2:$H$522,2,FALSE)</f>
        <v>126.03</v>
      </c>
      <c r="C147">
        <f>VLOOKUP($A147,'STOCK DATA'!$A$2:H$521,3,FALSE)</f>
        <v>1204.5999999999999</v>
      </c>
      <c r="D147">
        <f>VLOOKUP($A147,'STOCK DATA'!$A$2:$H$521,3,FALSE)</f>
        <v>1204.5999999999999</v>
      </c>
      <c r="E147">
        <f>VLOOKUP($A147,'STOCK DATA'!$A$2:$H$521,3,FALSE)</f>
        <v>1204.5999999999999</v>
      </c>
      <c r="F147">
        <f>VLOOKUP($A147,'STOCK DATA'!$A$2:$H$521,3,FALSE)</f>
        <v>1204.5999999999999</v>
      </c>
      <c r="G147">
        <f>VLOOKUP($A147,'STOCK DATA'!$A$2:$H$521,3,FALSE)</f>
        <v>1204.5999999999999</v>
      </c>
      <c r="H147">
        <f>VLOOKUP($A147,'STOCK DATA'!$A$2:$H$521,3,FALSE)</f>
        <v>1204.5999999999999</v>
      </c>
      <c r="I147">
        <f>VLOOKUP(A147,'Short-term interest Rates daily'!$A:$E,2,FALSE)</f>
        <v>15.25</v>
      </c>
      <c r="J147">
        <f>VLOOKUP(A147,'Short-term interest Rates daily'!$A:$E,3,FALSE)</f>
        <v>8.25</v>
      </c>
      <c r="K147">
        <f>VLOOKUP(A147,'Short-term interest Rates daily'!$A:$E,4,FALSE)</f>
        <v>9.68</v>
      </c>
      <c r="L147">
        <f>VLOOKUP(A147,'Short-term interest Rates daily'!$A:$E,5,FALSE)</f>
        <v>0</v>
      </c>
    </row>
    <row r="148" spans="1:12" x14ac:dyDescent="0.3">
      <c r="A148" s="1">
        <v>31559</v>
      </c>
      <c r="B148">
        <f>VLOOKUP(A148,'STOCK DATA'!$A$2:$H$522,2,FALSE)</f>
        <v>125.09</v>
      </c>
      <c r="C148">
        <f>VLOOKUP($A148,'STOCK DATA'!$A$2:H$521,3,FALSE)</f>
        <v>1200.9000000000001</v>
      </c>
      <c r="D148">
        <f>VLOOKUP($A148,'STOCK DATA'!$A$2:$H$521,3,FALSE)</f>
        <v>1200.9000000000001</v>
      </c>
      <c r="E148">
        <f>VLOOKUP($A148,'STOCK DATA'!$A$2:$H$521,3,FALSE)</f>
        <v>1200.9000000000001</v>
      </c>
      <c r="F148">
        <f>VLOOKUP($A148,'STOCK DATA'!$A$2:$H$521,3,FALSE)</f>
        <v>1200.9000000000001</v>
      </c>
      <c r="G148">
        <f>VLOOKUP($A148,'STOCK DATA'!$A$2:$H$521,3,FALSE)</f>
        <v>1200.9000000000001</v>
      </c>
      <c r="H148">
        <f>VLOOKUP($A148,'STOCK DATA'!$A$2:$H$521,3,FALSE)</f>
        <v>1200.9000000000001</v>
      </c>
      <c r="I148">
        <f>VLOOKUP(A148,'Short-term interest Rates daily'!$A:$E,2,FALSE)</f>
        <v>14.63</v>
      </c>
      <c r="J148">
        <f>VLOOKUP(A148,'Short-term interest Rates daily'!$A:$E,3,FALSE)</f>
        <v>8.36</v>
      </c>
      <c r="K148">
        <f>VLOOKUP(A148,'Short-term interest Rates daily'!$A:$E,4,FALSE)</f>
        <v>9.58</v>
      </c>
      <c r="L148">
        <f>VLOOKUP(A148,'Short-term interest Rates daily'!$A:$E,5,FALSE)</f>
        <v>6.16</v>
      </c>
    </row>
    <row r="149" spans="1:12" x14ac:dyDescent="0.3">
      <c r="A149" s="1">
        <v>31560</v>
      </c>
      <c r="B149">
        <f>VLOOKUP(A149,'STOCK DATA'!$A$2:$H$522,2,FALSE)</f>
        <v>126.17</v>
      </c>
      <c r="C149">
        <f>VLOOKUP($A149,'STOCK DATA'!$A$2:H$521,3,FALSE)</f>
        <v>1208.8</v>
      </c>
      <c r="D149">
        <f>VLOOKUP($A149,'STOCK DATA'!$A$2:$H$521,3,FALSE)</f>
        <v>1208.8</v>
      </c>
      <c r="E149">
        <f>VLOOKUP($A149,'STOCK DATA'!$A$2:$H$521,3,FALSE)</f>
        <v>1208.8</v>
      </c>
      <c r="F149">
        <f>VLOOKUP($A149,'STOCK DATA'!$A$2:$H$521,3,FALSE)</f>
        <v>1208.8</v>
      </c>
      <c r="G149">
        <f>VLOOKUP($A149,'STOCK DATA'!$A$2:$H$521,3,FALSE)</f>
        <v>1208.8</v>
      </c>
      <c r="H149">
        <f>VLOOKUP($A149,'STOCK DATA'!$A$2:$H$521,3,FALSE)</f>
        <v>1208.8</v>
      </c>
      <c r="I149">
        <f>VLOOKUP(A149,'Short-term interest Rates daily'!$A:$E,2,FALSE)</f>
        <v>14.5</v>
      </c>
      <c r="J149">
        <f>VLOOKUP(A149,'Short-term interest Rates daily'!$A:$E,3,FALSE)</f>
        <v>8.34</v>
      </c>
      <c r="K149">
        <f>VLOOKUP(A149,'Short-term interest Rates daily'!$A:$E,4,FALSE)</f>
        <v>9.49</v>
      </c>
      <c r="L149">
        <f>VLOOKUP(A149,'Short-term interest Rates daily'!$A:$E,5,FALSE)</f>
        <v>6.19</v>
      </c>
    </row>
    <row r="150" spans="1:12" x14ac:dyDescent="0.3">
      <c r="A150" s="1">
        <v>31561</v>
      </c>
      <c r="B150">
        <f>VLOOKUP(A150,'STOCK DATA'!$A$2:$H$522,2,FALSE)</f>
        <v>126.03</v>
      </c>
      <c r="C150">
        <f>VLOOKUP($A150,'STOCK DATA'!$A$2:H$521,3,FALSE)</f>
        <v>1228.3</v>
      </c>
      <c r="D150">
        <f>VLOOKUP($A150,'STOCK DATA'!$A$2:$H$521,3,FALSE)</f>
        <v>1228.3</v>
      </c>
      <c r="E150">
        <f>VLOOKUP($A150,'STOCK DATA'!$A$2:$H$521,3,FALSE)</f>
        <v>1228.3</v>
      </c>
      <c r="F150">
        <f>VLOOKUP($A150,'STOCK DATA'!$A$2:$H$521,3,FALSE)</f>
        <v>1228.3</v>
      </c>
      <c r="G150">
        <f>VLOOKUP($A150,'STOCK DATA'!$A$2:$H$521,3,FALSE)</f>
        <v>1228.3</v>
      </c>
      <c r="H150">
        <f>VLOOKUP($A150,'STOCK DATA'!$A$2:$H$521,3,FALSE)</f>
        <v>1228.3</v>
      </c>
      <c r="I150">
        <f>VLOOKUP(A150,'Short-term interest Rates daily'!$A:$E,2,FALSE)</f>
        <v>14.5</v>
      </c>
      <c r="J150">
        <f>VLOOKUP(A150,'Short-term interest Rates daily'!$A:$E,3,FALSE)</f>
        <v>8.4499999999999993</v>
      </c>
      <c r="K150">
        <f>VLOOKUP(A150,'Short-term interest Rates daily'!$A:$E,4,FALSE)</f>
        <v>9.43</v>
      </c>
      <c r="L150">
        <f>VLOOKUP(A150,'Short-term interest Rates daily'!$A:$E,5,FALSE)</f>
        <v>6.3</v>
      </c>
    </row>
    <row r="151" spans="1:12" x14ac:dyDescent="0.3">
      <c r="A151" s="1">
        <v>31562</v>
      </c>
      <c r="B151">
        <f>VLOOKUP(A151,'STOCK DATA'!$A$2:$H$522,2,FALSE)</f>
        <v>126.14</v>
      </c>
      <c r="C151">
        <f>VLOOKUP($A151,'STOCK DATA'!$A$2:H$521,3,FALSE)</f>
        <v>1241</v>
      </c>
      <c r="D151">
        <f>VLOOKUP($A151,'STOCK DATA'!$A$2:$H$521,3,FALSE)</f>
        <v>1241</v>
      </c>
      <c r="E151">
        <f>VLOOKUP($A151,'STOCK DATA'!$A$2:$H$521,3,FALSE)</f>
        <v>1241</v>
      </c>
      <c r="F151">
        <f>VLOOKUP($A151,'STOCK DATA'!$A$2:$H$521,3,FALSE)</f>
        <v>1241</v>
      </c>
      <c r="G151">
        <f>VLOOKUP($A151,'STOCK DATA'!$A$2:$H$521,3,FALSE)</f>
        <v>1241</v>
      </c>
      <c r="H151">
        <f>VLOOKUP($A151,'STOCK DATA'!$A$2:$H$521,3,FALSE)</f>
        <v>1241</v>
      </c>
      <c r="I151">
        <f>VLOOKUP(A151,'Short-term interest Rates daily'!$A:$E,2,FALSE)</f>
        <v>14.75</v>
      </c>
      <c r="J151">
        <f>VLOOKUP(A151,'Short-term interest Rates daily'!$A:$E,3,FALSE)</f>
        <v>8.44</v>
      </c>
      <c r="K151">
        <f>VLOOKUP(A151,'Short-term interest Rates daily'!$A:$E,4,FALSE)</f>
        <v>9.48</v>
      </c>
      <c r="L151">
        <f>VLOOKUP(A151,'Short-term interest Rates daily'!$A:$E,5,FALSE)</f>
        <v>6.3</v>
      </c>
    </row>
    <row r="152" spans="1:12" x14ac:dyDescent="0.3">
      <c r="A152" s="1">
        <v>31563</v>
      </c>
      <c r="B152" t="e">
        <f>VLOOKUP(A152,'STOCK DATA'!$A$2:$H$522,2,FALSE)</f>
        <v>#N/A</v>
      </c>
      <c r="C152" t="e">
        <f>VLOOKUP($A152,'STOCK DATA'!$A$2:H$521,3,FALSE)</f>
        <v>#N/A</v>
      </c>
      <c r="D152" t="e">
        <f>VLOOKUP($A152,'STOCK DATA'!$A$2:$H$521,3,FALSE)</f>
        <v>#N/A</v>
      </c>
      <c r="E152" t="e">
        <f>VLOOKUP($A152,'STOCK DATA'!$A$2:$H$521,3,FALSE)</f>
        <v>#N/A</v>
      </c>
      <c r="F152" t="e">
        <f>VLOOKUP($A152,'STOCK DATA'!$A$2:$H$521,3,FALSE)</f>
        <v>#N/A</v>
      </c>
      <c r="G152" t="e">
        <f>VLOOKUP($A152,'STOCK DATA'!$A$2:$H$521,3,FALSE)</f>
        <v>#N/A</v>
      </c>
      <c r="H152" t="e">
        <f>VLOOKUP($A152,'STOCK DATA'!$A$2:$H$521,3,FALSE)</f>
        <v>#N/A</v>
      </c>
      <c r="I152" t="e">
        <f>VLOOKUP(A152,'Short-term interest Rates daily'!$A:$E,2,FALSE)</f>
        <v>#N/A</v>
      </c>
      <c r="J152" t="e">
        <f>VLOOKUP(A152,'Short-term interest Rates daily'!$A:$E,3,FALSE)</f>
        <v>#N/A</v>
      </c>
      <c r="K152" t="e">
        <f>VLOOKUP(A152,'Short-term interest Rates daily'!$A:$E,4,FALSE)</f>
        <v>#N/A</v>
      </c>
      <c r="L152" t="e">
        <f>VLOOKUP(A152,'Short-term interest Rates daily'!$A:$E,5,FALSE)</f>
        <v>#N/A</v>
      </c>
    </row>
    <row r="153" spans="1:12" x14ac:dyDescent="0.3">
      <c r="A153" s="1">
        <v>31564</v>
      </c>
      <c r="B153" t="e">
        <f>VLOOKUP(A153,'STOCK DATA'!$A$2:$H$522,2,FALSE)</f>
        <v>#N/A</v>
      </c>
      <c r="C153" t="e">
        <f>VLOOKUP($A153,'STOCK DATA'!$A$2:H$521,3,FALSE)</f>
        <v>#N/A</v>
      </c>
      <c r="D153" t="e">
        <f>VLOOKUP($A153,'STOCK DATA'!$A$2:$H$521,3,FALSE)</f>
        <v>#N/A</v>
      </c>
      <c r="E153" t="e">
        <f>VLOOKUP($A153,'STOCK DATA'!$A$2:$H$521,3,FALSE)</f>
        <v>#N/A</v>
      </c>
      <c r="F153" t="e">
        <f>VLOOKUP($A153,'STOCK DATA'!$A$2:$H$521,3,FALSE)</f>
        <v>#N/A</v>
      </c>
      <c r="G153" t="e">
        <f>VLOOKUP($A153,'STOCK DATA'!$A$2:$H$521,3,FALSE)</f>
        <v>#N/A</v>
      </c>
      <c r="H153" t="e">
        <f>VLOOKUP($A153,'STOCK DATA'!$A$2:$H$521,3,FALSE)</f>
        <v>#N/A</v>
      </c>
      <c r="I153" t="e">
        <f>VLOOKUP(A153,'Short-term interest Rates daily'!$A:$E,2,FALSE)</f>
        <v>#N/A</v>
      </c>
      <c r="J153" t="e">
        <f>VLOOKUP(A153,'Short-term interest Rates daily'!$A:$E,3,FALSE)</f>
        <v>#N/A</v>
      </c>
      <c r="K153" t="e">
        <f>VLOOKUP(A153,'Short-term interest Rates daily'!$A:$E,4,FALSE)</f>
        <v>#N/A</v>
      </c>
      <c r="L153" t="e">
        <f>VLOOKUP(A153,'Short-term interest Rates daily'!$A:$E,5,FALSE)</f>
        <v>#N/A</v>
      </c>
    </row>
    <row r="154" spans="1:12" x14ac:dyDescent="0.3">
      <c r="A154" s="1">
        <v>31565</v>
      </c>
      <c r="B154">
        <f>VLOOKUP(A154,'STOCK DATA'!$A$2:$H$522,2,FALSE)</f>
        <v>126.59</v>
      </c>
      <c r="C154">
        <f>VLOOKUP($A154,'STOCK DATA'!$A$2:H$521,3,FALSE)</f>
        <v>1229.3</v>
      </c>
      <c r="D154">
        <f>VLOOKUP($A154,'STOCK DATA'!$A$2:$H$521,3,FALSE)</f>
        <v>1229.3</v>
      </c>
      <c r="E154">
        <f>VLOOKUP($A154,'STOCK DATA'!$A$2:$H$521,3,FALSE)</f>
        <v>1229.3</v>
      </c>
      <c r="F154">
        <f>VLOOKUP($A154,'STOCK DATA'!$A$2:$H$521,3,FALSE)</f>
        <v>1229.3</v>
      </c>
      <c r="G154">
        <f>VLOOKUP($A154,'STOCK DATA'!$A$2:$H$521,3,FALSE)</f>
        <v>1229.3</v>
      </c>
      <c r="H154">
        <f>VLOOKUP($A154,'STOCK DATA'!$A$2:$H$521,3,FALSE)</f>
        <v>1229.3</v>
      </c>
      <c r="I154">
        <f>VLOOKUP(A154,'Short-term interest Rates daily'!$A:$E,2,FALSE)</f>
        <v>14.75</v>
      </c>
      <c r="J154">
        <f>VLOOKUP(A154,'Short-term interest Rates daily'!$A:$E,3,FALSE)</f>
        <v>8.7799999999999994</v>
      </c>
      <c r="K154">
        <f>VLOOKUP(A154,'Short-term interest Rates daily'!$A:$E,4,FALSE)</f>
        <v>9.43</v>
      </c>
      <c r="L154">
        <f>VLOOKUP(A154,'Short-term interest Rates daily'!$A:$E,5,FALSE)</f>
        <v>6.36</v>
      </c>
    </row>
    <row r="155" spans="1:12" x14ac:dyDescent="0.3">
      <c r="A155" s="1">
        <v>31566</v>
      </c>
      <c r="B155">
        <f>VLOOKUP(A155,'STOCK DATA'!$A$2:$H$522,2,FALSE)</f>
        <v>125.22</v>
      </c>
      <c r="C155">
        <f>VLOOKUP($A155,'STOCK DATA'!$A$2:H$521,3,FALSE)</f>
        <v>1220.5</v>
      </c>
      <c r="D155">
        <f>VLOOKUP($A155,'STOCK DATA'!$A$2:$H$521,3,FALSE)</f>
        <v>1220.5</v>
      </c>
      <c r="E155">
        <f>VLOOKUP($A155,'STOCK DATA'!$A$2:$H$521,3,FALSE)</f>
        <v>1220.5</v>
      </c>
      <c r="F155">
        <f>VLOOKUP($A155,'STOCK DATA'!$A$2:$H$521,3,FALSE)</f>
        <v>1220.5</v>
      </c>
      <c r="G155">
        <f>VLOOKUP($A155,'STOCK DATA'!$A$2:$H$521,3,FALSE)</f>
        <v>1220.5</v>
      </c>
      <c r="H155">
        <f>VLOOKUP($A155,'STOCK DATA'!$A$2:$H$521,3,FALSE)</f>
        <v>1220.5</v>
      </c>
      <c r="I155">
        <f>VLOOKUP(A155,'Short-term interest Rates daily'!$A:$E,2,FALSE)</f>
        <v>13.88</v>
      </c>
      <c r="J155">
        <f>VLOOKUP(A155,'Short-term interest Rates daily'!$A:$E,3,FALSE)</f>
        <v>8.6999999999999993</v>
      </c>
      <c r="K155">
        <f>VLOOKUP(A155,'Short-term interest Rates daily'!$A:$E,4,FALSE)</f>
        <v>9.4</v>
      </c>
      <c r="L155">
        <f>VLOOKUP(A155,'Short-term interest Rates daily'!$A:$E,5,FALSE)</f>
        <v>6.41</v>
      </c>
    </row>
    <row r="156" spans="1:12" x14ac:dyDescent="0.3">
      <c r="A156" s="1">
        <v>31567</v>
      </c>
      <c r="B156">
        <f>VLOOKUP(A156,'STOCK DATA'!$A$2:$H$522,2,FALSE)</f>
        <v>125.93</v>
      </c>
      <c r="C156">
        <f>VLOOKUP($A156,'STOCK DATA'!$A$2:H$521,3,FALSE)</f>
        <v>1223.4000000000001</v>
      </c>
      <c r="D156">
        <f>VLOOKUP($A156,'STOCK DATA'!$A$2:$H$521,3,FALSE)</f>
        <v>1223.4000000000001</v>
      </c>
      <c r="E156">
        <f>VLOOKUP($A156,'STOCK DATA'!$A$2:$H$521,3,FALSE)</f>
        <v>1223.4000000000001</v>
      </c>
      <c r="F156">
        <f>VLOOKUP($A156,'STOCK DATA'!$A$2:$H$521,3,FALSE)</f>
        <v>1223.4000000000001</v>
      </c>
      <c r="G156">
        <f>VLOOKUP($A156,'STOCK DATA'!$A$2:$H$521,3,FALSE)</f>
        <v>1223.4000000000001</v>
      </c>
      <c r="H156">
        <f>VLOOKUP($A156,'STOCK DATA'!$A$2:$H$521,3,FALSE)</f>
        <v>1223.4000000000001</v>
      </c>
      <c r="I156">
        <f>VLOOKUP(A156,'Short-term interest Rates daily'!$A:$E,2,FALSE)</f>
        <v>14.13</v>
      </c>
      <c r="J156">
        <f>VLOOKUP(A156,'Short-term interest Rates daily'!$A:$E,3,FALSE)</f>
        <v>8.65</v>
      </c>
      <c r="K156">
        <f>VLOOKUP(A156,'Short-term interest Rates daily'!$A:$E,4,FALSE)</f>
        <v>9.27</v>
      </c>
      <c r="L156">
        <f>VLOOKUP(A156,'Short-term interest Rates daily'!$A:$E,5,FALSE)</f>
        <v>6.52</v>
      </c>
    </row>
    <row r="157" spans="1:12" x14ac:dyDescent="0.3">
      <c r="A157" s="1">
        <v>31568</v>
      </c>
      <c r="B157">
        <f>VLOOKUP(A157,'STOCK DATA'!$A$2:$H$522,2,FALSE)</f>
        <v>124.64</v>
      </c>
      <c r="C157">
        <f>VLOOKUP($A157,'STOCK DATA'!$A$2:H$521,3,FALSE)</f>
        <v>1227.8</v>
      </c>
      <c r="D157">
        <f>VLOOKUP($A157,'STOCK DATA'!$A$2:$H$521,3,FALSE)</f>
        <v>1227.8</v>
      </c>
      <c r="E157">
        <f>VLOOKUP($A157,'STOCK DATA'!$A$2:$H$521,3,FALSE)</f>
        <v>1227.8</v>
      </c>
      <c r="F157">
        <f>VLOOKUP($A157,'STOCK DATA'!$A$2:$H$521,3,FALSE)</f>
        <v>1227.8</v>
      </c>
      <c r="G157">
        <f>VLOOKUP($A157,'STOCK DATA'!$A$2:$H$521,3,FALSE)</f>
        <v>1227.8</v>
      </c>
      <c r="H157">
        <f>VLOOKUP($A157,'STOCK DATA'!$A$2:$H$521,3,FALSE)</f>
        <v>1227.8</v>
      </c>
      <c r="I157">
        <f>VLOOKUP(A157,'Short-term interest Rates daily'!$A:$E,2,FALSE)</f>
        <v>15.13</v>
      </c>
      <c r="J157">
        <f>VLOOKUP(A157,'Short-term interest Rates daily'!$A:$E,3,FALSE)</f>
        <v>8.77</v>
      </c>
      <c r="K157">
        <f>VLOOKUP(A157,'Short-term interest Rates daily'!$A:$E,4,FALSE)</f>
        <v>9.31</v>
      </c>
      <c r="L157">
        <f>VLOOKUP(A157,'Short-term interest Rates daily'!$A:$E,5,FALSE)</f>
        <v>6.51</v>
      </c>
    </row>
    <row r="158" spans="1:12" x14ac:dyDescent="0.3">
      <c r="A158" s="1">
        <v>31569</v>
      </c>
      <c r="B158">
        <f>VLOOKUP(A158,'STOCK DATA'!$A$2:$H$522,2,FALSE)</f>
        <v>124.14</v>
      </c>
      <c r="C158">
        <f>VLOOKUP($A158,'STOCK DATA'!$A$2:H$521,3,FALSE)</f>
        <v>1230.2</v>
      </c>
      <c r="D158">
        <f>VLOOKUP($A158,'STOCK DATA'!$A$2:$H$521,3,FALSE)</f>
        <v>1230.2</v>
      </c>
      <c r="E158">
        <f>VLOOKUP($A158,'STOCK DATA'!$A$2:$H$521,3,FALSE)</f>
        <v>1230.2</v>
      </c>
      <c r="F158">
        <f>VLOOKUP($A158,'STOCK DATA'!$A$2:$H$521,3,FALSE)</f>
        <v>1230.2</v>
      </c>
      <c r="G158">
        <f>VLOOKUP($A158,'STOCK DATA'!$A$2:$H$521,3,FALSE)</f>
        <v>1230.2</v>
      </c>
      <c r="H158">
        <f>VLOOKUP($A158,'STOCK DATA'!$A$2:$H$521,3,FALSE)</f>
        <v>1230.2</v>
      </c>
      <c r="I158">
        <f>VLOOKUP(A158,'Short-term interest Rates daily'!$A:$E,2,FALSE)</f>
        <v>15.25</v>
      </c>
      <c r="J158">
        <f>VLOOKUP(A158,'Short-term interest Rates daily'!$A:$E,3,FALSE)</f>
        <v>8.6999999999999993</v>
      </c>
      <c r="K158">
        <f>VLOOKUP(A158,'Short-term interest Rates daily'!$A:$E,4,FALSE)</f>
        <v>9.2799999999999994</v>
      </c>
      <c r="L158">
        <f>VLOOKUP(A158,'Short-term interest Rates daily'!$A:$E,5,FALSE)</f>
        <v>6.32</v>
      </c>
    </row>
    <row r="159" spans="1:12" x14ac:dyDescent="0.3">
      <c r="A159" s="1">
        <v>31570</v>
      </c>
      <c r="B159" t="e">
        <f>VLOOKUP(A159,'STOCK DATA'!$A$2:$H$522,2,FALSE)</f>
        <v>#N/A</v>
      </c>
      <c r="C159" t="e">
        <f>VLOOKUP($A159,'STOCK DATA'!$A$2:H$521,3,FALSE)</f>
        <v>#N/A</v>
      </c>
      <c r="D159" t="e">
        <f>VLOOKUP($A159,'STOCK DATA'!$A$2:$H$521,3,FALSE)</f>
        <v>#N/A</v>
      </c>
      <c r="E159" t="e">
        <f>VLOOKUP($A159,'STOCK DATA'!$A$2:$H$521,3,FALSE)</f>
        <v>#N/A</v>
      </c>
      <c r="F159" t="e">
        <f>VLOOKUP($A159,'STOCK DATA'!$A$2:$H$521,3,FALSE)</f>
        <v>#N/A</v>
      </c>
      <c r="G159" t="e">
        <f>VLOOKUP($A159,'STOCK DATA'!$A$2:$H$521,3,FALSE)</f>
        <v>#N/A</v>
      </c>
      <c r="H159" t="e">
        <f>VLOOKUP($A159,'STOCK DATA'!$A$2:$H$521,3,FALSE)</f>
        <v>#N/A</v>
      </c>
      <c r="I159" t="e">
        <f>VLOOKUP(A159,'Short-term interest Rates daily'!$A:$E,2,FALSE)</f>
        <v>#N/A</v>
      </c>
      <c r="J159" t="e">
        <f>VLOOKUP(A159,'Short-term interest Rates daily'!$A:$E,3,FALSE)</f>
        <v>#N/A</v>
      </c>
      <c r="K159" t="e">
        <f>VLOOKUP(A159,'Short-term interest Rates daily'!$A:$E,4,FALSE)</f>
        <v>#N/A</v>
      </c>
      <c r="L159" t="e">
        <f>VLOOKUP(A159,'Short-term interest Rates daily'!$A:$E,5,FALSE)</f>
        <v>#N/A</v>
      </c>
    </row>
    <row r="160" spans="1:12" x14ac:dyDescent="0.3">
      <c r="A160" s="1">
        <v>31571</v>
      </c>
      <c r="B160" t="e">
        <f>VLOOKUP(A160,'STOCK DATA'!$A$2:$H$522,2,FALSE)</f>
        <v>#N/A</v>
      </c>
      <c r="C160" t="e">
        <f>VLOOKUP($A160,'STOCK DATA'!$A$2:H$521,3,FALSE)</f>
        <v>#N/A</v>
      </c>
      <c r="D160" t="e">
        <f>VLOOKUP($A160,'STOCK DATA'!$A$2:$H$521,3,FALSE)</f>
        <v>#N/A</v>
      </c>
      <c r="E160" t="e">
        <f>VLOOKUP($A160,'STOCK DATA'!$A$2:$H$521,3,FALSE)</f>
        <v>#N/A</v>
      </c>
      <c r="F160" t="e">
        <f>VLOOKUP($A160,'STOCK DATA'!$A$2:$H$521,3,FALSE)</f>
        <v>#N/A</v>
      </c>
      <c r="G160" t="e">
        <f>VLOOKUP($A160,'STOCK DATA'!$A$2:$H$521,3,FALSE)</f>
        <v>#N/A</v>
      </c>
      <c r="H160" t="e">
        <f>VLOOKUP($A160,'STOCK DATA'!$A$2:$H$521,3,FALSE)</f>
        <v>#N/A</v>
      </c>
      <c r="I160" t="e">
        <f>VLOOKUP(A160,'Short-term interest Rates daily'!$A:$E,2,FALSE)</f>
        <v>#N/A</v>
      </c>
      <c r="J160" t="e">
        <f>VLOOKUP(A160,'Short-term interest Rates daily'!$A:$E,3,FALSE)</f>
        <v>#N/A</v>
      </c>
      <c r="K160" t="e">
        <f>VLOOKUP(A160,'Short-term interest Rates daily'!$A:$E,4,FALSE)</f>
        <v>#N/A</v>
      </c>
      <c r="L160" t="e">
        <f>VLOOKUP(A160,'Short-term interest Rates daily'!$A:$E,5,FALSE)</f>
        <v>#N/A</v>
      </c>
    </row>
    <row r="161" spans="1:12" x14ac:dyDescent="0.3">
      <c r="A161" s="1">
        <v>31572</v>
      </c>
      <c r="B161">
        <f>VLOOKUP(A161,'STOCK DATA'!$A$2:$H$522,2,FALSE)</f>
        <v>124.19</v>
      </c>
      <c r="C161">
        <f>VLOOKUP($A161,'STOCK DATA'!$A$2:H$521,3,FALSE)</f>
        <v>0</v>
      </c>
      <c r="D161">
        <f>VLOOKUP($A161,'STOCK DATA'!$A$2:$H$521,3,FALSE)</f>
        <v>0</v>
      </c>
      <c r="E161">
        <f>VLOOKUP($A161,'STOCK DATA'!$A$2:$H$521,3,FALSE)</f>
        <v>0</v>
      </c>
      <c r="F161">
        <f>VLOOKUP($A161,'STOCK DATA'!$A$2:$H$521,3,FALSE)</f>
        <v>0</v>
      </c>
      <c r="G161">
        <f>VLOOKUP($A161,'STOCK DATA'!$A$2:$H$521,3,FALSE)</f>
        <v>0</v>
      </c>
      <c r="H161">
        <f>VLOOKUP($A161,'STOCK DATA'!$A$2:$H$521,3,FALSE)</f>
        <v>0</v>
      </c>
      <c r="I161">
        <f>VLOOKUP(A161,'Short-term interest Rates daily'!$A:$E,2,FALSE)</f>
        <v>15.25</v>
      </c>
      <c r="J161">
        <f>VLOOKUP(A161,'Short-term interest Rates daily'!$A:$E,3,FALSE)</f>
        <v>8.6300000000000008</v>
      </c>
      <c r="K161">
        <f>VLOOKUP(A161,'Short-term interest Rates daily'!$A:$E,4,FALSE)</f>
        <v>9.27</v>
      </c>
      <c r="L161">
        <f>VLOOKUP(A161,'Short-term interest Rates daily'!$A:$E,5,FALSE)</f>
        <v>6.36</v>
      </c>
    </row>
    <row r="162" spans="1:12" x14ac:dyDescent="0.3">
      <c r="A162" s="1">
        <v>31573</v>
      </c>
      <c r="B162">
        <f>VLOOKUP(A162,'STOCK DATA'!$A$2:$H$522,2,FALSE)</f>
        <v>123.62</v>
      </c>
      <c r="C162">
        <f>VLOOKUP($A162,'STOCK DATA'!$A$2:H$521,3,FALSE)</f>
        <v>1222.0999999999999</v>
      </c>
      <c r="D162">
        <f>VLOOKUP($A162,'STOCK DATA'!$A$2:$H$521,3,FALSE)</f>
        <v>1222.0999999999999</v>
      </c>
      <c r="E162">
        <f>VLOOKUP($A162,'STOCK DATA'!$A$2:$H$521,3,FALSE)</f>
        <v>1222.0999999999999</v>
      </c>
      <c r="F162">
        <f>VLOOKUP($A162,'STOCK DATA'!$A$2:$H$521,3,FALSE)</f>
        <v>1222.0999999999999</v>
      </c>
      <c r="G162">
        <f>VLOOKUP($A162,'STOCK DATA'!$A$2:$H$521,3,FALSE)</f>
        <v>1222.0999999999999</v>
      </c>
      <c r="H162">
        <f>VLOOKUP($A162,'STOCK DATA'!$A$2:$H$521,3,FALSE)</f>
        <v>1222.0999999999999</v>
      </c>
      <c r="I162">
        <f>VLOOKUP(A162,'Short-term interest Rates daily'!$A:$E,2,FALSE)</f>
        <v>15.38</v>
      </c>
      <c r="J162">
        <f>VLOOKUP(A162,'Short-term interest Rates daily'!$A:$E,3,FALSE)</f>
        <v>8.57</v>
      </c>
      <c r="K162">
        <f>VLOOKUP(A162,'Short-term interest Rates daily'!$A:$E,4,FALSE)</f>
        <v>9.35</v>
      </c>
      <c r="L162">
        <f>VLOOKUP(A162,'Short-term interest Rates daily'!$A:$E,5,FALSE)</f>
        <v>6.28</v>
      </c>
    </row>
    <row r="163" spans="1:12" x14ac:dyDescent="0.3">
      <c r="A163" s="1">
        <v>31574</v>
      </c>
      <c r="B163">
        <f>VLOOKUP(A163,'STOCK DATA'!$A$2:$H$522,2,FALSE)</f>
        <v>123.85</v>
      </c>
      <c r="C163">
        <f>VLOOKUP($A163,'STOCK DATA'!$A$2:H$521,3,FALSE)</f>
        <v>1225.4000000000001</v>
      </c>
      <c r="D163">
        <f>VLOOKUP($A163,'STOCK DATA'!$A$2:$H$521,3,FALSE)</f>
        <v>1225.4000000000001</v>
      </c>
      <c r="E163">
        <f>VLOOKUP($A163,'STOCK DATA'!$A$2:$H$521,3,FALSE)</f>
        <v>1225.4000000000001</v>
      </c>
      <c r="F163">
        <f>VLOOKUP($A163,'STOCK DATA'!$A$2:$H$521,3,FALSE)</f>
        <v>1225.4000000000001</v>
      </c>
      <c r="G163">
        <f>VLOOKUP($A163,'STOCK DATA'!$A$2:$H$521,3,FALSE)</f>
        <v>1225.4000000000001</v>
      </c>
      <c r="H163">
        <f>VLOOKUP($A163,'STOCK DATA'!$A$2:$H$521,3,FALSE)</f>
        <v>1225.4000000000001</v>
      </c>
      <c r="I163">
        <f>VLOOKUP(A163,'Short-term interest Rates daily'!$A:$E,2,FALSE)</f>
        <v>16.88</v>
      </c>
      <c r="J163">
        <f>VLOOKUP(A163,'Short-term interest Rates daily'!$A:$E,3,FALSE)</f>
        <v>8.57</v>
      </c>
      <c r="K163">
        <f>VLOOKUP(A163,'Short-term interest Rates daily'!$A:$E,4,FALSE)</f>
        <v>9.5299999999999994</v>
      </c>
      <c r="L163">
        <f>VLOOKUP(A163,'Short-term interest Rates daily'!$A:$E,5,FALSE)</f>
        <v>6.34</v>
      </c>
    </row>
    <row r="164" spans="1:12" x14ac:dyDescent="0.3">
      <c r="A164" s="1">
        <v>31575</v>
      </c>
      <c r="B164">
        <f>VLOOKUP(A164,'STOCK DATA'!$A$2:$H$522,2,FALSE)</f>
        <v>124.28</v>
      </c>
      <c r="C164">
        <f>VLOOKUP($A164,'STOCK DATA'!$A$2:H$521,3,FALSE)</f>
        <v>1218.5999999999999</v>
      </c>
      <c r="D164">
        <f>VLOOKUP($A164,'STOCK DATA'!$A$2:$H$521,3,FALSE)</f>
        <v>1218.5999999999999</v>
      </c>
      <c r="E164">
        <f>VLOOKUP($A164,'STOCK DATA'!$A$2:$H$521,3,FALSE)</f>
        <v>1218.5999999999999</v>
      </c>
      <c r="F164">
        <f>VLOOKUP($A164,'STOCK DATA'!$A$2:$H$521,3,FALSE)</f>
        <v>1218.5999999999999</v>
      </c>
      <c r="G164">
        <f>VLOOKUP($A164,'STOCK DATA'!$A$2:$H$521,3,FALSE)</f>
        <v>1218.5999999999999</v>
      </c>
      <c r="H164">
        <f>VLOOKUP($A164,'STOCK DATA'!$A$2:$H$521,3,FALSE)</f>
        <v>1218.5999999999999</v>
      </c>
      <c r="I164">
        <f>VLOOKUP(A164,'Short-term interest Rates daily'!$A:$E,2,FALSE)</f>
        <v>18.5</v>
      </c>
      <c r="J164">
        <f>VLOOKUP(A164,'Short-term interest Rates daily'!$A:$E,3,FALSE)</f>
        <v>8.5399999999999991</v>
      </c>
      <c r="K164">
        <f>VLOOKUP(A164,'Short-term interest Rates daily'!$A:$E,4,FALSE)</f>
        <v>9.5500000000000007</v>
      </c>
      <c r="L164">
        <f>VLOOKUP(A164,'Short-term interest Rates daily'!$A:$E,5,FALSE)</f>
        <v>6.28</v>
      </c>
    </row>
    <row r="165" spans="1:12" x14ac:dyDescent="0.3">
      <c r="A165" s="1">
        <v>31576</v>
      </c>
      <c r="B165">
        <f>VLOOKUP(A165,'STOCK DATA'!$A$2:$H$522,2,FALSE)</f>
        <v>124.35</v>
      </c>
      <c r="C165">
        <f>VLOOKUP($A165,'STOCK DATA'!$A$2:H$521,3,FALSE)</f>
        <v>1216.3</v>
      </c>
      <c r="D165">
        <f>VLOOKUP($A165,'STOCK DATA'!$A$2:$H$521,3,FALSE)</f>
        <v>1216.3</v>
      </c>
      <c r="E165">
        <f>VLOOKUP($A165,'STOCK DATA'!$A$2:$H$521,3,FALSE)</f>
        <v>1216.3</v>
      </c>
      <c r="F165">
        <f>VLOOKUP($A165,'STOCK DATA'!$A$2:$H$521,3,FALSE)</f>
        <v>1216.3</v>
      </c>
      <c r="G165">
        <f>VLOOKUP($A165,'STOCK DATA'!$A$2:$H$521,3,FALSE)</f>
        <v>1216.3</v>
      </c>
      <c r="H165">
        <f>VLOOKUP($A165,'STOCK DATA'!$A$2:$H$521,3,FALSE)</f>
        <v>1216.3</v>
      </c>
      <c r="I165">
        <f>VLOOKUP(A165,'Short-term interest Rates daily'!$A:$E,2,FALSE)</f>
        <v>15.88</v>
      </c>
      <c r="J165">
        <f>VLOOKUP(A165,'Short-term interest Rates daily'!$A:$E,3,FALSE)</f>
        <v>8.4700000000000006</v>
      </c>
      <c r="K165">
        <f>VLOOKUP(A165,'Short-term interest Rates daily'!$A:$E,4,FALSE)</f>
        <v>9.49</v>
      </c>
      <c r="L165">
        <f>VLOOKUP(A165,'Short-term interest Rates daily'!$A:$E,5,FALSE)</f>
        <v>6.17</v>
      </c>
    </row>
    <row r="166" spans="1:12" x14ac:dyDescent="0.3">
      <c r="A166" s="1">
        <v>31577</v>
      </c>
      <c r="B166" t="e">
        <f>VLOOKUP(A166,'STOCK DATA'!$A$2:$H$522,2,FALSE)</f>
        <v>#N/A</v>
      </c>
      <c r="C166" t="e">
        <f>VLOOKUP($A166,'STOCK DATA'!$A$2:H$521,3,FALSE)</f>
        <v>#N/A</v>
      </c>
      <c r="D166" t="e">
        <f>VLOOKUP($A166,'STOCK DATA'!$A$2:$H$521,3,FALSE)</f>
        <v>#N/A</v>
      </c>
      <c r="E166" t="e">
        <f>VLOOKUP($A166,'STOCK DATA'!$A$2:$H$521,3,FALSE)</f>
        <v>#N/A</v>
      </c>
      <c r="F166" t="e">
        <f>VLOOKUP($A166,'STOCK DATA'!$A$2:$H$521,3,FALSE)</f>
        <v>#N/A</v>
      </c>
      <c r="G166" t="e">
        <f>VLOOKUP($A166,'STOCK DATA'!$A$2:$H$521,3,FALSE)</f>
        <v>#N/A</v>
      </c>
      <c r="H166" t="e">
        <f>VLOOKUP($A166,'STOCK DATA'!$A$2:$H$521,3,FALSE)</f>
        <v>#N/A</v>
      </c>
      <c r="I166" t="e">
        <f>VLOOKUP(A166,'Short-term interest Rates daily'!$A:$E,2,FALSE)</f>
        <v>#N/A</v>
      </c>
      <c r="J166" t="e">
        <f>VLOOKUP(A166,'Short-term interest Rates daily'!$A:$E,3,FALSE)</f>
        <v>#N/A</v>
      </c>
      <c r="K166" t="e">
        <f>VLOOKUP(A166,'Short-term interest Rates daily'!$A:$E,4,FALSE)</f>
        <v>#N/A</v>
      </c>
      <c r="L166" t="e">
        <f>VLOOKUP(A166,'Short-term interest Rates daily'!$A:$E,5,FALSE)</f>
        <v>#N/A</v>
      </c>
    </row>
    <row r="167" spans="1:12" x14ac:dyDescent="0.3">
      <c r="A167" s="1">
        <v>31578</v>
      </c>
      <c r="B167" t="e">
        <f>VLOOKUP(A167,'STOCK DATA'!$A$2:$H$522,2,FALSE)</f>
        <v>#N/A</v>
      </c>
      <c r="C167" t="e">
        <f>VLOOKUP($A167,'STOCK DATA'!$A$2:H$521,3,FALSE)</f>
        <v>#N/A</v>
      </c>
      <c r="D167" t="e">
        <f>VLOOKUP($A167,'STOCK DATA'!$A$2:$H$521,3,FALSE)</f>
        <v>#N/A</v>
      </c>
      <c r="E167" t="e">
        <f>VLOOKUP($A167,'STOCK DATA'!$A$2:$H$521,3,FALSE)</f>
        <v>#N/A</v>
      </c>
      <c r="F167" t="e">
        <f>VLOOKUP($A167,'STOCK DATA'!$A$2:$H$521,3,FALSE)</f>
        <v>#N/A</v>
      </c>
      <c r="G167" t="e">
        <f>VLOOKUP($A167,'STOCK DATA'!$A$2:$H$521,3,FALSE)</f>
        <v>#N/A</v>
      </c>
      <c r="H167" t="e">
        <f>VLOOKUP($A167,'STOCK DATA'!$A$2:$H$521,3,FALSE)</f>
        <v>#N/A</v>
      </c>
      <c r="I167" t="e">
        <f>VLOOKUP(A167,'Short-term interest Rates daily'!$A:$E,2,FALSE)</f>
        <v>#N/A</v>
      </c>
      <c r="J167" t="e">
        <f>VLOOKUP(A167,'Short-term interest Rates daily'!$A:$E,3,FALSE)</f>
        <v>#N/A</v>
      </c>
      <c r="K167" t="e">
        <f>VLOOKUP(A167,'Short-term interest Rates daily'!$A:$E,4,FALSE)</f>
        <v>#N/A</v>
      </c>
      <c r="L167" t="e">
        <f>VLOOKUP(A167,'Short-term interest Rates daily'!$A:$E,5,FALSE)</f>
        <v>#N/A</v>
      </c>
    </row>
    <row r="168" spans="1:12" x14ac:dyDescent="0.3">
      <c r="A168" s="1">
        <v>31579</v>
      </c>
      <c r="B168">
        <f>VLOOKUP(A168,'STOCK DATA'!$A$2:$H$522,2,FALSE)</f>
        <v>125.91</v>
      </c>
      <c r="C168">
        <f>VLOOKUP($A168,'STOCK DATA'!$A$2:H$521,3,FALSE)</f>
        <v>1209.0999999999999</v>
      </c>
      <c r="D168">
        <f>VLOOKUP($A168,'STOCK DATA'!$A$2:$H$521,3,FALSE)</f>
        <v>1209.0999999999999</v>
      </c>
      <c r="E168">
        <f>VLOOKUP($A168,'STOCK DATA'!$A$2:$H$521,3,FALSE)</f>
        <v>1209.0999999999999</v>
      </c>
      <c r="F168">
        <f>VLOOKUP($A168,'STOCK DATA'!$A$2:$H$521,3,FALSE)</f>
        <v>1209.0999999999999</v>
      </c>
      <c r="G168">
        <f>VLOOKUP($A168,'STOCK DATA'!$A$2:$H$521,3,FALSE)</f>
        <v>1209.0999999999999</v>
      </c>
      <c r="H168">
        <f>VLOOKUP($A168,'STOCK DATA'!$A$2:$H$521,3,FALSE)</f>
        <v>1209.0999999999999</v>
      </c>
      <c r="I168">
        <f>VLOOKUP(A168,'Short-term interest Rates daily'!$A:$E,2,FALSE)</f>
        <v>16</v>
      </c>
      <c r="J168">
        <f>VLOOKUP(A168,'Short-term interest Rates daily'!$A:$E,3,FALSE)</f>
        <v>8.48</v>
      </c>
      <c r="K168">
        <f>VLOOKUP(A168,'Short-term interest Rates daily'!$A:$E,4,FALSE)</f>
        <v>9.4600000000000009</v>
      </c>
      <c r="L168">
        <f>VLOOKUP(A168,'Short-term interest Rates daily'!$A:$E,5,FALSE)</f>
        <v>6.12</v>
      </c>
    </row>
    <row r="169" spans="1:12" x14ac:dyDescent="0.3">
      <c r="A169" s="1">
        <v>31580</v>
      </c>
      <c r="B169">
        <f>VLOOKUP(A169,'STOCK DATA'!$A$2:$H$522,2,FALSE)</f>
        <v>125.85</v>
      </c>
      <c r="C169">
        <f>VLOOKUP($A169,'STOCK DATA'!$A$2:H$521,3,FALSE)</f>
        <v>1197.2</v>
      </c>
      <c r="D169">
        <f>VLOOKUP($A169,'STOCK DATA'!$A$2:$H$521,3,FALSE)</f>
        <v>1197.2</v>
      </c>
      <c r="E169">
        <f>VLOOKUP($A169,'STOCK DATA'!$A$2:$H$521,3,FALSE)</f>
        <v>1197.2</v>
      </c>
      <c r="F169">
        <f>VLOOKUP($A169,'STOCK DATA'!$A$2:$H$521,3,FALSE)</f>
        <v>1197.2</v>
      </c>
      <c r="G169">
        <f>VLOOKUP($A169,'STOCK DATA'!$A$2:$H$521,3,FALSE)</f>
        <v>1197.2</v>
      </c>
      <c r="H169">
        <f>VLOOKUP($A169,'STOCK DATA'!$A$2:$H$521,3,FALSE)</f>
        <v>1197.2</v>
      </c>
      <c r="I169">
        <f>VLOOKUP(A169,'Short-term interest Rates daily'!$A:$E,2,FALSE)</f>
        <v>14.88</v>
      </c>
      <c r="J169">
        <f>VLOOKUP(A169,'Short-term interest Rates daily'!$A:$E,3,FALSE)</f>
        <v>8.5</v>
      </c>
      <c r="K169">
        <f>VLOOKUP(A169,'Short-term interest Rates daily'!$A:$E,4,FALSE)</f>
        <v>9.44</v>
      </c>
      <c r="L169">
        <f>VLOOKUP(A169,'Short-term interest Rates daily'!$A:$E,5,FALSE)</f>
        <v>6.09</v>
      </c>
    </row>
    <row r="170" spans="1:12" x14ac:dyDescent="0.3">
      <c r="A170" s="1">
        <v>31581</v>
      </c>
      <c r="B170">
        <f>VLOOKUP(A170,'STOCK DATA'!$A$2:$H$522,2,FALSE)</f>
        <v>125.24</v>
      </c>
      <c r="C170">
        <f>VLOOKUP($A170,'STOCK DATA'!$A$2:H$521,3,FALSE)</f>
        <v>1200.5999999999999</v>
      </c>
      <c r="D170">
        <f>VLOOKUP($A170,'STOCK DATA'!$A$2:$H$521,3,FALSE)</f>
        <v>1200.5999999999999</v>
      </c>
      <c r="E170">
        <f>VLOOKUP($A170,'STOCK DATA'!$A$2:$H$521,3,FALSE)</f>
        <v>1200.5999999999999</v>
      </c>
      <c r="F170">
        <f>VLOOKUP($A170,'STOCK DATA'!$A$2:$H$521,3,FALSE)</f>
        <v>1200.5999999999999</v>
      </c>
      <c r="G170">
        <f>VLOOKUP($A170,'STOCK DATA'!$A$2:$H$521,3,FALSE)</f>
        <v>1200.5999999999999</v>
      </c>
      <c r="H170">
        <f>VLOOKUP($A170,'STOCK DATA'!$A$2:$H$521,3,FALSE)</f>
        <v>1200.5999999999999</v>
      </c>
      <c r="I170">
        <f>VLOOKUP(A170,'Short-term interest Rates daily'!$A:$E,2,FALSE)</f>
        <v>14.88</v>
      </c>
      <c r="J170">
        <f>VLOOKUP(A170,'Short-term interest Rates daily'!$A:$E,3,FALSE)</f>
        <v>8.5299999999999994</v>
      </c>
      <c r="K170">
        <f>VLOOKUP(A170,'Short-term interest Rates daily'!$A:$E,4,FALSE)</f>
        <v>9.4600000000000009</v>
      </c>
      <c r="L170">
        <f>VLOOKUP(A170,'Short-term interest Rates daily'!$A:$E,5,FALSE)</f>
        <v>6.09</v>
      </c>
    </row>
    <row r="171" spans="1:12" x14ac:dyDescent="0.3">
      <c r="A171" s="1">
        <v>31582</v>
      </c>
      <c r="B171">
        <f>VLOOKUP(A171,'STOCK DATA'!$A$2:$H$522,2,FALSE)</f>
        <v>125.14</v>
      </c>
      <c r="C171">
        <f>VLOOKUP($A171,'STOCK DATA'!$A$2:H$521,3,FALSE)</f>
        <v>1210.8</v>
      </c>
      <c r="D171">
        <f>VLOOKUP($A171,'STOCK DATA'!$A$2:$H$521,3,FALSE)</f>
        <v>1210.8</v>
      </c>
      <c r="E171">
        <f>VLOOKUP($A171,'STOCK DATA'!$A$2:$H$521,3,FALSE)</f>
        <v>1210.8</v>
      </c>
      <c r="F171">
        <f>VLOOKUP($A171,'STOCK DATA'!$A$2:$H$521,3,FALSE)</f>
        <v>1210.8</v>
      </c>
      <c r="G171">
        <f>VLOOKUP($A171,'STOCK DATA'!$A$2:$H$521,3,FALSE)</f>
        <v>1210.8</v>
      </c>
      <c r="H171">
        <f>VLOOKUP($A171,'STOCK DATA'!$A$2:$H$521,3,FALSE)</f>
        <v>1210.8</v>
      </c>
      <c r="I171">
        <f>VLOOKUP(A171,'Short-term interest Rates daily'!$A:$E,2,FALSE)</f>
        <v>14.75</v>
      </c>
      <c r="J171">
        <f>VLOOKUP(A171,'Short-term interest Rates daily'!$A:$E,3,FALSE)</f>
        <v>8.61</v>
      </c>
      <c r="K171">
        <f>VLOOKUP(A171,'Short-term interest Rates daily'!$A:$E,4,FALSE)</f>
        <v>9.44</v>
      </c>
      <c r="L171">
        <f>VLOOKUP(A171,'Short-term interest Rates daily'!$A:$E,5,FALSE)</f>
        <v>6.11</v>
      </c>
    </row>
    <row r="172" spans="1:12" x14ac:dyDescent="0.3">
      <c r="A172" s="1">
        <v>31583</v>
      </c>
      <c r="B172">
        <f>VLOOKUP(A172,'STOCK DATA'!$A$2:$H$522,2,FALSE)</f>
        <v>125.07</v>
      </c>
      <c r="C172">
        <f>VLOOKUP($A172,'STOCK DATA'!$A$2:H$521,3,FALSE)</f>
        <v>1214.7</v>
      </c>
      <c r="D172">
        <f>VLOOKUP($A172,'STOCK DATA'!$A$2:$H$521,3,FALSE)</f>
        <v>1214.7</v>
      </c>
      <c r="E172">
        <f>VLOOKUP($A172,'STOCK DATA'!$A$2:$H$521,3,FALSE)</f>
        <v>1214.7</v>
      </c>
      <c r="F172">
        <f>VLOOKUP($A172,'STOCK DATA'!$A$2:$H$521,3,FALSE)</f>
        <v>1214.7</v>
      </c>
      <c r="G172">
        <f>VLOOKUP($A172,'STOCK DATA'!$A$2:$H$521,3,FALSE)</f>
        <v>1214.7</v>
      </c>
      <c r="H172">
        <f>VLOOKUP($A172,'STOCK DATA'!$A$2:$H$521,3,FALSE)</f>
        <v>1214.7</v>
      </c>
      <c r="I172">
        <f>VLOOKUP(A172,'Short-term interest Rates daily'!$A:$E,2,FALSE)</f>
        <v>14.63</v>
      </c>
      <c r="J172">
        <f>VLOOKUP(A172,'Short-term interest Rates daily'!$A:$E,3,FALSE)</f>
        <v>8.58</v>
      </c>
      <c r="K172">
        <f>VLOOKUP(A172,'Short-term interest Rates daily'!$A:$E,4,FALSE)</f>
        <v>9.58</v>
      </c>
      <c r="L172">
        <f>VLOOKUP(A172,'Short-term interest Rates daily'!$A:$E,5,FALSE)</f>
        <v>6.1</v>
      </c>
    </row>
    <row r="173" spans="1:12" x14ac:dyDescent="0.3">
      <c r="A173" s="1">
        <v>31584</v>
      </c>
      <c r="B173" t="e">
        <f>VLOOKUP(A173,'STOCK DATA'!$A$2:$H$522,2,FALSE)</f>
        <v>#N/A</v>
      </c>
      <c r="C173" t="e">
        <f>VLOOKUP($A173,'STOCK DATA'!$A$2:H$521,3,FALSE)</f>
        <v>#N/A</v>
      </c>
      <c r="D173" t="e">
        <f>VLOOKUP($A173,'STOCK DATA'!$A$2:$H$521,3,FALSE)</f>
        <v>#N/A</v>
      </c>
      <c r="E173" t="e">
        <f>VLOOKUP($A173,'STOCK DATA'!$A$2:$H$521,3,FALSE)</f>
        <v>#N/A</v>
      </c>
      <c r="F173" t="e">
        <f>VLOOKUP($A173,'STOCK DATA'!$A$2:$H$521,3,FALSE)</f>
        <v>#N/A</v>
      </c>
      <c r="G173" t="e">
        <f>VLOOKUP($A173,'STOCK DATA'!$A$2:$H$521,3,FALSE)</f>
        <v>#N/A</v>
      </c>
      <c r="H173" t="e">
        <f>VLOOKUP($A173,'STOCK DATA'!$A$2:$H$521,3,FALSE)</f>
        <v>#N/A</v>
      </c>
      <c r="I173" t="e">
        <f>VLOOKUP(A173,'Short-term interest Rates daily'!$A:$E,2,FALSE)</f>
        <v>#N/A</v>
      </c>
      <c r="J173" t="e">
        <f>VLOOKUP(A173,'Short-term interest Rates daily'!$A:$E,3,FALSE)</f>
        <v>#N/A</v>
      </c>
      <c r="K173" t="e">
        <f>VLOOKUP(A173,'Short-term interest Rates daily'!$A:$E,4,FALSE)</f>
        <v>#N/A</v>
      </c>
      <c r="L173" t="e">
        <f>VLOOKUP(A173,'Short-term interest Rates daily'!$A:$E,5,FALSE)</f>
        <v>#N/A</v>
      </c>
    </row>
    <row r="174" spans="1:12" x14ac:dyDescent="0.3">
      <c r="A174" s="1">
        <v>31585</v>
      </c>
      <c r="B174" t="e">
        <f>VLOOKUP(A174,'STOCK DATA'!$A$2:$H$522,2,FALSE)</f>
        <v>#N/A</v>
      </c>
      <c r="C174" t="e">
        <f>VLOOKUP($A174,'STOCK DATA'!$A$2:H$521,3,FALSE)</f>
        <v>#N/A</v>
      </c>
      <c r="D174" t="e">
        <f>VLOOKUP($A174,'STOCK DATA'!$A$2:$H$521,3,FALSE)</f>
        <v>#N/A</v>
      </c>
      <c r="E174" t="e">
        <f>VLOOKUP($A174,'STOCK DATA'!$A$2:$H$521,3,FALSE)</f>
        <v>#N/A</v>
      </c>
      <c r="F174" t="e">
        <f>VLOOKUP($A174,'STOCK DATA'!$A$2:$H$521,3,FALSE)</f>
        <v>#N/A</v>
      </c>
      <c r="G174" t="e">
        <f>VLOOKUP($A174,'STOCK DATA'!$A$2:$H$521,3,FALSE)</f>
        <v>#N/A</v>
      </c>
      <c r="H174" t="e">
        <f>VLOOKUP($A174,'STOCK DATA'!$A$2:$H$521,3,FALSE)</f>
        <v>#N/A</v>
      </c>
      <c r="I174" t="e">
        <f>VLOOKUP(A174,'Short-term interest Rates daily'!$A:$E,2,FALSE)</f>
        <v>#N/A</v>
      </c>
      <c r="J174" t="e">
        <f>VLOOKUP(A174,'Short-term interest Rates daily'!$A:$E,3,FALSE)</f>
        <v>#N/A</v>
      </c>
      <c r="K174" t="e">
        <f>VLOOKUP(A174,'Short-term interest Rates daily'!$A:$E,4,FALSE)</f>
        <v>#N/A</v>
      </c>
      <c r="L174" t="e">
        <f>VLOOKUP(A174,'Short-term interest Rates daily'!$A:$E,5,FALSE)</f>
        <v>#N/A</v>
      </c>
    </row>
    <row r="175" spans="1:12" x14ac:dyDescent="0.3">
      <c r="A175" s="1">
        <v>31586</v>
      </c>
      <c r="B175">
        <f>VLOOKUP(A175,'STOCK DATA'!$A$2:$H$522,2,FALSE)</f>
        <v>125.37</v>
      </c>
      <c r="C175">
        <f>VLOOKUP($A175,'STOCK DATA'!$A$2:H$521,3,FALSE)</f>
        <v>1214.8</v>
      </c>
      <c r="D175">
        <f>VLOOKUP($A175,'STOCK DATA'!$A$2:$H$521,3,FALSE)</f>
        <v>1214.8</v>
      </c>
      <c r="E175">
        <f>VLOOKUP($A175,'STOCK DATA'!$A$2:$H$521,3,FALSE)</f>
        <v>1214.8</v>
      </c>
      <c r="F175">
        <f>VLOOKUP($A175,'STOCK DATA'!$A$2:$H$521,3,FALSE)</f>
        <v>1214.8</v>
      </c>
      <c r="G175">
        <f>VLOOKUP($A175,'STOCK DATA'!$A$2:$H$521,3,FALSE)</f>
        <v>1214.8</v>
      </c>
      <c r="H175">
        <f>VLOOKUP($A175,'STOCK DATA'!$A$2:$H$521,3,FALSE)</f>
        <v>1214.8</v>
      </c>
      <c r="I175">
        <f>VLOOKUP(A175,'Short-term interest Rates daily'!$A:$E,2,FALSE)</f>
        <v>14.75</v>
      </c>
      <c r="J175">
        <f>VLOOKUP(A175,'Short-term interest Rates daily'!$A:$E,3,FALSE)</f>
        <v>8.57</v>
      </c>
      <c r="K175">
        <f>VLOOKUP(A175,'Short-term interest Rates daily'!$A:$E,4,FALSE)</f>
        <v>9.58</v>
      </c>
      <c r="L175">
        <f>VLOOKUP(A175,'Short-term interest Rates daily'!$A:$E,5,FALSE)</f>
        <v>6.11</v>
      </c>
    </row>
    <row r="176" spans="1:12" x14ac:dyDescent="0.3">
      <c r="A176" s="1">
        <v>31587</v>
      </c>
      <c r="B176">
        <f>VLOOKUP(A176,'STOCK DATA'!$A$2:$H$522,2,FALSE)</f>
        <v>124.36</v>
      </c>
      <c r="C176">
        <f>VLOOKUP($A176,'STOCK DATA'!$A$2:H$521,3,FALSE)</f>
        <v>1205.9000000000001</v>
      </c>
      <c r="D176">
        <f>VLOOKUP($A176,'STOCK DATA'!$A$2:$H$521,3,FALSE)</f>
        <v>1205.9000000000001</v>
      </c>
      <c r="E176">
        <f>VLOOKUP($A176,'STOCK DATA'!$A$2:$H$521,3,FALSE)</f>
        <v>1205.9000000000001</v>
      </c>
      <c r="F176">
        <f>VLOOKUP($A176,'STOCK DATA'!$A$2:$H$521,3,FALSE)</f>
        <v>1205.9000000000001</v>
      </c>
      <c r="G176">
        <f>VLOOKUP($A176,'STOCK DATA'!$A$2:$H$521,3,FALSE)</f>
        <v>1205.9000000000001</v>
      </c>
      <c r="H176">
        <f>VLOOKUP($A176,'STOCK DATA'!$A$2:$H$521,3,FALSE)</f>
        <v>1205.9000000000001</v>
      </c>
      <c r="I176">
        <f>VLOOKUP(A176,'Short-term interest Rates daily'!$A:$E,2,FALSE)</f>
        <v>14.13</v>
      </c>
      <c r="J176">
        <f>VLOOKUP(A176,'Short-term interest Rates daily'!$A:$E,3,FALSE)</f>
        <v>8.59</v>
      </c>
      <c r="K176">
        <f>VLOOKUP(A176,'Short-term interest Rates daily'!$A:$E,4,FALSE)</f>
        <v>9.5500000000000007</v>
      </c>
      <c r="L176">
        <f>VLOOKUP(A176,'Short-term interest Rates daily'!$A:$E,5,FALSE)</f>
        <v>6.08</v>
      </c>
    </row>
    <row r="177" spans="1:12" x14ac:dyDescent="0.3">
      <c r="A177" s="1">
        <v>31588</v>
      </c>
      <c r="B177">
        <f>VLOOKUP(A177,'STOCK DATA'!$A$2:$H$522,2,FALSE)</f>
        <v>124.95</v>
      </c>
      <c r="C177">
        <f>VLOOKUP($A177,'STOCK DATA'!$A$2:H$521,3,FALSE)</f>
        <v>1195.7</v>
      </c>
      <c r="D177">
        <f>VLOOKUP($A177,'STOCK DATA'!$A$2:$H$521,3,FALSE)</f>
        <v>1195.7</v>
      </c>
      <c r="E177">
        <f>VLOOKUP($A177,'STOCK DATA'!$A$2:$H$521,3,FALSE)</f>
        <v>1195.7</v>
      </c>
      <c r="F177">
        <f>VLOOKUP($A177,'STOCK DATA'!$A$2:$H$521,3,FALSE)</f>
        <v>1195.7</v>
      </c>
      <c r="G177">
        <f>VLOOKUP($A177,'STOCK DATA'!$A$2:$H$521,3,FALSE)</f>
        <v>1195.7</v>
      </c>
      <c r="H177">
        <f>VLOOKUP($A177,'STOCK DATA'!$A$2:$H$521,3,FALSE)</f>
        <v>1195.7</v>
      </c>
      <c r="I177">
        <f>VLOOKUP(A177,'Short-term interest Rates daily'!$A:$E,2,FALSE)</f>
        <v>14.63</v>
      </c>
      <c r="J177">
        <f>VLOOKUP(A177,'Short-term interest Rates daily'!$A:$E,3,FALSE)</f>
        <v>8.56</v>
      </c>
      <c r="K177">
        <f>VLOOKUP(A177,'Short-term interest Rates daily'!$A:$E,4,FALSE)</f>
        <v>9.49</v>
      </c>
      <c r="L177">
        <f>VLOOKUP(A177,'Short-term interest Rates daily'!$A:$E,5,FALSE)</f>
        <v>6.08</v>
      </c>
    </row>
    <row r="178" spans="1:12" x14ac:dyDescent="0.3">
      <c r="A178" s="1">
        <v>31589</v>
      </c>
      <c r="B178">
        <f>VLOOKUP(A178,'STOCK DATA'!$A$2:$H$522,2,FALSE)</f>
        <v>124.95</v>
      </c>
      <c r="C178">
        <f>VLOOKUP($A178,'STOCK DATA'!$A$2:H$521,3,FALSE)</f>
        <v>1190.0999999999999</v>
      </c>
      <c r="D178">
        <f>VLOOKUP($A178,'STOCK DATA'!$A$2:$H$521,3,FALSE)</f>
        <v>1190.0999999999999</v>
      </c>
      <c r="E178">
        <f>VLOOKUP($A178,'STOCK DATA'!$A$2:$H$521,3,FALSE)</f>
        <v>1190.0999999999999</v>
      </c>
      <c r="F178">
        <f>VLOOKUP($A178,'STOCK DATA'!$A$2:$H$521,3,FALSE)</f>
        <v>1190.0999999999999</v>
      </c>
      <c r="G178">
        <f>VLOOKUP($A178,'STOCK DATA'!$A$2:$H$521,3,FALSE)</f>
        <v>1190.0999999999999</v>
      </c>
      <c r="H178">
        <f>VLOOKUP($A178,'STOCK DATA'!$A$2:$H$521,3,FALSE)</f>
        <v>1190.0999999999999</v>
      </c>
      <c r="I178">
        <f>VLOOKUP(A178,'Short-term interest Rates daily'!$A:$E,2,FALSE)</f>
        <v>15.5</v>
      </c>
      <c r="J178">
        <f>VLOOKUP(A178,'Short-term interest Rates daily'!$A:$E,3,FALSE)</f>
        <v>8.59</v>
      </c>
      <c r="K178">
        <f>VLOOKUP(A178,'Short-term interest Rates daily'!$A:$E,4,FALSE)</f>
        <v>9.4600000000000009</v>
      </c>
      <c r="L178">
        <f>VLOOKUP(A178,'Short-term interest Rates daily'!$A:$E,5,FALSE)</f>
        <v>6.08</v>
      </c>
    </row>
    <row r="179" spans="1:12" x14ac:dyDescent="0.3">
      <c r="A179" s="1">
        <v>31590</v>
      </c>
      <c r="B179">
        <f>VLOOKUP(A179,'STOCK DATA'!$A$2:$H$522,2,FALSE)</f>
        <v>124.59</v>
      </c>
      <c r="C179">
        <f>VLOOKUP($A179,'STOCK DATA'!$A$2:H$521,3,FALSE)</f>
        <v>1183.5999999999999</v>
      </c>
      <c r="D179">
        <f>VLOOKUP($A179,'STOCK DATA'!$A$2:$H$521,3,FALSE)</f>
        <v>1183.5999999999999</v>
      </c>
      <c r="E179">
        <f>VLOOKUP($A179,'STOCK DATA'!$A$2:$H$521,3,FALSE)</f>
        <v>1183.5999999999999</v>
      </c>
      <c r="F179">
        <f>VLOOKUP($A179,'STOCK DATA'!$A$2:$H$521,3,FALSE)</f>
        <v>1183.5999999999999</v>
      </c>
      <c r="G179">
        <f>VLOOKUP($A179,'STOCK DATA'!$A$2:$H$521,3,FALSE)</f>
        <v>1183.5999999999999</v>
      </c>
      <c r="H179">
        <f>VLOOKUP($A179,'STOCK DATA'!$A$2:$H$521,3,FALSE)</f>
        <v>1183.5999999999999</v>
      </c>
      <c r="I179">
        <f>VLOOKUP(A179,'Short-term interest Rates daily'!$A:$E,2,FALSE)</f>
        <v>16</v>
      </c>
      <c r="J179">
        <f>VLOOKUP(A179,'Short-term interest Rates daily'!$A:$E,3,FALSE)</f>
        <v>8.5</v>
      </c>
      <c r="K179">
        <f>VLOOKUP(A179,'Short-term interest Rates daily'!$A:$E,4,FALSE)</f>
        <v>9.4</v>
      </c>
      <c r="L179">
        <f>VLOOKUP(A179,'Short-term interest Rates daily'!$A:$E,5,FALSE)</f>
        <v>6.02</v>
      </c>
    </row>
    <row r="180" spans="1:12" x14ac:dyDescent="0.3">
      <c r="A180" s="1">
        <v>31591</v>
      </c>
      <c r="B180" t="e">
        <f>VLOOKUP(A180,'STOCK DATA'!$A$2:$H$522,2,FALSE)</f>
        <v>#N/A</v>
      </c>
      <c r="C180" t="e">
        <f>VLOOKUP($A180,'STOCK DATA'!$A$2:H$521,3,FALSE)</f>
        <v>#N/A</v>
      </c>
      <c r="D180" t="e">
        <f>VLOOKUP($A180,'STOCK DATA'!$A$2:$H$521,3,FALSE)</f>
        <v>#N/A</v>
      </c>
      <c r="E180" t="e">
        <f>VLOOKUP($A180,'STOCK DATA'!$A$2:$H$521,3,FALSE)</f>
        <v>#N/A</v>
      </c>
      <c r="F180" t="e">
        <f>VLOOKUP($A180,'STOCK DATA'!$A$2:$H$521,3,FALSE)</f>
        <v>#N/A</v>
      </c>
      <c r="G180" t="e">
        <f>VLOOKUP($A180,'STOCK DATA'!$A$2:$H$521,3,FALSE)</f>
        <v>#N/A</v>
      </c>
      <c r="H180" t="e">
        <f>VLOOKUP($A180,'STOCK DATA'!$A$2:$H$521,3,FALSE)</f>
        <v>#N/A</v>
      </c>
      <c r="I180" t="e">
        <f>VLOOKUP(A180,'Short-term interest Rates daily'!$A:$E,2,FALSE)</f>
        <v>#N/A</v>
      </c>
      <c r="J180" t="e">
        <f>VLOOKUP(A180,'Short-term interest Rates daily'!$A:$E,3,FALSE)</f>
        <v>#N/A</v>
      </c>
      <c r="K180" t="e">
        <f>VLOOKUP(A180,'Short-term interest Rates daily'!$A:$E,4,FALSE)</f>
        <v>#N/A</v>
      </c>
      <c r="L180" t="e">
        <f>VLOOKUP(A180,'Short-term interest Rates daily'!$A:$E,5,FALSE)</f>
        <v>#N/A</v>
      </c>
    </row>
    <row r="181" spans="1:12" x14ac:dyDescent="0.3">
      <c r="A181" s="1">
        <v>31592</v>
      </c>
      <c r="B181" t="e">
        <f>VLOOKUP(A181,'STOCK DATA'!$A$2:$H$522,2,FALSE)</f>
        <v>#N/A</v>
      </c>
      <c r="C181" t="e">
        <f>VLOOKUP($A181,'STOCK DATA'!$A$2:H$521,3,FALSE)</f>
        <v>#N/A</v>
      </c>
      <c r="D181" t="e">
        <f>VLOOKUP($A181,'STOCK DATA'!$A$2:$H$521,3,FALSE)</f>
        <v>#N/A</v>
      </c>
      <c r="E181" t="e">
        <f>VLOOKUP($A181,'STOCK DATA'!$A$2:$H$521,3,FALSE)</f>
        <v>#N/A</v>
      </c>
      <c r="F181" t="e">
        <f>VLOOKUP($A181,'STOCK DATA'!$A$2:$H$521,3,FALSE)</f>
        <v>#N/A</v>
      </c>
      <c r="G181" t="e">
        <f>VLOOKUP($A181,'STOCK DATA'!$A$2:$H$521,3,FALSE)</f>
        <v>#N/A</v>
      </c>
      <c r="H181" t="e">
        <f>VLOOKUP($A181,'STOCK DATA'!$A$2:$H$521,3,FALSE)</f>
        <v>#N/A</v>
      </c>
      <c r="I181" t="e">
        <f>VLOOKUP(A181,'Short-term interest Rates daily'!$A:$E,2,FALSE)</f>
        <v>#N/A</v>
      </c>
      <c r="J181" t="e">
        <f>VLOOKUP(A181,'Short-term interest Rates daily'!$A:$E,3,FALSE)</f>
        <v>#N/A</v>
      </c>
      <c r="K181" t="e">
        <f>VLOOKUP(A181,'Short-term interest Rates daily'!$A:$E,4,FALSE)</f>
        <v>#N/A</v>
      </c>
      <c r="L181" t="e">
        <f>VLOOKUP(A181,'Short-term interest Rates daily'!$A:$E,5,FALSE)</f>
        <v>#N/A</v>
      </c>
    </row>
    <row r="182" spans="1:12" x14ac:dyDescent="0.3">
      <c r="A182" s="1">
        <v>31593</v>
      </c>
      <c r="B182">
        <f>VLOOKUP(A182,'STOCK DATA'!$A$2:$H$522,2,FALSE)</f>
        <v>123.63</v>
      </c>
      <c r="C182">
        <f>VLOOKUP($A182,'STOCK DATA'!$A$2:H$521,3,FALSE)</f>
        <v>1179.8</v>
      </c>
      <c r="D182">
        <f>VLOOKUP($A182,'STOCK DATA'!$A$2:$H$521,3,FALSE)</f>
        <v>1179.8</v>
      </c>
      <c r="E182">
        <f>VLOOKUP($A182,'STOCK DATA'!$A$2:$H$521,3,FALSE)</f>
        <v>1179.8</v>
      </c>
      <c r="F182">
        <f>VLOOKUP($A182,'STOCK DATA'!$A$2:$H$521,3,FALSE)</f>
        <v>1179.8</v>
      </c>
      <c r="G182">
        <f>VLOOKUP($A182,'STOCK DATA'!$A$2:$H$521,3,FALSE)</f>
        <v>1179.8</v>
      </c>
      <c r="H182">
        <f>VLOOKUP($A182,'STOCK DATA'!$A$2:$H$521,3,FALSE)</f>
        <v>1179.8</v>
      </c>
      <c r="I182">
        <f>VLOOKUP(A182,'Short-term interest Rates daily'!$A:$E,2,FALSE)</f>
        <v>19</v>
      </c>
      <c r="J182">
        <f>VLOOKUP(A182,'Short-term interest Rates daily'!$A:$E,3,FALSE)</f>
        <v>8.49</v>
      </c>
      <c r="K182">
        <f>VLOOKUP(A182,'Short-term interest Rates daily'!$A:$E,4,FALSE)</f>
        <v>9.4</v>
      </c>
      <c r="L182">
        <f>VLOOKUP(A182,'Short-term interest Rates daily'!$A:$E,5,FALSE)</f>
        <v>5.96</v>
      </c>
    </row>
    <row r="183" spans="1:12" x14ac:dyDescent="0.3">
      <c r="A183" s="1">
        <v>31594</v>
      </c>
      <c r="B183">
        <f>VLOOKUP(A183,'STOCK DATA'!$A$2:$H$522,2,FALSE)</f>
        <v>122.49</v>
      </c>
      <c r="C183">
        <f>VLOOKUP($A183,'STOCK DATA'!$A$2:H$521,3,FALSE)</f>
        <v>1175.8</v>
      </c>
      <c r="D183">
        <f>VLOOKUP($A183,'STOCK DATA'!$A$2:$H$521,3,FALSE)</f>
        <v>1175.8</v>
      </c>
      <c r="E183">
        <f>VLOOKUP($A183,'STOCK DATA'!$A$2:$H$521,3,FALSE)</f>
        <v>1175.8</v>
      </c>
      <c r="F183">
        <f>VLOOKUP($A183,'STOCK DATA'!$A$2:$H$521,3,FALSE)</f>
        <v>1175.8</v>
      </c>
      <c r="G183">
        <f>VLOOKUP($A183,'STOCK DATA'!$A$2:$H$521,3,FALSE)</f>
        <v>1175.8</v>
      </c>
      <c r="H183">
        <f>VLOOKUP($A183,'STOCK DATA'!$A$2:$H$521,3,FALSE)</f>
        <v>1175.8</v>
      </c>
      <c r="I183">
        <f>VLOOKUP(A183,'Short-term interest Rates daily'!$A:$E,2,FALSE)</f>
        <v>15.88</v>
      </c>
      <c r="J183">
        <f>VLOOKUP(A183,'Short-term interest Rates daily'!$A:$E,3,FALSE)</f>
        <v>0</v>
      </c>
      <c r="K183">
        <f>VLOOKUP(A183,'Short-term interest Rates daily'!$A:$E,4,FALSE)</f>
        <v>9.41</v>
      </c>
      <c r="L183">
        <f>VLOOKUP(A183,'Short-term interest Rates daily'!$A:$E,5,FALSE)</f>
        <v>5.99</v>
      </c>
    </row>
    <row r="184" spans="1:12" x14ac:dyDescent="0.3">
      <c r="A184" s="1">
        <v>31595</v>
      </c>
      <c r="B184">
        <f>VLOOKUP(A184,'STOCK DATA'!$A$2:$H$522,2,FALSE)</f>
        <v>123.68</v>
      </c>
      <c r="C184">
        <f>VLOOKUP($A184,'STOCK DATA'!$A$2:H$521,3,FALSE)</f>
        <v>1149.9000000000001</v>
      </c>
      <c r="D184">
        <f>VLOOKUP($A184,'STOCK DATA'!$A$2:$H$521,3,FALSE)</f>
        <v>1149.9000000000001</v>
      </c>
      <c r="E184">
        <f>VLOOKUP($A184,'STOCK DATA'!$A$2:$H$521,3,FALSE)</f>
        <v>1149.9000000000001</v>
      </c>
      <c r="F184">
        <f>VLOOKUP($A184,'STOCK DATA'!$A$2:$H$521,3,FALSE)</f>
        <v>1149.9000000000001</v>
      </c>
      <c r="G184">
        <f>VLOOKUP($A184,'STOCK DATA'!$A$2:$H$521,3,FALSE)</f>
        <v>1149.9000000000001</v>
      </c>
      <c r="H184">
        <f>VLOOKUP($A184,'STOCK DATA'!$A$2:$H$521,3,FALSE)</f>
        <v>1149.9000000000001</v>
      </c>
      <c r="I184">
        <f>VLOOKUP(A184,'Short-term interest Rates daily'!$A:$E,2,FALSE)</f>
        <v>13.88</v>
      </c>
      <c r="J184">
        <f>VLOOKUP(A184,'Short-term interest Rates daily'!$A:$E,3,FALSE)</f>
        <v>8.4600000000000009</v>
      </c>
      <c r="K184">
        <f>VLOOKUP(A184,'Short-term interest Rates daily'!$A:$E,4,FALSE)</f>
        <v>9.42</v>
      </c>
      <c r="L184">
        <f>VLOOKUP(A184,'Short-term interest Rates daily'!$A:$E,5,FALSE)</f>
        <v>6</v>
      </c>
    </row>
    <row r="185" spans="1:12" x14ac:dyDescent="0.3">
      <c r="A185" s="1">
        <v>31596</v>
      </c>
      <c r="B185">
        <f>VLOOKUP(A185,'STOCK DATA'!$A$2:$H$522,2,FALSE)</f>
        <v>124.79</v>
      </c>
      <c r="C185">
        <f>VLOOKUP($A185,'STOCK DATA'!$A$2:H$521,3,FALSE)</f>
        <v>1135.8</v>
      </c>
      <c r="D185">
        <f>VLOOKUP($A185,'STOCK DATA'!$A$2:$H$521,3,FALSE)</f>
        <v>1135.8</v>
      </c>
      <c r="E185">
        <f>VLOOKUP($A185,'STOCK DATA'!$A$2:$H$521,3,FALSE)</f>
        <v>1135.8</v>
      </c>
      <c r="F185">
        <f>VLOOKUP($A185,'STOCK DATA'!$A$2:$H$521,3,FALSE)</f>
        <v>1135.8</v>
      </c>
      <c r="G185">
        <f>VLOOKUP($A185,'STOCK DATA'!$A$2:$H$521,3,FALSE)</f>
        <v>1135.8</v>
      </c>
      <c r="H185">
        <f>VLOOKUP($A185,'STOCK DATA'!$A$2:$H$521,3,FALSE)</f>
        <v>1135.8</v>
      </c>
      <c r="I185">
        <f>VLOOKUP(A185,'Short-term interest Rates daily'!$A:$E,2,FALSE)</f>
        <v>14.5</v>
      </c>
      <c r="J185">
        <f>VLOOKUP(A185,'Short-term interest Rates daily'!$A:$E,3,FALSE)</f>
        <v>8.41</v>
      </c>
      <c r="K185">
        <f>VLOOKUP(A185,'Short-term interest Rates daily'!$A:$E,4,FALSE)</f>
        <v>9.44</v>
      </c>
      <c r="L185">
        <f>VLOOKUP(A185,'Short-term interest Rates daily'!$A:$E,5,FALSE)</f>
        <v>5.91</v>
      </c>
    </row>
    <row r="186" spans="1:12" x14ac:dyDescent="0.3">
      <c r="A186" s="1">
        <v>31597</v>
      </c>
      <c r="B186">
        <f>VLOOKUP(A186,'STOCK DATA'!$A$2:$H$522,2,FALSE)</f>
        <v>124.71</v>
      </c>
      <c r="C186">
        <f>VLOOKUP($A186,'STOCK DATA'!$A$2:H$521,3,FALSE)</f>
        <v>1142.7</v>
      </c>
      <c r="D186">
        <f>VLOOKUP($A186,'STOCK DATA'!$A$2:$H$521,3,FALSE)</f>
        <v>1142.7</v>
      </c>
      <c r="E186">
        <f>VLOOKUP($A186,'STOCK DATA'!$A$2:$H$521,3,FALSE)</f>
        <v>1142.7</v>
      </c>
      <c r="F186">
        <f>VLOOKUP($A186,'STOCK DATA'!$A$2:$H$521,3,FALSE)</f>
        <v>1142.7</v>
      </c>
      <c r="G186">
        <f>VLOOKUP($A186,'STOCK DATA'!$A$2:$H$521,3,FALSE)</f>
        <v>1142.7</v>
      </c>
      <c r="H186">
        <f>VLOOKUP($A186,'STOCK DATA'!$A$2:$H$521,3,FALSE)</f>
        <v>1142.7</v>
      </c>
      <c r="I186">
        <f>VLOOKUP(A186,'Short-term interest Rates daily'!$A:$E,2,FALSE)</f>
        <v>14.5</v>
      </c>
      <c r="J186">
        <f>VLOOKUP(A186,'Short-term interest Rates daily'!$A:$E,3,FALSE)</f>
        <v>8.4</v>
      </c>
      <c r="K186">
        <f>VLOOKUP(A186,'Short-term interest Rates daily'!$A:$E,4,FALSE)</f>
        <v>9.49</v>
      </c>
      <c r="L186">
        <f>VLOOKUP(A186,'Short-term interest Rates daily'!$A:$E,5,FALSE)</f>
        <v>0</v>
      </c>
    </row>
    <row r="187" spans="1:12" x14ac:dyDescent="0.3">
      <c r="A187" s="1">
        <v>31598</v>
      </c>
      <c r="B187" t="e">
        <f>VLOOKUP(A187,'STOCK DATA'!$A$2:$H$522,2,FALSE)</f>
        <v>#N/A</v>
      </c>
      <c r="C187" t="e">
        <f>VLOOKUP($A187,'STOCK DATA'!$A$2:H$521,3,FALSE)</f>
        <v>#N/A</v>
      </c>
      <c r="D187" t="e">
        <f>VLOOKUP($A187,'STOCK DATA'!$A$2:$H$521,3,FALSE)</f>
        <v>#N/A</v>
      </c>
      <c r="E187" t="e">
        <f>VLOOKUP($A187,'STOCK DATA'!$A$2:$H$521,3,FALSE)</f>
        <v>#N/A</v>
      </c>
      <c r="F187" t="e">
        <f>VLOOKUP($A187,'STOCK DATA'!$A$2:$H$521,3,FALSE)</f>
        <v>#N/A</v>
      </c>
      <c r="G187" t="e">
        <f>VLOOKUP($A187,'STOCK DATA'!$A$2:$H$521,3,FALSE)</f>
        <v>#N/A</v>
      </c>
      <c r="H187" t="e">
        <f>VLOOKUP($A187,'STOCK DATA'!$A$2:$H$521,3,FALSE)</f>
        <v>#N/A</v>
      </c>
      <c r="I187" t="e">
        <f>VLOOKUP(A187,'Short-term interest Rates daily'!$A:$E,2,FALSE)</f>
        <v>#N/A</v>
      </c>
      <c r="J187" t="e">
        <f>VLOOKUP(A187,'Short-term interest Rates daily'!$A:$E,3,FALSE)</f>
        <v>#N/A</v>
      </c>
      <c r="K187" t="e">
        <f>VLOOKUP(A187,'Short-term interest Rates daily'!$A:$E,4,FALSE)</f>
        <v>#N/A</v>
      </c>
      <c r="L187" t="e">
        <f>VLOOKUP(A187,'Short-term interest Rates daily'!$A:$E,5,FALSE)</f>
        <v>#N/A</v>
      </c>
    </row>
    <row r="188" spans="1:12" x14ac:dyDescent="0.3">
      <c r="A188" s="1">
        <v>31599</v>
      </c>
      <c r="B188" t="e">
        <f>VLOOKUP(A188,'STOCK DATA'!$A$2:$H$522,2,FALSE)</f>
        <v>#N/A</v>
      </c>
      <c r="C188" t="e">
        <f>VLOOKUP($A188,'STOCK DATA'!$A$2:H$521,3,FALSE)</f>
        <v>#N/A</v>
      </c>
      <c r="D188" t="e">
        <f>VLOOKUP($A188,'STOCK DATA'!$A$2:$H$521,3,FALSE)</f>
        <v>#N/A</v>
      </c>
      <c r="E188" t="e">
        <f>VLOOKUP($A188,'STOCK DATA'!$A$2:$H$521,3,FALSE)</f>
        <v>#N/A</v>
      </c>
      <c r="F188" t="e">
        <f>VLOOKUP($A188,'STOCK DATA'!$A$2:$H$521,3,FALSE)</f>
        <v>#N/A</v>
      </c>
      <c r="G188" t="e">
        <f>VLOOKUP($A188,'STOCK DATA'!$A$2:$H$521,3,FALSE)</f>
        <v>#N/A</v>
      </c>
      <c r="H188" t="e">
        <f>VLOOKUP($A188,'STOCK DATA'!$A$2:$H$521,3,FALSE)</f>
        <v>#N/A</v>
      </c>
      <c r="I188" t="e">
        <f>VLOOKUP(A188,'Short-term interest Rates daily'!$A:$E,2,FALSE)</f>
        <v>#N/A</v>
      </c>
      <c r="J188" t="e">
        <f>VLOOKUP(A188,'Short-term interest Rates daily'!$A:$E,3,FALSE)</f>
        <v>#N/A</v>
      </c>
      <c r="K188" t="e">
        <f>VLOOKUP(A188,'Short-term interest Rates daily'!$A:$E,4,FALSE)</f>
        <v>#N/A</v>
      </c>
      <c r="L188" t="e">
        <f>VLOOKUP(A188,'Short-term interest Rates daily'!$A:$E,5,FALSE)</f>
        <v>#N/A</v>
      </c>
    </row>
    <row r="189" spans="1:12" x14ac:dyDescent="0.3">
      <c r="A189" s="1">
        <v>31600</v>
      </c>
      <c r="B189">
        <f>VLOOKUP(A189,'STOCK DATA'!$A$2:$H$522,2,FALSE)</f>
        <v>124.47</v>
      </c>
      <c r="C189">
        <f>VLOOKUP($A189,'STOCK DATA'!$A$2:H$521,3,FALSE)</f>
        <v>1136.2</v>
      </c>
      <c r="D189">
        <f>VLOOKUP($A189,'STOCK DATA'!$A$2:$H$521,3,FALSE)</f>
        <v>1136.2</v>
      </c>
      <c r="E189">
        <f>VLOOKUP($A189,'STOCK DATA'!$A$2:$H$521,3,FALSE)</f>
        <v>1136.2</v>
      </c>
      <c r="F189">
        <f>VLOOKUP($A189,'STOCK DATA'!$A$2:$H$521,3,FALSE)</f>
        <v>1136.2</v>
      </c>
      <c r="G189">
        <f>VLOOKUP($A189,'STOCK DATA'!$A$2:$H$521,3,FALSE)</f>
        <v>1136.2</v>
      </c>
      <c r="H189">
        <f>VLOOKUP($A189,'STOCK DATA'!$A$2:$H$521,3,FALSE)</f>
        <v>1136.2</v>
      </c>
      <c r="I189">
        <f>VLOOKUP(A189,'Short-term interest Rates daily'!$A:$E,2,FALSE)</f>
        <v>14</v>
      </c>
      <c r="J189">
        <f>VLOOKUP(A189,'Short-term interest Rates daily'!$A:$E,3,FALSE)</f>
        <v>8.42</v>
      </c>
      <c r="K189">
        <f>VLOOKUP(A189,'Short-term interest Rates daily'!$A:$E,4,FALSE)</f>
        <v>9.49</v>
      </c>
      <c r="L189">
        <f>VLOOKUP(A189,'Short-term interest Rates daily'!$A:$E,5,FALSE)</f>
        <v>5.87</v>
      </c>
    </row>
    <row r="190" spans="1:12" x14ac:dyDescent="0.3">
      <c r="A190" s="1">
        <v>31601</v>
      </c>
      <c r="B190">
        <f>VLOOKUP(A190,'STOCK DATA'!$A$2:$H$522,2,FALSE)</f>
        <v>122.36</v>
      </c>
      <c r="C190">
        <f>VLOOKUP($A190,'STOCK DATA'!$A$2:H$521,3,FALSE)</f>
        <v>1125.2</v>
      </c>
      <c r="D190">
        <f>VLOOKUP($A190,'STOCK DATA'!$A$2:$H$521,3,FALSE)</f>
        <v>1125.2</v>
      </c>
      <c r="E190">
        <f>VLOOKUP($A190,'STOCK DATA'!$A$2:$H$521,3,FALSE)</f>
        <v>1125.2</v>
      </c>
      <c r="F190">
        <f>VLOOKUP($A190,'STOCK DATA'!$A$2:$H$521,3,FALSE)</f>
        <v>1125.2</v>
      </c>
      <c r="G190">
        <f>VLOOKUP($A190,'STOCK DATA'!$A$2:$H$521,3,FALSE)</f>
        <v>1125.2</v>
      </c>
      <c r="H190">
        <f>VLOOKUP($A190,'STOCK DATA'!$A$2:$H$521,3,FALSE)</f>
        <v>1125.2</v>
      </c>
      <c r="I190">
        <f>VLOOKUP(A190,'Short-term interest Rates daily'!$A:$E,2,FALSE)</f>
        <v>15.25</v>
      </c>
      <c r="J190">
        <f>VLOOKUP(A190,'Short-term interest Rates daily'!$A:$E,3,FALSE)</f>
        <v>8.4600000000000009</v>
      </c>
      <c r="K190">
        <f>VLOOKUP(A190,'Short-term interest Rates daily'!$A:$E,4,FALSE)</f>
        <v>9.4600000000000009</v>
      </c>
      <c r="L190">
        <f>VLOOKUP(A190,'Short-term interest Rates daily'!$A:$E,5,FALSE)</f>
        <v>5.94</v>
      </c>
    </row>
    <row r="191" spans="1:12" x14ac:dyDescent="0.3">
      <c r="A191" s="1">
        <v>31602</v>
      </c>
      <c r="B191">
        <f>VLOOKUP(A191,'STOCK DATA'!$A$2:$H$522,2,FALSE)</f>
        <v>123.77</v>
      </c>
      <c r="C191">
        <f>VLOOKUP($A191,'STOCK DATA'!$A$2:H$521,3,FALSE)</f>
        <v>1122.3</v>
      </c>
      <c r="D191">
        <f>VLOOKUP($A191,'STOCK DATA'!$A$2:$H$521,3,FALSE)</f>
        <v>1122.3</v>
      </c>
      <c r="E191">
        <f>VLOOKUP($A191,'STOCK DATA'!$A$2:$H$521,3,FALSE)</f>
        <v>1122.3</v>
      </c>
      <c r="F191">
        <f>VLOOKUP($A191,'STOCK DATA'!$A$2:$H$521,3,FALSE)</f>
        <v>1122.3</v>
      </c>
      <c r="G191">
        <f>VLOOKUP($A191,'STOCK DATA'!$A$2:$H$521,3,FALSE)</f>
        <v>1122.3</v>
      </c>
      <c r="H191">
        <f>VLOOKUP($A191,'STOCK DATA'!$A$2:$H$521,3,FALSE)</f>
        <v>1122.3</v>
      </c>
      <c r="I191">
        <f>VLOOKUP(A191,'Short-term interest Rates daily'!$A:$E,2,FALSE)</f>
        <v>15.88</v>
      </c>
      <c r="J191">
        <f>VLOOKUP(A191,'Short-term interest Rates daily'!$A:$E,3,FALSE)</f>
        <v>8.4</v>
      </c>
      <c r="K191">
        <f>VLOOKUP(A191,'Short-term interest Rates daily'!$A:$E,4,FALSE)</f>
        <v>9.65</v>
      </c>
      <c r="L191">
        <f>VLOOKUP(A191,'Short-term interest Rates daily'!$A:$E,5,FALSE)</f>
        <v>5.88</v>
      </c>
    </row>
    <row r="192" spans="1:12" x14ac:dyDescent="0.3">
      <c r="A192" s="1">
        <v>31603</v>
      </c>
      <c r="B192">
        <f>VLOOKUP(A192,'STOCK DATA'!$A$2:$H$522,2,FALSE)</f>
        <v>124.38</v>
      </c>
      <c r="C192">
        <f>VLOOKUP($A192,'STOCK DATA'!$A$2:H$521,3,FALSE)</f>
        <v>1134</v>
      </c>
      <c r="D192">
        <f>VLOOKUP($A192,'STOCK DATA'!$A$2:$H$521,3,FALSE)</f>
        <v>1134</v>
      </c>
      <c r="E192">
        <f>VLOOKUP($A192,'STOCK DATA'!$A$2:$H$521,3,FALSE)</f>
        <v>1134</v>
      </c>
      <c r="F192">
        <f>VLOOKUP($A192,'STOCK DATA'!$A$2:$H$521,3,FALSE)</f>
        <v>1134</v>
      </c>
      <c r="G192">
        <f>VLOOKUP($A192,'STOCK DATA'!$A$2:$H$521,3,FALSE)</f>
        <v>1134</v>
      </c>
      <c r="H192">
        <f>VLOOKUP($A192,'STOCK DATA'!$A$2:$H$521,3,FALSE)</f>
        <v>1134</v>
      </c>
      <c r="I192">
        <f>VLOOKUP(A192,'Short-term interest Rates daily'!$A:$E,2,FALSE)</f>
        <v>15.88</v>
      </c>
      <c r="J192">
        <f>VLOOKUP(A192,'Short-term interest Rates daily'!$A:$E,3,FALSE)</f>
        <v>8.33</v>
      </c>
      <c r="K192">
        <f>VLOOKUP(A192,'Short-term interest Rates daily'!$A:$E,4,FALSE)</f>
        <v>9.56</v>
      </c>
      <c r="L192">
        <f>VLOOKUP(A192,'Short-term interest Rates daily'!$A:$E,5,FALSE)</f>
        <v>5.85</v>
      </c>
    </row>
    <row r="193" spans="1:12" x14ac:dyDescent="0.3">
      <c r="A193" s="1">
        <v>31604</v>
      </c>
      <c r="B193">
        <f>VLOOKUP(A193,'STOCK DATA'!$A$2:$H$522,2,FALSE)</f>
        <v>125.02</v>
      </c>
      <c r="C193">
        <f>VLOOKUP($A193,'STOCK DATA'!$A$2:H$521,3,FALSE)</f>
        <v>1139.9000000000001</v>
      </c>
      <c r="D193">
        <f>VLOOKUP($A193,'STOCK DATA'!$A$2:$H$521,3,FALSE)</f>
        <v>1139.9000000000001</v>
      </c>
      <c r="E193">
        <f>VLOOKUP($A193,'STOCK DATA'!$A$2:$H$521,3,FALSE)</f>
        <v>1139.9000000000001</v>
      </c>
      <c r="F193">
        <f>VLOOKUP($A193,'STOCK DATA'!$A$2:$H$521,3,FALSE)</f>
        <v>1139.9000000000001</v>
      </c>
      <c r="G193">
        <f>VLOOKUP($A193,'STOCK DATA'!$A$2:$H$521,3,FALSE)</f>
        <v>1139.9000000000001</v>
      </c>
      <c r="H193">
        <f>VLOOKUP($A193,'STOCK DATA'!$A$2:$H$521,3,FALSE)</f>
        <v>1139.9000000000001</v>
      </c>
      <c r="I193">
        <f>VLOOKUP(A193,'Short-term interest Rates daily'!$A:$E,2,FALSE)</f>
        <v>16</v>
      </c>
      <c r="J193">
        <f>VLOOKUP(A193,'Short-term interest Rates daily'!$A:$E,3,FALSE)</f>
        <v>8.25</v>
      </c>
      <c r="K193">
        <f>VLOOKUP(A193,'Short-term interest Rates daily'!$A:$E,4,FALSE)</f>
        <v>9.5500000000000007</v>
      </c>
      <c r="L193">
        <f>VLOOKUP(A193,'Short-term interest Rates daily'!$A:$E,5,FALSE)</f>
        <v>5.75</v>
      </c>
    </row>
    <row r="194" spans="1:12" x14ac:dyDescent="0.3">
      <c r="A194" s="1">
        <v>31605</v>
      </c>
      <c r="B194" t="e">
        <f>VLOOKUP(A194,'STOCK DATA'!$A$2:$H$522,2,FALSE)</f>
        <v>#N/A</v>
      </c>
      <c r="C194" t="e">
        <f>VLOOKUP($A194,'STOCK DATA'!$A$2:H$521,3,FALSE)</f>
        <v>#N/A</v>
      </c>
      <c r="D194" t="e">
        <f>VLOOKUP($A194,'STOCK DATA'!$A$2:$H$521,3,FALSE)</f>
        <v>#N/A</v>
      </c>
      <c r="E194" t="e">
        <f>VLOOKUP($A194,'STOCK DATA'!$A$2:$H$521,3,FALSE)</f>
        <v>#N/A</v>
      </c>
      <c r="F194" t="e">
        <f>VLOOKUP($A194,'STOCK DATA'!$A$2:$H$521,3,FALSE)</f>
        <v>#N/A</v>
      </c>
      <c r="G194" t="e">
        <f>VLOOKUP($A194,'STOCK DATA'!$A$2:$H$521,3,FALSE)</f>
        <v>#N/A</v>
      </c>
      <c r="H194" t="e">
        <f>VLOOKUP($A194,'STOCK DATA'!$A$2:$H$521,3,FALSE)</f>
        <v>#N/A</v>
      </c>
      <c r="I194" t="e">
        <f>VLOOKUP(A194,'Short-term interest Rates daily'!$A:$E,2,FALSE)</f>
        <v>#N/A</v>
      </c>
      <c r="J194" t="e">
        <f>VLOOKUP(A194,'Short-term interest Rates daily'!$A:$E,3,FALSE)</f>
        <v>#N/A</v>
      </c>
      <c r="K194" t="e">
        <f>VLOOKUP(A194,'Short-term interest Rates daily'!$A:$E,4,FALSE)</f>
        <v>#N/A</v>
      </c>
      <c r="L194" t="e">
        <f>VLOOKUP(A194,'Short-term interest Rates daily'!$A:$E,5,FALSE)</f>
        <v>#N/A</v>
      </c>
    </row>
    <row r="195" spans="1:12" x14ac:dyDescent="0.3">
      <c r="A195" s="1">
        <v>31606</v>
      </c>
      <c r="B195" t="e">
        <f>VLOOKUP(A195,'STOCK DATA'!$A$2:$H$522,2,FALSE)</f>
        <v>#N/A</v>
      </c>
      <c r="C195" t="e">
        <f>VLOOKUP($A195,'STOCK DATA'!$A$2:H$521,3,FALSE)</f>
        <v>#N/A</v>
      </c>
      <c r="D195" t="e">
        <f>VLOOKUP($A195,'STOCK DATA'!$A$2:$H$521,3,FALSE)</f>
        <v>#N/A</v>
      </c>
      <c r="E195" t="e">
        <f>VLOOKUP($A195,'STOCK DATA'!$A$2:$H$521,3,FALSE)</f>
        <v>#N/A</v>
      </c>
      <c r="F195" t="e">
        <f>VLOOKUP($A195,'STOCK DATA'!$A$2:$H$521,3,FALSE)</f>
        <v>#N/A</v>
      </c>
      <c r="G195" t="e">
        <f>VLOOKUP($A195,'STOCK DATA'!$A$2:$H$521,3,FALSE)</f>
        <v>#N/A</v>
      </c>
      <c r="H195" t="e">
        <f>VLOOKUP($A195,'STOCK DATA'!$A$2:$H$521,3,FALSE)</f>
        <v>#N/A</v>
      </c>
      <c r="I195" t="e">
        <f>VLOOKUP(A195,'Short-term interest Rates daily'!$A:$E,2,FALSE)</f>
        <v>#N/A</v>
      </c>
      <c r="J195" t="e">
        <f>VLOOKUP(A195,'Short-term interest Rates daily'!$A:$E,3,FALSE)</f>
        <v>#N/A</v>
      </c>
      <c r="K195" t="e">
        <f>VLOOKUP(A195,'Short-term interest Rates daily'!$A:$E,4,FALSE)</f>
        <v>#N/A</v>
      </c>
      <c r="L195" t="e">
        <f>VLOOKUP(A195,'Short-term interest Rates daily'!$A:$E,5,FALSE)</f>
        <v>#N/A</v>
      </c>
    </row>
    <row r="196" spans="1:12" x14ac:dyDescent="0.3">
      <c r="A196" s="1">
        <v>31607</v>
      </c>
      <c r="B196">
        <f>VLOOKUP(A196,'STOCK DATA'!$A$2:$H$522,2,FALSE)</f>
        <v>123.89</v>
      </c>
      <c r="C196">
        <f>VLOOKUP($A196,'STOCK DATA'!$A$2:H$521,3,FALSE)</f>
        <v>1137.0999999999999</v>
      </c>
      <c r="D196">
        <f>VLOOKUP($A196,'STOCK DATA'!$A$2:$H$521,3,FALSE)</f>
        <v>1137.0999999999999</v>
      </c>
      <c r="E196">
        <f>VLOOKUP($A196,'STOCK DATA'!$A$2:$H$521,3,FALSE)</f>
        <v>1137.0999999999999</v>
      </c>
      <c r="F196">
        <f>VLOOKUP($A196,'STOCK DATA'!$A$2:$H$521,3,FALSE)</f>
        <v>1137.0999999999999</v>
      </c>
      <c r="G196">
        <f>VLOOKUP($A196,'STOCK DATA'!$A$2:$H$521,3,FALSE)</f>
        <v>1137.0999999999999</v>
      </c>
      <c r="H196">
        <f>VLOOKUP($A196,'STOCK DATA'!$A$2:$H$521,3,FALSE)</f>
        <v>1137.0999999999999</v>
      </c>
      <c r="I196">
        <f>VLOOKUP(A196,'Short-term interest Rates daily'!$A:$E,2,FALSE)</f>
        <v>14.63</v>
      </c>
      <c r="J196">
        <f>VLOOKUP(A196,'Short-term interest Rates daily'!$A:$E,3,FALSE)</f>
        <v>8.1999999999999993</v>
      </c>
      <c r="K196">
        <f>VLOOKUP(A196,'Short-term interest Rates daily'!$A:$E,4,FALSE)</f>
        <v>9.6300000000000008</v>
      </c>
      <c r="L196">
        <f>VLOOKUP(A196,'Short-term interest Rates daily'!$A:$E,5,FALSE)</f>
        <v>5.77</v>
      </c>
    </row>
    <row r="197" spans="1:12" x14ac:dyDescent="0.3">
      <c r="A197" s="1">
        <v>31608</v>
      </c>
      <c r="B197">
        <f>VLOOKUP(A197,'STOCK DATA'!$A$2:$H$522,2,FALSE)</f>
        <v>122.7</v>
      </c>
      <c r="C197">
        <f>VLOOKUP($A197,'STOCK DATA'!$A$2:H$521,3,FALSE)</f>
        <v>1122.2</v>
      </c>
      <c r="D197">
        <f>VLOOKUP($A197,'STOCK DATA'!$A$2:$H$521,3,FALSE)</f>
        <v>1122.2</v>
      </c>
      <c r="E197">
        <f>VLOOKUP($A197,'STOCK DATA'!$A$2:$H$521,3,FALSE)</f>
        <v>1122.2</v>
      </c>
      <c r="F197">
        <f>VLOOKUP($A197,'STOCK DATA'!$A$2:$H$521,3,FALSE)</f>
        <v>1122.2</v>
      </c>
      <c r="G197">
        <f>VLOOKUP($A197,'STOCK DATA'!$A$2:$H$521,3,FALSE)</f>
        <v>1122.2</v>
      </c>
      <c r="H197">
        <f>VLOOKUP($A197,'STOCK DATA'!$A$2:$H$521,3,FALSE)</f>
        <v>1122.2</v>
      </c>
      <c r="I197">
        <f>VLOOKUP(A197,'Short-term interest Rates daily'!$A:$E,2,FALSE)</f>
        <v>14.25</v>
      </c>
      <c r="J197">
        <f>VLOOKUP(A197,'Short-term interest Rates daily'!$A:$E,3,FALSE)</f>
        <v>8.15</v>
      </c>
      <c r="K197">
        <f>VLOOKUP(A197,'Short-term interest Rates daily'!$A:$E,4,FALSE)</f>
        <v>9.69</v>
      </c>
      <c r="L197">
        <f>VLOOKUP(A197,'Short-term interest Rates daily'!$A:$E,5,FALSE)</f>
        <v>5.77</v>
      </c>
    </row>
    <row r="198" spans="1:12" x14ac:dyDescent="0.3">
      <c r="A198" s="1">
        <v>31609</v>
      </c>
      <c r="B198">
        <f>VLOOKUP(A198,'STOCK DATA'!$A$2:$H$522,2,FALSE)</f>
        <v>121.84</v>
      </c>
      <c r="C198">
        <f>VLOOKUP($A198,'STOCK DATA'!$A$2:H$521,3,FALSE)</f>
        <v>1127</v>
      </c>
      <c r="D198">
        <f>VLOOKUP($A198,'STOCK DATA'!$A$2:$H$521,3,FALSE)</f>
        <v>1127</v>
      </c>
      <c r="E198">
        <f>VLOOKUP($A198,'STOCK DATA'!$A$2:$H$521,3,FALSE)</f>
        <v>1127</v>
      </c>
      <c r="F198">
        <f>VLOOKUP($A198,'STOCK DATA'!$A$2:$H$521,3,FALSE)</f>
        <v>1127</v>
      </c>
      <c r="G198">
        <f>VLOOKUP($A198,'STOCK DATA'!$A$2:$H$521,3,FALSE)</f>
        <v>1127</v>
      </c>
      <c r="H198">
        <f>VLOOKUP($A198,'STOCK DATA'!$A$2:$H$521,3,FALSE)</f>
        <v>1127</v>
      </c>
      <c r="I198">
        <f>VLOOKUP(A198,'Short-term interest Rates daily'!$A:$E,2,FALSE)</f>
        <v>14.13</v>
      </c>
      <c r="J198">
        <f>VLOOKUP(A198,'Short-term interest Rates daily'!$A:$E,3,FALSE)</f>
        <v>8.15</v>
      </c>
      <c r="K198">
        <f>VLOOKUP(A198,'Short-term interest Rates daily'!$A:$E,4,FALSE)</f>
        <v>9.65</v>
      </c>
      <c r="L198">
        <f>VLOOKUP(A198,'Short-term interest Rates daily'!$A:$E,5,FALSE)</f>
        <v>5.77</v>
      </c>
    </row>
    <row r="199" spans="1:12" x14ac:dyDescent="0.3">
      <c r="A199" s="1">
        <v>31610</v>
      </c>
      <c r="B199">
        <f>VLOOKUP(A199,'STOCK DATA'!$A$2:$H$522,2,FALSE)</f>
        <v>121.77</v>
      </c>
      <c r="C199">
        <f>VLOOKUP($A199,'STOCK DATA'!$A$2:H$521,3,FALSE)</f>
        <v>1126.9000000000001</v>
      </c>
      <c r="D199">
        <f>VLOOKUP($A199,'STOCK DATA'!$A$2:$H$521,3,FALSE)</f>
        <v>1126.9000000000001</v>
      </c>
      <c r="E199">
        <f>VLOOKUP($A199,'STOCK DATA'!$A$2:$H$521,3,FALSE)</f>
        <v>1126.9000000000001</v>
      </c>
      <c r="F199">
        <f>VLOOKUP($A199,'STOCK DATA'!$A$2:$H$521,3,FALSE)</f>
        <v>1126.9000000000001</v>
      </c>
      <c r="G199">
        <f>VLOOKUP($A199,'STOCK DATA'!$A$2:$H$521,3,FALSE)</f>
        <v>1126.9000000000001</v>
      </c>
      <c r="H199">
        <f>VLOOKUP($A199,'STOCK DATA'!$A$2:$H$521,3,FALSE)</f>
        <v>1126.9000000000001</v>
      </c>
      <c r="I199">
        <f>VLOOKUP(A199,'Short-term interest Rates daily'!$A:$E,2,FALSE)</f>
        <v>14.75</v>
      </c>
      <c r="J199">
        <f>VLOOKUP(A199,'Short-term interest Rates daily'!$A:$E,3,FALSE)</f>
        <v>8.09</v>
      </c>
      <c r="K199">
        <f>VLOOKUP(A199,'Short-term interest Rates daily'!$A:$E,4,FALSE)</f>
        <v>9.61</v>
      </c>
      <c r="L199">
        <f>VLOOKUP(A199,'Short-term interest Rates daily'!$A:$E,5,FALSE)</f>
        <v>5.75</v>
      </c>
    </row>
    <row r="200" spans="1:12" x14ac:dyDescent="0.3">
      <c r="A200" s="1">
        <v>31611</v>
      </c>
      <c r="B200">
        <f>VLOOKUP(A200,'STOCK DATA'!$A$2:$H$522,2,FALSE)</f>
        <v>121.35</v>
      </c>
      <c r="C200">
        <f>VLOOKUP($A200,'STOCK DATA'!$A$2:H$521,3,FALSE)</f>
        <v>1130.4000000000001</v>
      </c>
      <c r="D200">
        <f>VLOOKUP($A200,'STOCK DATA'!$A$2:$H$521,3,FALSE)</f>
        <v>1130.4000000000001</v>
      </c>
      <c r="E200">
        <f>VLOOKUP($A200,'STOCK DATA'!$A$2:$H$521,3,FALSE)</f>
        <v>1130.4000000000001</v>
      </c>
      <c r="F200">
        <f>VLOOKUP($A200,'STOCK DATA'!$A$2:$H$521,3,FALSE)</f>
        <v>1130.4000000000001</v>
      </c>
      <c r="G200">
        <f>VLOOKUP($A200,'STOCK DATA'!$A$2:$H$521,3,FALSE)</f>
        <v>1130.4000000000001</v>
      </c>
      <c r="H200">
        <f>VLOOKUP($A200,'STOCK DATA'!$A$2:$H$521,3,FALSE)</f>
        <v>1130.4000000000001</v>
      </c>
      <c r="I200">
        <f>VLOOKUP(A200,'Short-term interest Rates daily'!$A:$E,2,FALSE)</f>
        <v>14.13</v>
      </c>
      <c r="J200">
        <f>VLOOKUP(A200,'Short-term interest Rates daily'!$A:$E,3,FALSE)</f>
        <v>8.09</v>
      </c>
      <c r="K200">
        <f>VLOOKUP(A200,'Short-term interest Rates daily'!$A:$E,4,FALSE)</f>
        <v>9.65</v>
      </c>
      <c r="L200">
        <f>VLOOKUP(A200,'Short-term interest Rates daily'!$A:$E,5,FALSE)</f>
        <v>5.71</v>
      </c>
    </row>
    <row r="201" spans="1:12" x14ac:dyDescent="0.3">
      <c r="A201" s="1">
        <v>31612</v>
      </c>
      <c r="B201" t="e">
        <f>VLOOKUP(A201,'STOCK DATA'!$A$2:$H$522,2,FALSE)</f>
        <v>#N/A</v>
      </c>
      <c r="C201" t="e">
        <f>VLOOKUP($A201,'STOCK DATA'!$A$2:H$521,3,FALSE)</f>
        <v>#N/A</v>
      </c>
      <c r="D201" t="e">
        <f>VLOOKUP($A201,'STOCK DATA'!$A$2:$H$521,3,FALSE)</f>
        <v>#N/A</v>
      </c>
      <c r="E201" t="e">
        <f>VLOOKUP($A201,'STOCK DATA'!$A$2:$H$521,3,FALSE)</f>
        <v>#N/A</v>
      </c>
      <c r="F201" t="e">
        <f>VLOOKUP($A201,'STOCK DATA'!$A$2:$H$521,3,FALSE)</f>
        <v>#N/A</v>
      </c>
      <c r="G201" t="e">
        <f>VLOOKUP($A201,'STOCK DATA'!$A$2:$H$521,3,FALSE)</f>
        <v>#N/A</v>
      </c>
      <c r="H201" t="e">
        <f>VLOOKUP($A201,'STOCK DATA'!$A$2:$H$521,3,FALSE)</f>
        <v>#N/A</v>
      </c>
      <c r="I201" t="e">
        <f>VLOOKUP(A201,'Short-term interest Rates daily'!$A:$E,2,FALSE)</f>
        <v>#N/A</v>
      </c>
      <c r="J201" t="e">
        <f>VLOOKUP(A201,'Short-term interest Rates daily'!$A:$E,3,FALSE)</f>
        <v>#N/A</v>
      </c>
      <c r="K201" t="e">
        <f>VLOOKUP(A201,'Short-term interest Rates daily'!$A:$E,4,FALSE)</f>
        <v>#N/A</v>
      </c>
      <c r="L201" t="e">
        <f>VLOOKUP(A201,'Short-term interest Rates daily'!$A:$E,5,FALSE)</f>
        <v>#N/A</v>
      </c>
    </row>
    <row r="202" spans="1:12" x14ac:dyDescent="0.3">
      <c r="A202" s="1">
        <v>31613</v>
      </c>
      <c r="B202" t="e">
        <f>VLOOKUP(A202,'STOCK DATA'!$A$2:$H$522,2,FALSE)</f>
        <v>#N/A</v>
      </c>
      <c r="C202" t="e">
        <f>VLOOKUP($A202,'STOCK DATA'!$A$2:H$521,3,FALSE)</f>
        <v>#N/A</v>
      </c>
      <c r="D202" t="e">
        <f>VLOOKUP($A202,'STOCK DATA'!$A$2:$H$521,3,FALSE)</f>
        <v>#N/A</v>
      </c>
      <c r="E202" t="e">
        <f>VLOOKUP($A202,'STOCK DATA'!$A$2:$H$521,3,FALSE)</f>
        <v>#N/A</v>
      </c>
      <c r="F202" t="e">
        <f>VLOOKUP($A202,'STOCK DATA'!$A$2:$H$521,3,FALSE)</f>
        <v>#N/A</v>
      </c>
      <c r="G202" t="e">
        <f>VLOOKUP($A202,'STOCK DATA'!$A$2:$H$521,3,FALSE)</f>
        <v>#N/A</v>
      </c>
      <c r="H202" t="e">
        <f>VLOOKUP($A202,'STOCK DATA'!$A$2:$H$521,3,FALSE)</f>
        <v>#N/A</v>
      </c>
      <c r="I202" t="e">
        <f>VLOOKUP(A202,'Short-term interest Rates daily'!$A:$E,2,FALSE)</f>
        <v>#N/A</v>
      </c>
      <c r="J202" t="e">
        <f>VLOOKUP(A202,'Short-term interest Rates daily'!$A:$E,3,FALSE)</f>
        <v>#N/A</v>
      </c>
      <c r="K202" t="e">
        <f>VLOOKUP(A202,'Short-term interest Rates daily'!$A:$E,4,FALSE)</f>
        <v>#N/A</v>
      </c>
      <c r="L202" t="e">
        <f>VLOOKUP(A202,'Short-term interest Rates daily'!$A:$E,5,FALSE)</f>
        <v>#N/A</v>
      </c>
    </row>
    <row r="203" spans="1:12" x14ac:dyDescent="0.3">
      <c r="A203" s="1">
        <v>31614</v>
      </c>
      <c r="B203">
        <f>VLOOKUP(A203,'STOCK DATA'!$A$2:$H$522,2,FALSE)</f>
        <v>119.83</v>
      </c>
      <c r="C203">
        <f>VLOOKUP($A203,'STOCK DATA'!$A$2:H$521,3,FALSE)</f>
        <v>1135.4000000000001</v>
      </c>
      <c r="D203">
        <f>VLOOKUP($A203,'STOCK DATA'!$A$2:$H$521,3,FALSE)</f>
        <v>1135.4000000000001</v>
      </c>
      <c r="E203">
        <f>VLOOKUP($A203,'STOCK DATA'!$A$2:$H$521,3,FALSE)</f>
        <v>1135.4000000000001</v>
      </c>
      <c r="F203">
        <f>VLOOKUP($A203,'STOCK DATA'!$A$2:$H$521,3,FALSE)</f>
        <v>1135.4000000000001</v>
      </c>
      <c r="G203">
        <f>VLOOKUP($A203,'STOCK DATA'!$A$2:$H$521,3,FALSE)</f>
        <v>1135.4000000000001</v>
      </c>
      <c r="H203">
        <f>VLOOKUP($A203,'STOCK DATA'!$A$2:$H$521,3,FALSE)</f>
        <v>1135.4000000000001</v>
      </c>
      <c r="I203">
        <f>VLOOKUP(A203,'Short-term interest Rates daily'!$A:$E,2,FALSE)</f>
        <v>14</v>
      </c>
      <c r="J203">
        <f>VLOOKUP(A203,'Short-term interest Rates daily'!$A:$E,3,FALSE)</f>
        <v>8.08</v>
      </c>
      <c r="K203">
        <f>VLOOKUP(A203,'Short-term interest Rates daily'!$A:$E,4,FALSE)</f>
        <v>9.68</v>
      </c>
      <c r="L203">
        <f>VLOOKUP(A203,'Short-term interest Rates daily'!$A:$E,5,FALSE)</f>
        <v>5.72</v>
      </c>
    </row>
    <row r="204" spans="1:12" x14ac:dyDescent="0.3">
      <c r="A204" s="1">
        <v>31615</v>
      </c>
      <c r="B204">
        <f>VLOOKUP(A204,'STOCK DATA'!$A$2:$H$522,2,FALSE)</f>
        <v>118.71</v>
      </c>
      <c r="C204">
        <f>VLOOKUP($A204,'STOCK DATA'!$A$2:H$521,3,FALSE)</f>
        <v>1136.8</v>
      </c>
      <c r="D204">
        <f>VLOOKUP($A204,'STOCK DATA'!$A$2:$H$521,3,FALSE)</f>
        <v>1136.8</v>
      </c>
      <c r="E204">
        <f>VLOOKUP($A204,'STOCK DATA'!$A$2:$H$521,3,FALSE)</f>
        <v>1136.8</v>
      </c>
      <c r="F204">
        <f>VLOOKUP($A204,'STOCK DATA'!$A$2:$H$521,3,FALSE)</f>
        <v>1136.8</v>
      </c>
      <c r="G204">
        <f>VLOOKUP($A204,'STOCK DATA'!$A$2:$H$521,3,FALSE)</f>
        <v>1136.8</v>
      </c>
      <c r="H204">
        <f>VLOOKUP($A204,'STOCK DATA'!$A$2:$H$521,3,FALSE)</f>
        <v>1136.8</v>
      </c>
      <c r="I204">
        <f>VLOOKUP(A204,'Short-term interest Rates daily'!$A:$E,2,FALSE)</f>
        <v>13.63</v>
      </c>
      <c r="J204">
        <f>VLOOKUP(A204,'Short-term interest Rates daily'!$A:$E,3,FALSE)</f>
        <v>8.1199999999999992</v>
      </c>
      <c r="K204">
        <f>VLOOKUP(A204,'Short-term interest Rates daily'!$A:$E,4,FALSE)</f>
        <v>9.69</v>
      </c>
      <c r="L204">
        <f>VLOOKUP(A204,'Short-term interest Rates daily'!$A:$E,5,FALSE)</f>
        <v>5.73</v>
      </c>
    </row>
    <row r="205" spans="1:12" x14ac:dyDescent="0.3">
      <c r="A205" s="1">
        <v>31616</v>
      </c>
      <c r="B205">
        <f>VLOOKUP(A205,'STOCK DATA'!$A$2:$H$522,2,FALSE)</f>
        <v>119.08</v>
      </c>
      <c r="C205">
        <f>VLOOKUP($A205,'STOCK DATA'!$A$2:H$521,3,FALSE)</f>
        <v>1137.7</v>
      </c>
      <c r="D205">
        <f>VLOOKUP($A205,'STOCK DATA'!$A$2:$H$521,3,FALSE)</f>
        <v>1137.7</v>
      </c>
      <c r="E205">
        <f>VLOOKUP($A205,'STOCK DATA'!$A$2:$H$521,3,FALSE)</f>
        <v>1137.7</v>
      </c>
      <c r="F205">
        <f>VLOOKUP($A205,'STOCK DATA'!$A$2:$H$521,3,FALSE)</f>
        <v>1137.7</v>
      </c>
      <c r="G205">
        <f>VLOOKUP($A205,'STOCK DATA'!$A$2:$H$521,3,FALSE)</f>
        <v>1137.7</v>
      </c>
      <c r="H205">
        <f>VLOOKUP($A205,'STOCK DATA'!$A$2:$H$521,3,FALSE)</f>
        <v>1137.7</v>
      </c>
      <c r="I205">
        <f>VLOOKUP(A205,'Short-term interest Rates daily'!$A:$E,2,FALSE)</f>
        <v>14.13</v>
      </c>
      <c r="J205">
        <f>VLOOKUP(A205,'Short-term interest Rates daily'!$A:$E,3,FALSE)</f>
        <v>8.23</v>
      </c>
      <c r="K205">
        <f>VLOOKUP(A205,'Short-term interest Rates daily'!$A:$E,4,FALSE)</f>
        <v>9.68</v>
      </c>
      <c r="L205">
        <f>VLOOKUP(A205,'Short-term interest Rates daily'!$A:$E,5,FALSE)</f>
        <v>5.81</v>
      </c>
    </row>
    <row r="206" spans="1:12" x14ac:dyDescent="0.3">
      <c r="A206" s="1">
        <v>31617</v>
      </c>
      <c r="B206">
        <f>VLOOKUP(A206,'STOCK DATA'!$A$2:$H$522,2,FALSE)</f>
        <v>118.29</v>
      </c>
      <c r="C206">
        <f>VLOOKUP($A206,'STOCK DATA'!$A$2:H$521,3,FALSE)</f>
        <v>1128.2</v>
      </c>
      <c r="D206">
        <f>VLOOKUP($A206,'STOCK DATA'!$A$2:$H$521,3,FALSE)</f>
        <v>1128.2</v>
      </c>
      <c r="E206">
        <f>VLOOKUP($A206,'STOCK DATA'!$A$2:$H$521,3,FALSE)</f>
        <v>1128.2</v>
      </c>
      <c r="F206">
        <f>VLOOKUP($A206,'STOCK DATA'!$A$2:$H$521,3,FALSE)</f>
        <v>1128.2</v>
      </c>
      <c r="G206">
        <f>VLOOKUP($A206,'STOCK DATA'!$A$2:$H$521,3,FALSE)</f>
        <v>1128.2</v>
      </c>
      <c r="H206">
        <f>VLOOKUP($A206,'STOCK DATA'!$A$2:$H$521,3,FALSE)</f>
        <v>1128.2</v>
      </c>
      <c r="I206">
        <f>VLOOKUP(A206,'Short-term interest Rates daily'!$A:$E,2,FALSE)</f>
        <v>14.63</v>
      </c>
      <c r="J206">
        <f>VLOOKUP(A206,'Short-term interest Rates daily'!$A:$E,3,FALSE)</f>
        <v>8.44</v>
      </c>
      <c r="K206">
        <f>VLOOKUP(A206,'Short-term interest Rates daily'!$A:$E,4,FALSE)</f>
        <v>9.65</v>
      </c>
      <c r="L206">
        <f>VLOOKUP(A206,'Short-term interest Rates daily'!$A:$E,5,FALSE)</f>
        <v>5.81</v>
      </c>
    </row>
    <row r="207" spans="1:12" x14ac:dyDescent="0.3">
      <c r="A207" s="1">
        <v>31618</v>
      </c>
      <c r="B207">
        <f>VLOOKUP(A207,'STOCK DATA'!$A$2:$H$522,2,FALSE)</f>
        <v>118.61</v>
      </c>
      <c r="C207">
        <f>VLOOKUP($A207,'STOCK DATA'!$A$2:H$521,3,FALSE)</f>
        <v>1118.8</v>
      </c>
      <c r="D207">
        <f>VLOOKUP($A207,'STOCK DATA'!$A$2:$H$521,3,FALSE)</f>
        <v>1118.8</v>
      </c>
      <c r="E207">
        <f>VLOOKUP($A207,'STOCK DATA'!$A$2:$H$521,3,FALSE)</f>
        <v>1118.8</v>
      </c>
      <c r="F207">
        <f>VLOOKUP($A207,'STOCK DATA'!$A$2:$H$521,3,FALSE)</f>
        <v>1118.8</v>
      </c>
      <c r="G207">
        <f>VLOOKUP($A207,'STOCK DATA'!$A$2:$H$521,3,FALSE)</f>
        <v>1118.8</v>
      </c>
      <c r="H207">
        <f>VLOOKUP($A207,'STOCK DATA'!$A$2:$H$521,3,FALSE)</f>
        <v>1118.8</v>
      </c>
      <c r="I207">
        <f>VLOOKUP(A207,'Short-term interest Rates daily'!$A:$E,2,FALSE)</f>
        <v>14.25</v>
      </c>
      <c r="J207">
        <f>VLOOKUP(A207,'Short-term interest Rates daily'!$A:$E,3,FALSE)</f>
        <v>8.49</v>
      </c>
      <c r="K207">
        <f>VLOOKUP(A207,'Short-term interest Rates daily'!$A:$E,4,FALSE)</f>
        <v>9.61</v>
      </c>
      <c r="L207">
        <f>VLOOKUP(A207,'Short-term interest Rates daily'!$A:$E,5,FALSE)</f>
        <v>5.81</v>
      </c>
    </row>
    <row r="208" spans="1:12" x14ac:dyDescent="0.3">
      <c r="A208" s="1">
        <v>31619</v>
      </c>
      <c r="B208" t="e">
        <f>VLOOKUP(A208,'STOCK DATA'!$A$2:$H$522,2,FALSE)</f>
        <v>#N/A</v>
      </c>
      <c r="C208" t="e">
        <f>VLOOKUP($A208,'STOCK DATA'!$A$2:H$521,3,FALSE)</f>
        <v>#N/A</v>
      </c>
      <c r="D208" t="e">
        <f>VLOOKUP($A208,'STOCK DATA'!$A$2:$H$521,3,FALSE)</f>
        <v>#N/A</v>
      </c>
      <c r="E208" t="e">
        <f>VLOOKUP($A208,'STOCK DATA'!$A$2:$H$521,3,FALSE)</f>
        <v>#N/A</v>
      </c>
      <c r="F208" t="e">
        <f>VLOOKUP($A208,'STOCK DATA'!$A$2:$H$521,3,FALSE)</f>
        <v>#N/A</v>
      </c>
      <c r="G208" t="e">
        <f>VLOOKUP($A208,'STOCK DATA'!$A$2:$H$521,3,FALSE)</f>
        <v>#N/A</v>
      </c>
      <c r="H208" t="e">
        <f>VLOOKUP($A208,'STOCK DATA'!$A$2:$H$521,3,FALSE)</f>
        <v>#N/A</v>
      </c>
      <c r="I208" t="e">
        <f>VLOOKUP(A208,'Short-term interest Rates daily'!$A:$E,2,FALSE)</f>
        <v>#N/A</v>
      </c>
      <c r="J208" t="e">
        <f>VLOOKUP(A208,'Short-term interest Rates daily'!$A:$E,3,FALSE)</f>
        <v>#N/A</v>
      </c>
      <c r="K208" t="e">
        <f>VLOOKUP(A208,'Short-term interest Rates daily'!$A:$E,4,FALSE)</f>
        <v>#N/A</v>
      </c>
      <c r="L208" t="e">
        <f>VLOOKUP(A208,'Short-term interest Rates daily'!$A:$E,5,FALSE)</f>
        <v>#N/A</v>
      </c>
    </row>
    <row r="209" spans="1:12" x14ac:dyDescent="0.3">
      <c r="A209" s="1">
        <v>31620</v>
      </c>
      <c r="B209" t="e">
        <f>VLOOKUP(A209,'STOCK DATA'!$A$2:$H$522,2,FALSE)</f>
        <v>#N/A</v>
      </c>
      <c r="C209" t="e">
        <f>VLOOKUP($A209,'STOCK DATA'!$A$2:H$521,3,FALSE)</f>
        <v>#N/A</v>
      </c>
      <c r="D209" t="e">
        <f>VLOOKUP($A209,'STOCK DATA'!$A$2:$H$521,3,FALSE)</f>
        <v>#N/A</v>
      </c>
      <c r="E209" t="e">
        <f>VLOOKUP($A209,'STOCK DATA'!$A$2:$H$521,3,FALSE)</f>
        <v>#N/A</v>
      </c>
      <c r="F209" t="e">
        <f>VLOOKUP($A209,'STOCK DATA'!$A$2:$H$521,3,FALSE)</f>
        <v>#N/A</v>
      </c>
      <c r="G209" t="e">
        <f>VLOOKUP($A209,'STOCK DATA'!$A$2:$H$521,3,FALSE)</f>
        <v>#N/A</v>
      </c>
      <c r="H209" t="e">
        <f>VLOOKUP($A209,'STOCK DATA'!$A$2:$H$521,3,FALSE)</f>
        <v>#N/A</v>
      </c>
      <c r="I209" t="e">
        <f>VLOOKUP(A209,'Short-term interest Rates daily'!$A:$E,2,FALSE)</f>
        <v>#N/A</v>
      </c>
      <c r="J209" t="e">
        <f>VLOOKUP(A209,'Short-term interest Rates daily'!$A:$E,3,FALSE)</f>
        <v>#N/A</v>
      </c>
      <c r="K209" t="e">
        <f>VLOOKUP(A209,'Short-term interest Rates daily'!$A:$E,4,FALSE)</f>
        <v>#N/A</v>
      </c>
      <c r="L209" t="e">
        <f>VLOOKUP(A209,'Short-term interest Rates daily'!$A:$E,5,FALSE)</f>
        <v>#N/A</v>
      </c>
    </row>
    <row r="210" spans="1:12" x14ac:dyDescent="0.3">
      <c r="A210" s="1">
        <v>31621</v>
      </c>
      <c r="B210">
        <f>VLOOKUP(A210,'STOCK DATA'!$A$2:$H$522,2,FALSE)</f>
        <v>118.98</v>
      </c>
      <c r="C210">
        <f>VLOOKUP($A210,'STOCK DATA'!$A$2:H$521,3,FALSE)</f>
        <v>1094.7</v>
      </c>
      <c r="D210">
        <f>VLOOKUP($A210,'STOCK DATA'!$A$2:$H$521,3,FALSE)</f>
        <v>1094.7</v>
      </c>
      <c r="E210">
        <f>VLOOKUP($A210,'STOCK DATA'!$A$2:$H$521,3,FALSE)</f>
        <v>1094.7</v>
      </c>
      <c r="F210">
        <f>VLOOKUP($A210,'STOCK DATA'!$A$2:$H$521,3,FALSE)</f>
        <v>1094.7</v>
      </c>
      <c r="G210">
        <f>VLOOKUP($A210,'STOCK DATA'!$A$2:$H$521,3,FALSE)</f>
        <v>1094.7</v>
      </c>
      <c r="H210">
        <f>VLOOKUP($A210,'STOCK DATA'!$A$2:$H$521,3,FALSE)</f>
        <v>1094.7</v>
      </c>
      <c r="I210">
        <f>VLOOKUP(A210,'Short-term interest Rates daily'!$A:$E,2,FALSE)</f>
        <v>14.88</v>
      </c>
      <c r="J210">
        <f>VLOOKUP(A210,'Short-term interest Rates daily'!$A:$E,3,FALSE)</f>
        <v>8.69</v>
      </c>
      <c r="K210">
        <f>VLOOKUP(A210,'Short-term interest Rates daily'!$A:$E,4,FALSE)</f>
        <v>9.68</v>
      </c>
      <c r="L210">
        <f>VLOOKUP(A210,'Short-term interest Rates daily'!$A:$E,5,FALSE)</f>
        <v>5.89</v>
      </c>
    </row>
    <row r="211" spans="1:12" x14ac:dyDescent="0.3">
      <c r="A211" s="1">
        <v>31622</v>
      </c>
      <c r="B211">
        <f>VLOOKUP(A211,'STOCK DATA'!$A$2:$H$522,2,FALSE)</f>
        <v>117.69</v>
      </c>
      <c r="C211">
        <f>VLOOKUP($A211,'STOCK DATA'!$A$2:H$521,3,FALSE)</f>
        <v>1105.0999999999999</v>
      </c>
      <c r="D211">
        <f>VLOOKUP($A211,'STOCK DATA'!$A$2:$H$521,3,FALSE)</f>
        <v>1105.0999999999999</v>
      </c>
      <c r="E211">
        <f>VLOOKUP($A211,'STOCK DATA'!$A$2:$H$521,3,FALSE)</f>
        <v>1105.0999999999999</v>
      </c>
      <c r="F211">
        <f>VLOOKUP($A211,'STOCK DATA'!$A$2:$H$521,3,FALSE)</f>
        <v>1105.0999999999999</v>
      </c>
      <c r="G211">
        <f>VLOOKUP($A211,'STOCK DATA'!$A$2:$H$521,3,FALSE)</f>
        <v>1105.0999999999999</v>
      </c>
      <c r="H211">
        <f>VLOOKUP($A211,'STOCK DATA'!$A$2:$H$521,3,FALSE)</f>
        <v>1105.0999999999999</v>
      </c>
      <c r="I211">
        <f>VLOOKUP(A211,'Short-term interest Rates daily'!$A:$E,2,FALSE)</f>
        <v>14.63</v>
      </c>
      <c r="J211">
        <f>VLOOKUP(A211,'Short-term interest Rates daily'!$A:$E,3,FALSE)</f>
        <v>8.52</v>
      </c>
      <c r="K211">
        <f>VLOOKUP(A211,'Short-term interest Rates daily'!$A:$E,4,FALSE)</f>
        <v>9.66</v>
      </c>
      <c r="L211">
        <f>VLOOKUP(A211,'Short-term interest Rates daily'!$A:$E,5,FALSE)</f>
        <v>5.86</v>
      </c>
    </row>
    <row r="212" spans="1:12" x14ac:dyDescent="0.3">
      <c r="A212" s="1">
        <v>31623</v>
      </c>
      <c r="B212">
        <f>VLOOKUP(A212,'STOCK DATA'!$A$2:$H$522,2,FALSE)</f>
        <v>118.72</v>
      </c>
      <c r="C212">
        <f>VLOOKUP($A212,'STOCK DATA'!$A$2:H$521,3,FALSE)</f>
        <v>1108.7</v>
      </c>
      <c r="D212">
        <f>VLOOKUP($A212,'STOCK DATA'!$A$2:$H$521,3,FALSE)</f>
        <v>1108.7</v>
      </c>
      <c r="E212">
        <f>VLOOKUP($A212,'STOCK DATA'!$A$2:$H$521,3,FALSE)</f>
        <v>1108.7</v>
      </c>
      <c r="F212">
        <f>VLOOKUP($A212,'STOCK DATA'!$A$2:$H$521,3,FALSE)</f>
        <v>1108.7</v>
      </c>
      <c r="G212">
        <f>VLOOKUP($A212,'STOCK DATA'!$A$2:$H$521,3,FALSE)</f>
        <v>1108.7</v>
      </c>
      <c r="H212">
        <f>VLOOKUP($A212,'STOCK DATA'!$A$2:$H$521,3,FALSE)</f>
        <v>1108.7</v>
      </c>
      <c r="I212">
        <f>VLOOKUP(A212,'Short-term interest Rates daily'!$A:$E,2,FALSE)</f>
        <v>15.38</v>
      </c>
      <c r="J212">
        <f>VLOOKUP(A212,'Short-term interest Rates daily'!$A:$E,3,FALSE)</f>
        <v>8.3800000000000008</v>
      </c>
      <c r="K212">
        <f>VLOOKUP(A212,'Short-term interest Rates daily'!$A:$E,4,FALSE)</f>
        <v>9.64</v>
      </c>
      <c r="L212">
        <f>VLOOKUP(A212,'Short-term interest Rates daily'!$A:$E,5,FALSE)</f>
        <v>5.85</v>
      </c>
    </row>
    <row r="213" spans="1:12" x14ac:dyDescent="0.3">
      <c r="A213" s="1">
        <v>31624</v>
      </c>
      <c r="B213">
        <f>VLOOKUP(A213,'STOCK DATA'!$A$2:$H$522,2,FALSE)</f>
        <v>119.01</v>
      </c>
      <c r="C213">
        <f>VLOOKUP($A213,'STOCK DATA'!$A$2:H$521,3,FALSE)</f>
        <v>1123.5</v>
      </c>
      <c r="D213">
        <f>VLOOKUP($A213,'STOCK DATA'!$A$2:$H$521,3,FALSE)</f>
        <v>1123.5</v>
      </c>
      <c r="E213">
        <f>VLOOKUP($A213,'STOCK DATA'!$A$2:$H$521,3,FALSE)</f>
        <v>1123.5</v>
      </c>
      <c r="F213">
        <f>VLOOKUP($A213,'STOCK DATA'!$A$2:$H$521,3,FALSE)</f>
        <v>1123.5</v>
      </c>
      <c r="G213">
        <f>VLOOKUP($A213,'STOCK DATA'!$A$2:$H$521,3,FALSE)</f>
        <v>1123.5</v>
      </c>
      <c r="H213">
        <f>VLOOKUP($A213,'STOCK DATA'!$A$2:$H$521,3,FALSE)</f>
        <v>1123.5</v>
      </c>
      <c r="I213">
        <f>VLOOKUP(A213,'Short-term interest Rates daily'!$A:$E,2,FALSE)</f>
        <v>15.25</v>
      </c>
      <c r="J213">
        <f>VLOOKUP(A213,'Short-term interest Rates daily'!$A:$E,3,FALSE)</f>
        <v>8.31</v>
      </c>
      <c r="K213">
        <f>VLOOKUP(A213,'Short-term interest Rates daily'!$A:$E,4,FALSE)</f>
        <v>9.61</v>
      </c>
      <c r="L213">
        <f>VLOOKUP(A213,'Short-term interest Rates daily'!$A:$E,5,FALSE)</f>
        <v>5.79</v>
      </c>
    </row>
    <row r="214" spans="1:12" x14ac:dyDescent="0.3">
      <c r="A214" s="1">
        <v>31625</v>
      </c>
      <c r="B214">
        <f>VLOOKUP(A214,'STOCK DATA'!$A$2:$H$522,2,FALSE)</f>
        <v>120.13</v>
      </c>
      <c r="C214">
        <f>VLOOKUP($A214,'STOCK DATA'!$A$2:H$521,3,FALSE)</f>
        <v>1124.9000000000001</v>
      </c>
      <c r="D214">
        <f>VLOOKUP($A214,'STOCK DATA'!$A$2:$H$521,3,FALSE)</f>
        <v>1124.9000000000001</v>
      </c>
      <c r="E214">
        <f>VLOOKUP($A214,'STOCK DATA'!$A$2:$H$521,3,FALSE)</f>
        <v>1124.9000000000001</v>
      </c>
      <c r="F214">
        <f>VLOOKUP($A214,'STOCK DATA'!$A$2:$H$521,3,FALSE)</f>
        <v>1124.9000000000001</v>
      </c>
      <c r="G214">
        <f>VLOOKUP($A214,'STOCK DATA'!$A$2:$H$521,3,FALSE)</f>
        <v>1124.9000000000001</v>
      </c>
      <c r="H214">
        <f>VLOOKUP($A214,'STOCK DATA'!$A$2:$H$521,3,FALSE)</f>
        <v>1124.9000000000001</v>
      </c>
      <c r="I214">
        <f>VLOOKUP(A214,'Short-term interest Rates daily'!$A:$E,2,FALSE)</f>
        <v>16.25</v>
      </c>
      <c r="J214">
        <f>VLOOKUP(A214,'Short-term interest Rates daily'!$A:$E,3,FALSE)</f>
        <v>8.3699999999999992</v>
      </c>
      <c r="K214">
        <f>VLOOKUP(A214,'Short-term interest Rates daily'!$A:$E,4,FALSE)</f>
        <v>9.61</v>
      </c>
      <c r="L214">
        <f>VLOOKUP(A214,'Short-term interest Rates daily'!$A:$E,5,FALSE)</f>
        <v>5.77</v>
      </c>
    </row>
    <row r="215" spans="1:12" x14ac:dyDescent="0.3">
      <c r="A215" s="1">
        <v>31626</v>
      </c>
      <c r="B215" t="e">
        <f>VLOOKUP(A215,'STOCK DATA'!$A$2:$H$522,2,FALSE)</f>
        <v>#N/A</v>
      </c>
      <c r="C215" t="e">
        <f>VLOOKUP($A215,'STOCK DATA'!$A$2:H$521,3,FALSE)</f>
        <v>#N/A</v>
      </c>
      <c r="D215" t="e">
        <f>VLOOKUP($A215,'STOCK DATA'!$A$2:$H$521,3,FALSE)</f>
        <v>#N/A</v>
      </c>
      <c r="E215" t="e">
        <f>VLOOKUP($A215,'STOCK DATA'!$A$2:$H$521,3,FALSE)</f>
        <v>#N/A</v>
      </c>
      <c r="F215" t="e">
        <f>VLOOKUP($A215,'STOCK DATA'!$A$2:$H$521,3,FALSE)</f>
        <v>#N/A</v>
      </c>
      <c r="G215" t="e">
        <f>VLOOKUP($A215,'STOCK DATA'!$A$2:$H$521,3,FALSE)</f>
        <v>#N/A</v>
      </c>
      <c r="H215" t="e">
        <f>VLOOKUP($A215,'STOCK DATA'!$A$2:$H$521,3,FALSE)</f>
        <v>#N/A</v>
      </c>
      <c r="I215" t="e">
        <f>VLOOKUP(A215,'Short-term interest Rates daily'!$A:$E,2,FALSE)</f>
        <v>#N/A</v>
      </c>
      <c r="J215" t="e">
        <f>VLOOKUP(A215,'Short-term interest Rates daily'!$A:$E,3,FALSE)</f>
        <v>#N/A</v>
      </c>
      <c r="K215" t="e">
        <f>VLOOKUP(A215,'Short-term interest Rates daily'!$A:$E,4,FALSE)</f>
        <v>#N/A</v>
      </c>
      <c r="L215" t="e">
        <f>VLOOKUP(A215,'Short-term interest Rates daily'!$A:$E,5,FALSE)</f>
        <v>#N/A</v>
      </c>
    </row>
    <row r="216" spans="1:12" x14ac:dyDescent="0.3">
      <c r="A216" s="1">
        <v>31627</v>
      </c>
      <c r="B216" t="e">
        <f>VLOOKUP(A216,'STOCK DATA'!$A$2:$H$522,2,FALSE)</f>
        <v>#N/A</v>
      </c>
      <c r="C216" t="e">
        <f>VLOOKUP($A216,'STOCK DATA'!$A$2:H$521,3,FALSE)</f>
        <v>#N/A</v>
      </c>
      <c r="D216" t="e">
        <f>VLOOKUP($A216,'STOCK DATA'!$A$2:$H$521,3,FALSE)</f>
        <v>#N/A</v>
      </c>
      <c r="E216" t="e">
        <f>VLOOKUP($A216,'STOCK DATA'!$A$2:$H$521,3,FALSE)</f>
        <v>#N/A</v>
      </c>
      <c r="F216" t="e">
        <f>VLOOKUP($A216,'STOCK DATA'!$A$2:$H$521,3,FALSE)</f>
        <v>#N/A</v>
      </c>
      <c r="G216" t="e">
        <f>VLOOKUP($A216,'STOCK DATA'!$A$2:$H$521,3,FALSE)</f>
        <v>#N/A</v>
      </c>
      <c r="H216" t="e">
        <f>VLOOKUP($A216,'STOCK DATA'!$A$2:$H$521,3,FALSE)</f>
        <v>#N/A</v>
      </c>
      <c r="I216" t="e">
        <f>VLOOKUP(A216,'Short-term interest Rates daily'!$A:$E,2,FALSE)</f>
        <v>#N/A</v>
      </c>
      <c r="J216" t="e">
        <f>VLOOKUP(A216,'Short-term interest Rates daily'!$A:$E,3,FALSE)</f>
        <v>#N/A</v>
      </c>
      <c r="K216" t="e">
        <f>VLOOKUP(A216,'Short-term interest Rates daily'!$A:$E,4,FALSE)</f>
        <v>#N/A</v>
      </c>
      <c r="L216" t="e">
        <f>VLOOKUP(A216,'Short-term interest Rates daily'!$A:$E,5,FALSE)</f>
        <v>#N/A</v>
      </c>
    </row>
    <row r="217" spans="1:12" x14ac:dyDescent="0.3">
      <c r="A217" s="1">
        <v>31628</v>
      </c>
      <c r="B217">
        <f>VLOOKUP(A217,'STOCK DATA'!$A$2:$H$522,2,FALSE)</f>
        <v>120.54</v>
      </c>
      <c r="C217">
        <f>VLOOKUP($A217,'STOCK DATA'!$A$2:H$521,3,FALSE)</f>
        <v>1120.2</v>
      </c>
      <c r="D217">
        <f>VLOOKUP($A217,'STOCK DATA'!$A$2:$H$521,3,FALSE)</f>
        <v>1120.2</v>
      </c>
      <c r="E217">
        <f>VLOOKUP($A217,'STOCK DATA'!$A$2:$H$521,3,FALSE)</f>
        <v>1120.2</v>
      </c>
      <c r="F217">
        <f>VLOOKUP($A217,'STOCK DATA'!$A$2:$H$521,3,FALSE)</f>
        <v>1120.2</v>
      </c>
      <c r="G217">
        <f>VLOOKUP($A217,'STOCK DATA'!$A$2:$H$521,3,FALSE)</f>
        <v>1120.2</v>
      </c>
      <c r="H217">
        <f>VLOOKUP($A217,'STOCK DATA'!$A$2:$H$521,3,FALSE)</f>
        <v>1120.2</v>
      </c>
      <c r="I217">
        <f>VLOOKUP(A217,'Short-term interest Rates daily'!$A:$E,2,FALSE)</f>
        <v>15.5</v>
      </c>
      <c r="J217">
        <f>VLOOKUP(A217,'Short-term interest Rates daily'!$A:$E,3,FALSE)</f>
        <v>0</v>
      </c>
      <c r="K217">
        <f>VLOOKUP(A217,'Short-term interest Rates daily'!$A:$E,4,FALSE)</f>
        <v>9.6199999999999992</v>
      </c>
      <c r="L217">
        <f>VLOOKUP(A217,'Short-term interest Rates daily'!$A:$E,5,FALSE)</f>
        <v>5.71</v>
      </c>
    </row>
    <row r="218" spans="1:12" x14ac:dyDescent="0.3">
      <c r="A218" s="1">
        <v>31629</v>
      </c>
      <c r="B218">
        <f>VLOOKUP(A218,'STOCK DATA'!$A$2:$H$522,2,FALSE)</f>
        <v>121.52</v>
      </c>
      <c r="C218">
        <f>VLOOKUP($A218,'STOCK DATA'!$A$2:H$521,3,FALSE)</f>
        <v>1127.2</v>
      </c>
      <c r="D218">
        <f>VLOOKUP($A218,'STOCK DATA'!$A$2:$H$521,3,FALSE)</f>
        <v>1127.2</v>
      </c>
      <c r="E218">
        <f>VLOOKUP($A218,'STOCK DATA'!$A$2:$H$521,3,FALSE)</f>
        <v>1127.2</v>
      </c>
      <c r="F218">
        <f>VLOOKUP($A218,'STOCK DATA'!$A$2:$H$521,3,FALSE)</f>
        <v>1127.2</v>
      </c>
      <c r="G218">
        <f>VLOOKUP($A218,'STOCK DATA'!$A$2:$H$521,3,FALSE)</f>
        <v>1127.2</v>
      </c>
      <c r="H218">
        <f>VLOOKUP($A218,'STOCK DATA'!$A$2:$H$521,3,FALSE)</f>
        <v>1127.2</v>
      </c>
      <c r="I218">
        <f>VLOOKUP(A218,'Short-term interest Rates daily'!$A:$E,2,FALSE)</f>
        <v>16.88</v>
      </c>
      <c r="J218">
        <f>VLOOKUP(A218,'Short-term interest Rates daily'!$A:$E,3,FALSE)</f>
        <v>8.3800000000000008</v>
      </c>
      <c r="K218">
        <f>VLOOKUP(A218,'Short-term interest Rates daily'!$A:$E,4,FALSE)</f>
        <v>9.61</v>
      </c>
      <c r="L218">
        <f>VLOOKUP(A218,'Short-term interest Rates daily'!$A:$E,5,FALSE)</f>
        <v>5.71</v>
      </c>
    </row>
    <row r="219" spans="1:12" x14ac:dyDescent="0.3">
      <c r="A219" s="1">
        <v>31630</v>
      </c>
      <c r="B219">
        <f>VLOOKUP(A219,'STOCK DATA'!$A$2:$H$522,2,FALSE)</f>
        <v>120.57</v>
      </c>
      <c r="C219">
        <f>VLOOKUP($A219,'STOCK DATA'!$A$2:H$521,3,FALSE)</f>
        <v>1139.5999999999999</v>
      </c>
      <c r="D219">
        <f>VLOOKUP($A219,'STOCK DATA'!$A$2:$H$521,3,FALSE)</f>
        <v>1139.5999999999999</v>
      </c>
      <c r="E219">
        <f>VLOOKUP($A219,'STOCK DATA'!$A$2:$H$521,3,FALSE)</f>
        <v>1139.5999999999999</v>
      </c>
      <c r="F219">
        <f>VLOOKUP($A219,'STOCK DATA'!$A$2:$H$521,3,FALSE)</f>
        <v>1139.5999999999999</v>
      </c>
      <c r="G219">
        <f>VLOOKUP($A219,'STOCK DATA'!$A$2:$H$521,3,FALSE)</f>
        <v>1139.5999999999999</v>
      </c>
      <c r="H219">
        <f>VLOOKUP($A219,'STOCK DATA'!$A$2:$H$521,3,FALSE)</f>
        <v>1139.5999999999999</v>
      </c>
      <c r="I219">
        <f>VLOOKUP(A219,'Short-term interest Rates daily'!$A:$E,2,FALSE)</f>
        <v>17.63</v>
      </c>
      <c r="J219">
        <f>VLOOKUP(A219,'Short-term interest Rates daily'!$A:$E,3,FALSE)</f>
        <v>8.4</v>
      </c>
      <c r="K219">
        <f>VLOOKUP(A219,'Short-term interest Rates daily'!$A:$E,4,FALSE)</f>
        <v>9.6199999999999992</v>
      </c>
      <c r="L219">
        <f>VLOOKUP(A219,'Short-term interest Rates daily'!$A:$E,5,FALSE)</f>
        <v>5.72</v>
      </c>
    </row>
    <row r="220" spans="1:12" x14ac:dyDescent="0.3">
      <c r="A220" s="1">
        <v>31631</v>
      </c>
      <c r="B220">
        <f>VLOOKUP(A220,'STOCK DATA'!$A$2:$H$522,2,FALSE)</f>
        <v>120.59</v>
      </c>
      <c r="C220">
        <f>VLOOKUP($A220,'STOCK DATA'!$A$2:H$521,3,FALSE)</f>
        <v>1150.5</v>
      </c>
      <c r="D220">
        <f>VLOOKUP($A220,'STOCK DATA'!$A$2:$H$521,3,FALSE)</f>
        <v>1150.5</v>
      </c>
      <c r="E220">
        <f>VLOOKUP($A220,'STOCK DATA'!$A$2:$H$521,3,FALSE)</f>
        <v>1150.5</v>
      </c>
      <c r="F220">
        <f>VLOOKUP($A220,'STOCK DATA'!$A$2:$H$521,3,FALSE)</f>
        <v>1150.5</v>
      </c>
      <c r="G220">
        <f>VLOOKUP($A220,'STOCK DATA'!$A$2:$H$521,3,FALSE)</f>
        <v>1150.5</v>
      </c>
      <c r="H220">
        <f>VLOOKUP($A220,'STOCK DATA'!$A$2:$H$521,3,FALSE)</f>
        <v>1150.5</v>
      </c>
      <c r="I220">
        <f>VLOOKUP(A220,'Short-term interest Rates daily'!$A:$E,2,FALSE)</f>
        <v>18.38</v>
      </c>
      <c r="J220">
        <f>VLOOKUP(A220,'Short-term interest Rates daily'!$A:$E,3,FALSE)</f>
        <v>8.3800000000000008</v>
      </c>
      <c r="K220">
        <f>VLOOKUP(A220,'Short-term interest Rates daily'!$A:$E,4,FALSE)</f>
        <v>9.6199999999999992</v>
      </c>
      <c r="L220">
        <f>VLOOKUP(A220,'Short-term interest Rates daily'!$A:$E,5,FALSE)</f>
        <v>5.72</v>
      </c>
    </row>
    <row r="221" spans="1:12" x14ac:dyDescent="0.3">
      <c r="A221" s="1">
        <v>31632</v>
      </c>
      <c r="B221">
        <f>VLOOKUP(A221,'STOCK DATA'!$A$2:$H$522,2,FALSE)</f>
        <v>122.31</v>
      </c>
      <c r="C221">
        <f>VLOOKUP($A221,'STOCK DATA'!$A$2:H$521,3,FALSE)</f>
        <v>1153.0999999999999</v>
      </c>
      <c r="D221">
        <f>VLOOKUP($A221,'STOCK DATA'!$A$2:$H$521,3,FALSE)</f>
        <v>1153.0999999999999</v>
      </c>
      <c r="E221">
        <f>VLOOKUP($A221,'STOCK DATA'!$A$2:$H$521,3,FALSE)</f>
        <v>1153.0999999999999</v>
      </c>
      <c r="F221">
        <f>VLOOKUP($A221,'STOCK DATA'!$A$2:$H$521,3,FALSE)</f>
        <v>1153.0999999999999</v>
      </c>
      <c r="G221">
        <f>VLOOKUP($A221,'STOCK DATA'!$A$2:$H$521,3,FALSE)</f>
        <v>1153.0999999999999</v>
      </c>
      <c r="H221">
        <f>VLOOKUP($A221,'STOCK DATA'!$A$2:$H$521,3,FALSE)</f>
        <v>1153.0999999999999</v>
      </c>
      <c r="I221">
        <f>VLOOKUP(A221,'Short-term interest Rates daily'!$A:$E,2,FALSE)</f>
        <v>17</v>
      </c>
      <c r="J221">
        <f>VLOOKUP(A221,'Short-term interest Rates daily'!$A:$E,3,FALSE)</f>
        <v>8.39</v>
      </c>
      <c r="K221">
        <f>VLOOKUP(A221,'Short-term interest Rates daily'!$A:$E,4,FALSE)</f>
        <v>9.6199999999999992</v>
      </c>
      <c r="L221">
        <f>VLOOKUP(A221,'Short-term interest Rates daily'!$A:$E,5,FALSE)</f>
        <v>5.7</v>
      </c>
    </row>
    <row r="222" spans="1:12" x14ac:dyDescent="0.3">
      <c r="A222" s="1">
        <v>31633</v>
      </c>
      <c r="B222" t="e">
        <f>VLOOKUP(A222,'STOCK DATA'!$A$2:$H$522,2,FALSE)</f>
        <v>#N/A</v>
      </c>
      <c r="C222" t="e">
        <f>VLOOKUP($A222,'STOCK DATA'!$A$2:H$521,3,FALSE)</f>
        <v>#N/A</v>
      </c>
      <c r="D222" t="e">
        <f>VLOOKUP($A222,'STOCK DATA'!$A$2:$H$521,3,FALSE)</f>
        <v>#N/A</v>
      </c>
      <c r="E222" t="e">
        <f>VLOOKUP($A222,'STOCK DATA'!$A$2:$H$521,3,FALSE)</f>
        <v>#N/A</v>
      </c>
      <c r="F222" t="e">
        <f>VLOOKUP($A222,'STOCK DATA'!$A$2:$H$521,3,FALSE)</f>
        <v>#N/A</v>
      </c>
      <c r="G222" t="e">
        <f>VLOOKUP($A222,'STOCK DATA'!$A$2:$H$521,3,FALSE)</f>
        <v>#N/A</v>
      </c>
      <c r="H222" t="e">
        <f>VLOOKUP($A222,'STOCK DATA'!$A$2:$H$521,3,FALSE)</f>
        <v>#N/A</v>
      </c>
      <c r="I222" t="e">
        <f>VLOOKUP(A222,'Short-term interest Rates daily'!$A:$E,2,FALSE)</f>
        <v>#N/A</v>
      </c>
      <c r="J222" t="e">
        <f>VLOOKUP(A222,'Short-term interest Rates daily'!$A:$E,3,FALSE)</f>
        <v>#N/A</v>
      </c>
      <c r="K222" t="e">
        <f>VLOOKUP(A222,'Short-term interest Rates daily'!$A:$E,4,FALSE)</f>
        <v>#N/A</v>
      </c>
      <c r="L222" t="e">
        <f>VLOOKUP(A222,'Short-term interest Rates daily'!$A:$E,5,FALSE)</f>
        <v>#N/A</v>
      </c>
    </row>
    <row r="223" spans="1:12" x14ac:dyDescent="0.3">
      <c r="A223" s="1">
        <v>31634</v>
      </c>
      <c r="B223" t="e">
        <f>VLOOKUP(A223,'STOCK DATA'!$A$2:$H$522,2,FALSE)</f>
        <v>#N/A</v>
      </c>
      <c r="C223" t="e">
        <f>VLOOKUP($A223,'STOCK DATA'!$A$2:H$521,3,FALSE)</f>
        <v>#N/A</v>
      </c>
      <c r="D223" t="e">
        <f>VLOOKUP($A223,'STOCK DATA'!$A$2:$H$521,3,FALSE)</f>
        <v>#N/A</v>
      </c>
      <c r="E223" t="e">
        <f>VLOOKUP($A223,'STOCK DATA'!$A$2:$H$521,3,FALSE)</f>
        <v>#N/A</v>
      </c>
      <c r="F223" t="e">
        <f>VLOOKUP($A223,'STOCK DATA'!$A$2:$H$521,3,FALSE)</f>
        <v>#N/A</v>
      </c>
      <c r="G223" t="e">
        <f>VLOOKUP($A223,'STOCK DATA'!$A$2:$H$521,3,FALSE)</f>
        <v>#N/A</v>
      </c>
      <c r="H223" t="e">
        <f>VLOOKUP($A223,'STOCK DATA'!$A$2:$H$521,3,FALSE)</f>
        <v>#N/A</v>
      </c>
      <c r="I223" t="e">
        <f>VLOOKUP(A223,'Short-term interest Rates daily'!$A:$E,2,FALSE)</f>
        <v>#N/A</v>
      </c>
      <c r="J223" t="e">
        <f>VLOOKUP(A223,'Short-term interest Rates daily'!$A:$E,3,FALSE)</f>
        <v>#N/A</v>
      </c>
      <c r="K223" t="e">
        <f>VLOOKUP(A223,'Short-term interest Rates daily'!$A:$E,4,FALSE)</f>
        <v>#N/A</v>
      </c>
      <c r="L223" t="e">
        <f>VLOOKUP(A223,'Short-term interest Rates daily'!$A:$E,5,FALSE)</f>
        <v>#N/A</v>
      </c>
    </row>
    <row r="224" spans="1:12" x14ac:dyDescent="0.3">
      <c r="A224" s="1">
        <v>31635</v>
      </c>
      <c r="B224">
        <f>VLOOKUP(A224,'STOCK DATA'!$A$2:$H$522,2,FALSE)</f>
        <v>124.09</v>
      </c>
      <c r="C224">
        <f>VLOOKUP($A224,'STOCK DATA'!$A$2:H$521,3,FALSE)</f>
        <v>1153.9000000000001</v>
      </c>
      <c r="D224">
        <f>VLOOKUP($A224,'STOCK DATA'!$A$2:$H$521,3,FALSE)</f>
        <v>1153.9000000000001</v>
      </c>
      <c r="E224">
        <f>VLOOKUP($A224,'STOCK DATA'!$A$2:$H$521,3,FALSE)</f>
        <v>1153.9000000000001</v>
      </c>
      <c r="F224">
        <f>VLOOKUP($A224,'STOCK DATA'!$A$2:$H$521,3,FALSE)</f>
        <v>1153.9000000000001</v>
      </c>
      <c r="G224">
        <f>VLOOKUP($A224,'STOCK DATA'!$A$2:$H$521,3,FALSE)</f>
        <v>1153.9000000000001</v>
      </c>
      <c r="H224">
        <f>VLOOKUP($A224,'STOCK DATA'!$A$2:$H$521,3,FALSE)</f>
        <v>1153.9000000000001</v>
      </c>
      <c r="I224">
        <f>VLOOKUP(A224,'Short-term interest Rates daily'!$A:$E,2,FALSE)</f>
        <v>18.25</v>
      </c>
      <c r="J224">
        <f>VLOOKUP(A224,'Short-term interest Rates daily'!$A:$E,3,FALSE)</f>
        <v>8.39</v>
      </c>
      <c r="K224">
        <f>VLOOKUP(A224,'Short-term interest Rates daily'!$A:$E,4,FALSE)</f>
        <v>9.6199999999999992</v>
      </c>
      <c r="L224">
        <f>VLOOKUP(A224,'Short-term interest Rates daily'!$A:$E,5,FALSE)</f>
        <v>5.67</v>
      </c>
    </row>
    <row r="225" spans="1:12" x14ac:dyDescent="0.3">
      <c r="A225" s="1">
        <v>31636</v>
      </c>
      <c r="B225">
        <f>VLOOKUP(A225,'STOCK DATA'!$A$2:$H$522,2,FALSE)</f>
        <v>125</v>
      </c>
      <c r="C225">
        <f>VLOOKUP($A225,'STOCK DATA'!$A$2:H$521,3,FALSE)</f>
        <v>1149.2</v>
      </c>
      <c r="D225">
        <f>VLOOKUP($A225,'STOCK DATA'!$A$2:$H$521,3,FALSE)</f>
        <v>1149.2</v>
      </c>
      <c r="E225">
        <f>VLOOKUP($A225,'STOCK DATA'!$A$2:$H$521,3,FALSE)</f>
        <v>1149.2</v>
      </c>
      <c r="F225">
        <f>VLOOKUP($A225,'STOCK DATA'!$A$2:$H$521,3,FALSE)</f>
        <v>1149.2</v>
      </c>
      <c r="G225">
        <f>VLOOKUP($A225,'STOCK DATA'!$A$2:$H$521,3,FALSE)</f>
        <v>1149.2</v>
      </c>
      <c r="H225">
        <f>VLOOKUP($A225,'STOCK DATA'!$A$2:$H$521,3,FALSE)</f>
        <v>1149.2</v>
      </c>
      <c r="I225">
        <f>VLOOKUP(A225,'Short-term interest Rates daily'!$A:$E,2,FALSE)</f>
        <v>17.25</v>
      </c>
      <c r="J225">
        <f>VLOOKUP(A225,'Short-term interest Rates daily'!$A:$E,3,FALSE)</f>
        <v>8.4600000000000009</v>
      </c>
      <c r="K225">
        <f>VLOOKUP(A225,'Short-term interest Rates daily'!$A:$E,4,FALSE)</f>
        <v>9.5299999999999994</v>
      </c>
      <c r="L225">
        <f>VLOOKUP(A225,'Short-term interest Rates daily'!$A:$E,5,FALSE)</f>
        <v>5.61</v>
      </c>
    </row>
    <row r="226" spans="1:12" x14ac:dyDescent="0.3">
      <c r="A226" s="1">
        <v>31637</v>
      </c>
      <c r="B226">
        <f>VLOOKUP(A226,'STOCK DATA'!$A$2:$H$522,2,FALSE)</f>
        <v>125.83</v>
      </c>
      <c r="C226">
        <f>VLOOKUP($A226,'STOCK DATA'!$A$2:H$521,3,FALSE)</f>
        <v>1160.2</v>
      </c>
      <c r="D226">
        <f>VLOOKUP($A226,'STOCK DATA'!$A$2:$H$521,3,FALSE)</f>
        <v>1160.2</v>
      </c>
      <c r="E226">
        <f>VLOOKUP($A226,'STOCK DATA'!$A$2:$H$521,3,FALSE)</f>
        <v>1160.2</v>
      </c>
      <c r="F226">
        <f>VLOOKUP($A226,'STOCK DATA'!$A$2:$H$521,3,FALSE)</f>
        <v>1160.2</v>
      </c>
      <c r="G226">
        <f>VLOOKUP($A226,'STOCK DATA'!$A$2:$H$521,3,FALSE)</f>
        <v>1160.2</v>
      </c>
      <c r="H226">
        <f>VLOOKUP($A226,'STOCK DATA'!$A$2:$H$521,3,FALSE)</f>
        <v>1160.2</v>
      </c>
      <c r="I226">
        <f>VLOOKUP(A226,'Short-term interest Rates daily'!$A:$E,2,FALSE)</f>
        <v>17</v>
      </c>
      <c r="J226">
        <f>VLOOKUP(A226,'Short-term interest Rates daily'!$A:$E,3,FALSE)</f>
        <v>8.3699999999999992</v>
      </c>
      <c r="K226">
        <f>VLOOKUP(A226,'Short-term interest Rates daily'!$A:$E,4,FALSE)</f>
        <v>9.5299999999999994</v>
      </c>
      <c r="L226">
        <f>VLOOKUP(A226,'Short-term interest Rates daily'!$A:$E,5,FALSE)</f>
        <v>5.57</v>
      </c>
    </row>
    <row r="227" spans="1:12" x14ac:dyDescent="0.3">
      <c r="A227" s="1">
        <v>31638</v>
      </c>
      <c r="B227">
        <f>VLOOKUP(A227,'STOCK DATA'!$A$2:$H$522,2,FALSE)</f>
        <v>125.53</v>
      </c>
      <c r="C227">
        <f>VLOOKUP($A227,'STOCK DATA'!$A$2:H$521,3,FALSE)</f>
        <v>1163.8</v>
      </c>
      <c r="D227">
        <f>VLOOKUP($A227,'STOCK DATA'!$A$2:$H$521,3,FALSE)</f>
        <v>1163.8</v>
      </c>
      <c r="E227">
        <f>VLOOKUP($A227,'STOCK DATA'!$A$2:$H$521,3,FALSE)</f>
        <v>1163.8</v>
      </c>
      <c r="F227">
        <f>VLOOKUP($A227,'STOCK DATA'!$A$2:$H$521,3,FALSE)</f>
        <v>1163.8</v>
      </c>
      <c r="G227">
        <f>VLOOKUP($A227,'STOCK DATA'!$A$2:$H$521,3,FALSE)</f>
        <v>1163.8</v>
      </c>
      <c r="H227">
        <f>VLOOKUP($A227,'STOCK DATA'!$A$2:$H$521,3,FALSE)</f>
        <v>1163.8</v>
      </c>
      <c r="I227">
        <f>VLOOKUP(A227,'Short-term interest Rates daily'!$A:$E,2,FALSE)</f>
        <v>18</v>
      </c>
      <c r="J227">
        <f>VLOOKUP(A227,'Short-term interest Rates daily'!$A:$E,3,FALSE)</f>
        <v>8.36</v>
      </c>
      <c r="K227">
        <f>VLOOKUP(A227,'Short-term interest Rates daily'!$A:$E,4,FALSE)</f>
        <v>9.49</v>
      </c>
      <c r="L227">
        <f>VLOOKUP(A227,'Short-term interest Rates daily'!$A:$E,5,FALSE)</f>
        <v>5.59</v>
      </c>
    </row>
    <row r="228" spans="1:12" x14ac:dyDescent="0.3">
      <c r="A228" s="1">
        <v>31639</v>
      </c>
      <c r="B228">
        <f>VLOOKUP(A228,'STOCK DATA'!$A$2:$H$522,2,FALSE)</f>
        <v>121.08</v>
      </c>
      <c r="C228">
        <f>VLOOKUP($A228,'STOCK DATA'!$A$2:H$521,3,FALSE)</f>
        <v>1176.5</v>
      </c>
      <c r="D228">
        <f>VLOOKUP($A228,'STOCK DATA'!$A$2:$H$521,3,FALSE)</f>
        <v>1176.5</v>
      </c>
      <c r="E228">
        <f>VLOOKUP($A228,'STOCK DATA'!$A$2:$H$521,3,FALSE)</f>
        <v>1176.5</v>
      </c>
      <c r="F228">
        <f>VLOOKUP($A228,'STOCK DATA'!$A$2:$H$521,3,FALSE)</f>
        <v>1176.5</v>
      </c>
      <c r="G228">
        <f>VLOOKUP($A228,'STOCK DATA'!$A$2:$H$521,3,FALSE)</f>
        <v>1176.5</v>
      </c>
      <c r="H228">
        <f>VLOOKUP($A228,'STOCK DATA'!$A$2:$H$521,3,FALSE)</f>
        <v>1176.5</v>
      </c>
      <c r="I228">
        <f>VLOOKUP(A228,'Short-term interest Rates daily'!$A:$E,2,FALSE)</f>
        <v>17.25</v>
      </c>
      <c r="J228">
        <f>VLOOKUP(A228,'Short-term interest Rates daily'!$A:$E,3,FALSE)</f>
        <v>8.36</v>
      </c>
      <c r="K228">
        <f>VLOOKUP(A228,'Short-term interest Rates daily'!$A:$E,4,FALSE)</f>
        <v>9.48</v>
      </c>
      <c r="L228">
        <f>VLOOKUP(A228,'Short-term interest Rates daily'!$A:$E,5,FALSE)</f>
        <v>5.56</v>
      </c>
    </row>
    <row r="229" spans="1:12" x14ac:dyDescent="0.3">
      <c r="A229" s="1">
        <v>31640</v>
      </c>
      <c r="B229" t="e">
        <f>VLOOKUP(A229,'STOCK DATA'!$A$2:$H$522,2,FALSE)</f>
        <v>#N/A</v>
      </c>
      <c r="C229" t="e">
        <f>VLOOKUP($A229,'STOCK DATA'!$A$2:H$521,3,FALSE)</f>
        <v>#N/A</v>
      </c>
      <c r="D229" t="e">
        <f>VLOOKUP($A229,'STOCK DATA'!$A$2:$H$521,3,FALSE)</f>
        <v>#N/A</v>
      </c>
      <c r="E229" t="e">
        <f>VLOOKUP($A229,'STOCK DATA'!$A$2:$H$521,3,FALSE)</f>
        <v>#N/A</v>
      </c>
      <c r="F229" t="e">
        <f>VLOOKUP($A229,'STOCK DATA'!$A$2:$H$521,3,FALSE)</f>
        <v>#N/A</v>
      </c>
      <c r="G229" t="e">
        <f>VLOOKUP($A229,'STOCK DATA'!$A$2:$H$521,3,FALSE)</f>
        <v>#N/A</v>
      </c>
      <c r="H229" t="e">
        <f>VLOOKUP($A229,'STOCK DATA'!$A$2:$H$521,3,FALSE)</f>
        <v>#N/A</v>
      </c>
      <c r="I229" t="e">
        <f>VLOOKUP(A229,'Short-term interest Rates daily'!$A:$E,2,FALSE)</f>
        <v>#N/A</v>
      </c>
      <c r="J229" t="e">
        <f>VLOOKUP(A229,'Short-term interest Rates daily'!$A:$E,3,FALSE)</f>
        <v>#N/A</v>
      </c>
      <c r="K229" t="e">
        <f>VLOOKUP(A229,'Short-term interest Rates daily'!$A:$E,4,FALSE)</f>
        <v>#N/A</v>
      </c>
      <c r="L229" t="e">
        <f>VLOOKUP(A229,'Short-term interest Rates daily'!$A:$E,5,FALSE)</f>
        <v>#N/A</v>
      </c>
    </row>
    <row r="230" spans="1:12" x14ac:dyDescent="0.3">
      <c r="A230" s="1">
        <v>31641</v>
      </c>
      <c r="B230" t="e">
        <f>VLOOKUP(A230,'STOCK DATA'!$A$2:$H$522,2,FALSE)</f>
        <v>#N/A</v>
      </c>
      <c r="C230" t="e">
        <f>VLOOKUP($A230,'STOCK DATA'!$A$2:H$521,3,FALSE)</f>
        <v>#N/A</v>
      </c>
      <c r="D230" t="e">
        <f>VLOOKUP($A230,'STOCK DATA'!$A$2:$H$521,3,FALSE)</f>
        <v>#N/A</v>
      </c>
      <c r="E230" t="e">
        <f>VLOOKUP($A230,'STOCK DATA'!$A$2:$H$521,3,FALSE)</f>
        <v>#N/A</v>
      </c>
      <c r="F230" t="e">
        <f>VLOOKUP($A230,'STOCK DATA'!$A$2:$H$521,3,FALSE)</f>
        <v>#N/A</v>
      </c>
      <c r="G230" t="e">
        <f>VLOOKUP($A230,'STOCK DATA'!$A$2:$H$521,3,FALSE)</f>
        <v>#N/A</v>
      </c>
      <c r="H230" t="e">
        <f>VLOOKUP($A230,'STOCK DATA'!$A$2:$H$521,3,FALSE)</f>
        <v>#N/A</v>
      </c>
      <c r="I230" t="e">
        <f>VLOOKUP(A230,'Short-term interest Rates daily'!$A:$E,2,FALSE)</f>
        <v>#N/A</v>
      </c>
      <c r="J230" t="e">
        <f>VLOOKUP(A230,'Short-term interest Rates daily'!$A:$E,3,FALSE)</f>
        <v>#N/A</v>
      </c>
      <c r="K230" t="e">
        <f>VLOOKUP(A230,'Short-term interest Rates daily'!$A:$E,4,FALSE)</f>
        <v>#N/A</v>
      </c>
      <c r="L230" t="e">
        <f>VLOOKUP(A230,'Short-term interest Rates daily'!$A:$E,5,FALSE)</f>
        <v>#N/A</v>
      </c>
    </row>
    <row r="231" spans="1:12" x14ac:dyDescent="0.3">
      <c r="A231" s="1">
        <v>31642</v>
      </c>
      <c r="B231">
        <f>VLOOKUP(A231,'STOCK DATA'!$A$2:$H$522,2,FALSE)</f>
        <v>121.92</v>
      </c>
      <c r="C231">
        <f>VLOOKUP($A231,'STOCK DATA'!$A$2:H$521,3,FALSE)</f>
        <v>1185.9000000000001</v>
      </c>
      <c r="D231">
        <f>VLOOKUP($A231,'STOCK DATA'!$A$2:$H$521,3,FALSE)</f>
        <v>1185.9000000000001</v>
      </c>
      <c r="E231">
        <f>VLOOKUP($A231,'STOCK DATA'!$A$2:$H$521,3,FALSE)</f>
        <v>1185.9000000000001</v>
      </c>
      <c r="F231">
        <f>VLOOKUP($A231,'STOCK DATA'!$A$2:$H$521,3,FALSE)</f>
        <v>1185.9000000000001</v>
      </c>
      <c r="G231">
        <f>VLOOKUP($A231,'STOCK DATA'!$A$2:$H$521,3,FALSE)</f>
        <v>1185.9000000000001</v>
      </c>
      <c r="H231">
        <f>VLOOKUP($A231,'STOCK DATA'!$A$2:$H$521,3,FALSE)</f>
        <v>1185.9000000000001</v>
      </c>
      <c r="I231">
        <f>VLOOKUP(A231,'Short-term interest Rates daily'!$A:$E,2,FALSE)</f>
        <v>18.63</v>
      </c>
      <c r="J231">
        <f>VLOOKUP(A231,'Short-term interest Rates daily'!$A:$E,3,FALSE)</f>
        <v>8.3699999999999992</v>
      </c>
      <c r="K231">
        <f>VLOOKUP(A231,'Short-term interest Rates daily'!$A:$E,4,FALSE)</f>
        <v>9.4600000000000009</v>
      </c>
      <c r="L231">
        <f>VLOOKUP(A231,'Short-term interest Rates daily'!$A:$E,5,FALSE)</f>
        <v>5.61</v>
      </c>
    </row>
    <row r="232" spans="1:12" x14ac:dyDescent="0.3">
      <c r="A232" s="1">
        <v>31643</v>
      </c>
      <c r="B232">
        <f>VLOOKUP(A232,'STOCK DATA'!$A$2:$H$522,2,FALSE)</f>
        <v>121.69</v>
      </c>
      <c r="C232">
        <f>VLOOKUP($A232,'STOCK DATA'!$A$2:H$521,3,FALSE)</f>
        <v>1185.3</v>
      </c>
      <c r="D232">
        <f>VLOOKUP($A232,'STOCK DATA'!$A$2:$H$521,3,FALSE)</f>
        <v>1185.3</v>
      </c>
      <c r="E232">
        <f>VLOOKUP($A232,'STOCK DATA'!$A$2:$H$521,3,FALSE)</f>
        <v>1185.3</v>
      </c>
      <c r="F232">
        <f>VLOOKUP($A232,'STOCK DATA'!$A$2:$H$521,3,FALSE)</f>
        <v>1185.3</v>
      </c>
      <c r="G232">
        <f>VLOOKUP($A232,'STOCK DATA'!$A$2:$H$521,3,FALSE)</f>
        <v>1185.3</v>
      </c>
      <c r="H232">
        <f>VLOOKUP($A232,'STOCK DATA'!$A$2:$H$521,3,FALSE)</f>
        <v>1185.3</v>
      </c>
      <c r="I232">
        <f>VLOOKUP(A232,'Short-term interest Rates daily'!$A:$E,2,FALSE)</f>
        <v>18.75</v>
      </c>
      <c r="J232">
        <f>VLOOKUP(A232,'Short-term interest Rates daily'!$A:$E,3,FALSE)</f>
        <v>8.39</v>
      </c>
      <c r="K232">
        <f>VLOOKUP(A232,'Short-term interest Rates daily'!$A:$E,4,FALSE)</f>
        <v>9.4600000000000009</v>
      </c>
      <c r="L232">
        <f>VLOOKUP(A232,'Short-term interest Rates daily'!$A:$E,5,FALSE)</f>
        <v>5.56</v>
      </c>
    </row>
    <row r="233" spans="1:12" x14ac:dyDescent="0.3">
      <c r="A233" s="1">
        <v>31644</v>
      </c>
      <c r="B233">
        <f>VLOOKUP(A233,'STOCK DATA'!$A$2:$H$522,2,FALSE)</f>
        <v>121.48</v>
      </c>
      <c r="C233">
        <f>VLOOKUP($A233,'STOCK DATA'!$A$2:H$521,3,FALSE)</f>
        <v>1177.5999999999999</v>
      </c>
      <c r="D233">
        <f>VLOOKUP($A233,'STOCK DATA'!$A$2:$H$521,3,FALSE)</f>
        <v>1177.5999999999999</v>
      </c>
      <c r="E233">
        <f>VLOOKUP($A233,'STOCK DATA'!$A$2:$H$521,3,FALSE)</f>
        <v>1177.5999999999999</v>
      </c>
      <c r="F233">
        <f>VLOOKUP($A233,'STOCK DATA'!$A$2:$H$521,3,FALSE)</f>
        <v>1177.5999999999999</v>
      </c>
      <c r="G233">
        <f>VLOOKUP($A233,'STOCK DATA'!$A$2:$H$521,3,FALSE)</f>
        <v>1177.5999999999999</v>
      </c>
      <c r="H233">
        <f>VLOOKUP($A233,'STOCK DATA'!$A$2:$H$521,3,FALSE)</f>
        <v>1177.5999999999999</v>
      </c>
      <c r="I233">
        <f>VLOOKUP(A233,'Short-term interest Rates daily'!$A:$E,2,FALSE)</f>
        <v>18.63</v>
      </c>
      <c r="J233">
        <f>VLOOKUP(A233,'Short-term interest Rates daily'!$A:$E,3,FALSE)</f>
        <v>8.41</v>
      </c>
      <c r="K233">
        <f>VLOOKUP(A233,'Short-term interest Rates daily'!$A:$E,4,FALSE)</f>
        <v>9.4</v>
      </c>
      <c r="L233">
        <f>VLOOKUP(A233,'Short-term interest Rates daily'!$A:$E,5,FALSE)</f>
        <v>5.5</v>
      </c>
    </row>
    <row r="234" spans="1:12" x14ac:dyDescent="0.3">
      <c r="A234" s="1">
        <v>31645</v>
      </c>
      <c r="B234">
        <f>VLOOKUP(A234,'STOCK DATA'!$A$2:$H$522,2,FALSE)</f>
        <v>122.37</v>
      </c>
      <c r="C234">
        <f>VLOOKUP($A234,'STOCK DATA'!$A$2:H$521,3,FALSE)</f>
        <v>1179.5</v>
      </c>
      <c r="D234">
        <f>VLOOKUP($A234,'STOCK DATA'!$A$2:$H$521,3,FALSE)</f>
        <v>1179.5</v>
      </c>
      <c r="E234">
        <f>VLOOKUP($A234,'STOCK DATA'!$A$2:$H$521,3,FALSE)</f>
        <v>1179.5</v>
      </c>
      <c r="F234">
        <f>VLOOKUP($A234,'STOCK DATA'!$A$2:$H$521,3,FALSE)</f>
        <v>1179.5</v>
      </c>
      <c r="G234">
        <f>VLOOKUP($A234,'STOCK DATA'!$A$2:$H$521,3,FALSE)</f>
        <v>1179.5</v>
      </c>
      <c r="H234">
        <f>VLOOKUP($A234,'STOCK DATA'!$A$2:$H$521,3,FALSE)</f>
        <v>1179.5</v>
      </c>
      <c r="I234">
        <f>VLOOKUP(A234,'Short-term interest Rates daily'!$A:$E,2,FALSE)</f>
        <v>19.13</v>
      </c>
      <c r="J234">
        <f>VLOOKUP(A234,'Short-term interest Rates daily'!$A:$E,3,FALSE)</f>
        <v>8.3699999999999992</v>
      </c>
      <c r="K234">
        <f>VLOOKUP(A234,'Short-term interest Rates daily'!$A:$E,4,FALSE)</f>
        <v>9.35</v>
      </c>
      <c r="L234">
        <f>VLOOKUP(A234,'Short-term interest Rates daily'!$A:$E,5,FALSE)</f>
        <v>5.37</v>
      </c>
    </row>
    <row r="235" spans="1:12" x14ac:dyDescent="0.3">
      <c r="A235" s="1">
        <v>31646</v>
      </c>
      <c r="B235">
        <f>VLOOKUP(A235,'STOCK DATA'!$A$2:$H$522,2,FALSE)</f>
        <v>120.61</v>
      </c>
      <c r="C235">
        <f>VLOOKUP($A235,'STOCK DATA'!$A$2:H$521,3,FALSE)</f>
        <v>1183.8</v>
      </c>
      <c r="D235">
        <f>VLOOKUP($A235,'STOCK DATA'!$A$2:$H$521,3,FALSE)</f>
        <v>1183.8</v>
      </c>
      <c r="E235">
        <f>VLOOKUP($A235,'STOCK DATA'!$A$2:$H$521,3,FALSE)</f>
        <v>1183.8</v>
      </c>
      <c r="F235">
        <f>VLOOKUP($A235,'STOCK DATA'!$A$2:$H$521,3,FALSE)</f>
        <v>1183.8</v>
      </c>
      <c r="G235">
        <f>VLOOKUP($A235,'STOCK DATA'!$A$2:$H$521,3,FALSE)</f>
        <v>1183.8</v>
      </c>
      <c r="H235">
        <f>VLOOKUP($A235,'STOCK DATA'!$A$2:$H$521,3,FALSE)</f>
        <v>1183.8</v>
      </c>
      <c r="I235">
        <f>VLOOKUP(A235,'Short-term interest Rates daily'!$A:$E,2,FALSE)</f>
        <v>17.38</v>
      </c>
      <c r="J235">
        <f>VLOOKUP(A235,'Short-term interest Rates daily'!$A:$E,3,FALSE)</f>
        <v>8.36</v>
      </c>
      <c r="K235">
        <f>VLOOKUP(A235,'Short-term interest Rates daily'!$A:$E,4,FALSE)</f>
        <v>9.41</v>
      </c>
      <c r="L235">
        <f>VLOOKUP(A235,'Short-term interest Rates daily'!$A:$E,5,FALSE)</f>
        <v>5.36</v>
      </c>
    </row>
    <row r="236" spans="1:12" x14ac:dyDescent="0.3">
      <c r="A236" s="1">
        <v>31647</v>
      </c>
      <c r="B236" t="e">
        <f>VLOOKUP(A236,'STOCK DATA'!$A$2:$H$522,2,FALSE)</f>
        <v>#N/A</v>
      </c>
      <c r="C236" t="e">
        <f>VLOOKUP($A236,'STOCK DATA'!$A$2:H$521,3,FALSE)</f>
        <v>#N/A</v>
      </c>
      <c r="D236" t="e">
        <f>VLOOKUP($A236,'STOCK DATA'!$A$2:$H$521,3,FALSE)</f>
        <v>#N/A</v>
      </c>
      <c r="E236" t="e">
        <f>VLOOKUP($A236,'STOCK DATA'!$A$2:$H$521,3,FALSE)</f>
        <v>#N/A</v>
      </c>
      <c r="F236" t="e">
        <f>VLOOKUP($A236,'STOCK DATA'!$A$2:$H$521,3,FALSE)</f>
        <v>#N/A</v>
      </c>
      <c r="G236" t="e">
        <f>VLOOKUP($A236,'STOCK DATA'!$A$2:$H$521,3,FALSE)</f>
        <v>#N/A</v>
      </c>
      <c r="H236" t="e">
        <f>VLOOKUP($A236,'STOCK DATA'!$A$2:$H$521,3,FALSE)</f>
        <v>#N/A</v>
      </c>
      <c r="I236" t="e">
        <f>VLOOKUP(A236,'Short-term interest Rates daily'!$A:$E,2,FALSE)</f>
        <v>#N/A</v>
      </c>
      <c r="J236" t="e">
        <f>VLOOKUP(A236,'Short-term interest Rates daily'!$A:$E,3,FALSE)</f>
        <v>#N/A</v>
      </c>
      <c r="K236" t="e">
        <f>VLOOKUP(A236,'Short-term interest Rates daily'!$A:$E,4,FALSE)</f>
        <v>#N/A</v>
      </c>
      <c r="L236" t="e">
        <f>VLOOKUP(A236,'Short-term interest Rates daily'!$A:$E,5,FALSE)</f>
        <v>#N/A</v>
      </c>
    </row>
    <row r="237" spans="1:12" x14ac:dyDescent="0.3">
      <c r="A237" s="1">
        <v>31648</v>
      </c>
      <c r="B237" t="e">
        <f>VLOOKUP(A237,'STOCK DATA'!$A$2:$H$522,2,FALSE)</f>
        <v>#N/A</v>
      </c>
      <c r="C237" t="e">
        <f>VLOOKUP($A237,'STOCK DATA'!$A$2:H$521,3,FALSE)</f>
        <v>#N/A</v>
      </c>
      <c r="D237" t="e">
        <f>VLOOKUP($A237,'STOCK DATA'!$A$2:$H$521,3,FALSE)</f>
        <v>#N/A</v>
      </c>
      <c r="E237" t="e">
        <f>VLOOKUP($A237,'STOCK DATA'!$A$2:$H$521,3,FALSE)</f>
        <v>#N/A</v>
      </c>
      <c r="F237" t="e">
        <f>VLOOKUP($A237,'STOCK DATA'!$A$2:$H$521,3,FALSE)</f>
        <v>#N/A</v>
      </c>
      <c r="G237" t="e">
        <f>VLOOKUP($A237,'STOCK DATA'!$A$2:$H$521,3,FALSE)</f>
        <v>#N/A</v>
      </c>
      <c r="H237" t="e">
        <f>VLOOKUP($A237,'STOCK DATA'!$A$2:$H$521,3,FALSE)</f>
        <v>#N/A</v>
      </c>
      <c r="I237" t="e">
        <f>VLOOKUP(A237,'Short-term interest Rates daily'!$A:$E,2,FALSE)</f>
        <v>#N/A</v>
      </c>
      <c r="J237" t="e">
        <f>VLOOKUP(A237,'Short-term interest Rates daily'!$A:$E,3,FALSE)</f>
        <v>#N/A</v>
      </c>
      <c r="K237" t="e">
        <f>VLOOKUP(A237,'Short-term interest Rates daily'!$A:$E,4,FALSE)</f>
        <v>#N/A</v>
      </c>
      <c r="L237" t="e">
        <f>VLOOKUP(A237,'Short-term interest Rates daily'!$A:$E,5,FALSE)</f>
        <v>#N/A</v>
      </c>
    </row>
    <row r="238" spans="1:12" x14ac:dyDescent="0.3">
      <c r="A238" s="1">
        <v>31649</v>
      </c>
      <c r="B238">
        <f>VLOOKUP(A238,'STOCK DATA'!$A$2:$H$522,2,FALSE)</f>
        <v>119.05</v>
      </c>
      <c r="C238">
        <f>VLOOKUP($A238,'STOCK DATA'!$A$2:H$521,3,FALSE)</f>
        <v>1179.2</v>
      </c>
      <c r="D238">
        <f>VLOOKUP($A238,'STOCK DATA'!$A$2:$H$521,3,FALSE)</f>
        <v>1179.2</v>
      </c>
      <c r="E238">
        <f>VLOOKUP($A238,'STOCK DATA'!$A$2:$H$521,3,FALSE)</f>
        <v>1179.2</v>
      </c>
      <c r="F238">
        <f>VLOOKUP($A238,'STOCK DATA'!$A$2:$H$521,3,FALSE)</f>
        <v>1179.2</v>
      </c>
      <c r="G238">
        <f>VLOOKUP($A238,'STOCK DATA'!$A$2:$H$521,3,FALSE)</f>
        <v>1179.2</v>
      </c>
      <c r="H238">
        <f>VLOOKUP($A238,'STOCK DATA'!$A$2:$H$521,3,FALSE)</f>
        <v>1179.2</v>
      </c>
      <c r="I238">
        <f>VLOOKUP(A238,'Short-term interest Rates daily'!$A:$E,2,FALSE)</f>
        <v>18.25</v>
      </c>
      <c r="J238">
        <f>VLOOKUP(A238,'Short-term interest Rates daily'!$A:$E,3,FALSE)</f>
        <v>8.39</v>
      </c>
      <c r="K238">
        <f>VLOOKUP(A238,'Short-term interest Rates daily'!$A:$E,4,FALSE)</f>
        <v>9.41</v>
      </c>
      <c r="L238">
        <f>VLOOKUP(A238,'Short-term interest Rates daily'!$A:$E,5,FALSE)</f>
        <v>5.27</v>
      </c>
    </row>
    <row r="239" spans="1:12" x14ac:dyDescent="0.3">
      <c r="A239" s="1">
        <v>31650</v>
      </c>
      <c r="B239">
        <f>VLOOKUP(A239,'STOCK DATA'!$A$2:$H$522,2,FALSE)</f>
        <v>120</v>
      </c>
      <c r="C239">
        <f>VLOOKUP($A239,'STOCK DATA'!$A$2:H$521,3,FALSE)</f>
        <v>1179.3</v>
      </c>
      <c r="D239">
        <f>VLOOKUP($A239,'STOCK DATA'!$A$2:$H$521,3,FALSE)</f>
        <v>1179.3</v>
      </c>
      <c r="E239">
        <f>VLOOKUP($A239,'STOCK DATA'!$A$2:$H$521,3,FALSE)</f>
        <v>1179.3</v>
      </c>
      <c r="F239">
        <f>VLOOKUP($A239,'STOCK DATA'!$A$2:$H$521,3,FALSE)</f>
        <v>1179.3</v>
      </c>
      <c r="G239">
        <f>VLOOKUP($A239,'STOCK DATA'!$A$2:$H$521,3,FALSE)</f>
        <v>1179.3</v>
      </c>
      <c r="H239">
        <f>VLOOKUP($A239,'STOCK DATA'!$A$2:$H$521,3,FALSE)</f>
        <v>1179.3</v>
      </c>
      <c r="I239">
        <f>VLOOKUP(A239,'Short-term interest Rates daily'!$A:$E,2,FALSE)</f>
        <v>18.13</v>
      </c>
      <c r="J239">
        <f>VLOOKUP(A239,'Short-term interest Rates daily'!$A:$E,3,FALSE)</f>
        <v>8.3699999999999992</v>
      </c>
      <c r="K239">
        <f>VLOOKUP(A239,'Short-term interest Rates daily'!$A:$E,4,FALSE)</f>
        <v>9.43</v>
      </c>
      <c r="L239">
        <f>VLOOKUP(A239,'Short-term interest Rates daily'!$A:$E,5,FALSE)</f>
        <v>5.29</v>
      </c>
    </row>
    <row r="240" spans="1:12" x14ac:dyDescent="0.3">
      <c r="A240" s="1">
        <v>31651</v>
      </c>
      <c r="B240">
        <f>VLOOKUP(A240,'STOCK DATA'!$A$2:$H$522,2,FALSE)</f>
        <v>121.74</v>
      </c>
      <c r="C240">
        <f>VLOOKUP($A240,'STOCK DATA'!$A$2:H$521,3,FALSE)</f>
        <v>1182.4000000000001</v>
      </c>
      <c r="D240">
        <f>VLOOKUP($A240,'STOCK DATA'!$A$2:$H$521,3,FALSE)</f>
        <v>1182.4000000000001</v>
      </c>
      <c r="E240">
        <f>VLOOKUP($A240,'STOCK DATA'!$A$2:$H$521,3,FALSE)</f>
        <v>1182.4000000000001</v>
      </c>
      <c r="F240">
        <f>VLOOKUP($A240,'STOCK DATA'!$A$2:$H$521,3,FALSE)</f>
        <v>1182.4000000000001</v>
      </c>
      <c r="G240">
        <f>VLOOKUP($A240,'STOCK DATA'!$A$2:$H$521,3,FALSE)</f>
        <v>1182.4000000000001</v>
      </c>
      <c r="H240">
        <f>VLOOKUP($A240,'STOCK DATA'!$A$2:$H$521,3,FALSE)</f>
        <v>1182.4000000000001</v>
      </c>
      <c r="I240">
        <f>VLOOKUP(A240,'Short-term interest Rates daily'!$A:$E,2,FALSE)</f>
        <v>18.63</v>
      </c>
      <c r="J240">
        <f>VLOOKUP(A240,'Short-term interest Rates daily'!$A:$E,3,FALSE)</f>
        <v>8.4</v>
      </c>
      <c r="K240">
        <f>VLOOKUP(A240,'Short-term interest Rates daily'!$A:$E,4,FALSE)</f>
        <v>9.3800000000000008</v>
      </c>
      <c r="L240">
        <f>VLOOKUP(A240,'Short-term interest Rates daily'!$A:$E,5,FALSE)</f>
        <v>5.32</v>
      </c>
    </row>
    <row r="241" spans="1:12" x14ac:dyDescent="0.3">
      <c r="A241" s="1">
        <v>31652</v>
      </c>
      <c r="B241">
        <f>VLOOKUP(A241,'STOCK DATA'!$A$2:$H$522,2,FALSE)</f>
        <v>120.59</v>
      </c>
      <c r="C241">
        <f>VLOOKUP($A241,'STOCK DATA'!$A$2:H$521,3,FALSE)</f>
        <v>1183.3</v>
      </c>
      <c r="D241">
        <f>VLOOKUP($A241,'STOCK DATA'!$A$2:$H$521,3,FALSE)</f>
        <v>1183.3</v>
      </c>
      <c r="E241">
        <f>VLOOKUP($A241,'STOCK DATA'!$A$2:$H$521,3,FALSE)</f>
        <v>1183.3</v>
      </c>
      <c r="F241">
        <f>VLOOKUP($A241,'STOCK DATA'!$A$2:$H$521,3,FALSE)</f>
        <v>1183.3</v>
      </c>
      <c r="G241">
        <f>VLOOKUP($A241,'STOCK DATA'!$A$2:$H$521,3,FALSE)</f>
        <v>1183.3</v>
      </c>
      <c r="H241">
        <f>VLOOKUP($A241,'STOCK DATA'!$A$2:$H$521,3,FALSE)</f>
        <v>1183.3</v>
      </c>
      <c r="I241">
        <f>VLOOKUP(A241,'Short-term interest Rates daily'!$A:$E,2,FALSE)</f>
        <v>18.38</v>
      </c>
      <c r="J241">
        <f>VLOOKUP(A241,'Short-term interest Rates daily'!$A:$E,3,FALSE)</f>
        <v>8.35</v>
      </c>
      <c r="K241">
        <f>VLOOKUP(A241,'Short-term interest Rates daily'!$A:$E,4,FALSE)</f>
        <v>9.4</v>
      </c>
      <c r="L241">
        <f>VLOOKUP(A241,'Short-term interest Rates daily'!$A:$E,5,FALSE)</f>
        <v>5.29</v>
      </c>
    </row>
    <row r="242" spans="1:12" x14ac:dyDescent="0.3">
      <c r="A242" s="1">
        <v>31653</v>
      </c>
      <c r="B242">
        <f>VLOOKUP(A242,'STOCK DATA'!$A$2:$H$522,2,FALSE)</f>
        <v>120.43</v>
      </c>
      <c r="C242">
        <f>VLOOKUP($A242,'STOCK DATA'!$A$2:H$521,3,FALSE)</f>
        <v>1192.3</v>
      </c>
      <c r="D242">
        <f>VLOOKUP($A242,'STOCK DATA'!$A$2:$H$521,3,FALSE)</f>
        <v>1192.3</v>
      </c>
      <c r="E242">
        <f>VLOOKUP($A242,'STOCK DATA'!$A$2:$H$521,3,FALSE)</f>
        <v>1192.3</v>
      </c>
      <c r="F242">
        <f>VLOOKUP($A242,'STOCK DATA'!$A$2:$H$521,3,FALSE)</f>
        <v>1192.3</v>
      </c>
      <c r="G242">
        <f>VLOOKUP($A242,'STOCK DATA'!$A$2:$H$521,3,FALSE)</f>
        <v>1192.3</v>
      </c>
      <c r="H242">
        <f>VLOOKUP($A242,'STOCK DATA'!$A$2:$H$521,3,FALSE)</f>
        <v>1192.3</v>
      </c>
      <c r="I242">
        <f>VLOOKUP(A242,'Short-term interest Rates daily'!$A:$E,2,FALSE)</f>
        <v>18.13</v>
      </c>
      <c r="J242">
        <f>VLOOKUP(A242,'Short-term interest Rates daily'!$A:$E,3,FALSE)</f>
        <v>8.24</v>
      </c>
      <c r="K242">
        <f>VLOOKUP(A242,'Short-term interest Rates daily'!$A:$E,4,FALSE)</f>
        <v>9.44</v>
      </c>
      <c r="L242">
        <f>VLOOKUP(A242,'Short-term interest Rates daily'!$A:$E,5,FALSE)</f>
        <v>5.17</v>
      </c>
    </row>
    <row r="243" spans="1:12" x14ac:dyDescent="0.3">
      <c r="A243" s="1">
        <v>31654</v>
      </c>
      <c r="B243" t="e">
        <f>VLOOKUP(A243,'STOCK DATA'!$A$2:$H$522,2,FALSE)</f>
        <v>#N/A</v>
      </c>
      <c r="C243" t="e">
        <f>VLOOKUP($A243,'STOCK DATA'!$A$2:H$521,3,FALSE)</f>
        <v>#N/A</v>
      </c>
      <c r="D243" t="e">
        <f>VLOOKUP($A243,'STOCK DATA'!$A$2:$H$521,3,FALSE)</f>
        <v>#N/A</v>
      </c>
      <c r="E243" t="e">
        <f>VLOOKUP($A243,'STOCK DATA'!$A$2:$H$521,3,FALSE)</f>
        <v>#N/A</v>
      </c>
      <c r="F243" t="e">
        <f>VLOOKUP($A243,'STOCK DATA'!$A$2:$H$521,3,FALSE)</f>
        <v>#N/A</v>
      </c>
      <c r="G243" t="e">
        <f>VLOOKUP($A243,'STOCK DATA'!$A$2:$H$521,3,FALSE)</f>
        <v>#N/A</v>
      </c>
      <c r="H243" t="e">
        <f>VLOOKUP($A243,'STOCK DATA'!$A$2:$H$521,3,FALSE)</f>
        <v>#N/A</v>
      </c>
      <c r="I243" t="e">
        <f>VLOOKUP(A243,'Short-term interest Rates daily'!$A:$E,2,FALSE)</f>
        <v>#N/A</v>
      </c>
      <c r="J243" t="e">
        <f>VLOOKUP(A243,'Short-term interest Rates daily'!$A:$E,3,FALSE)</f>
        <v>#N/A</v>
      </c>
      <c r="K243" t="e">
        <f>VLOOKUP(A243,'Short-term interest Rates daily'!$A:$E,4,FALSE)</f>
        <v>#N/A</v>
      </c>
      <c r="L243" t="e">
        <f>VLOOKUP(A243,'Short-term interest Rates daily'!$A:$E,5,FALSE)</f>
        <v>#N/A</v>
      </c>
    </row>
    <row r="244" spans="1:12" x14ac:dyDescent="0.3">
      <c r="A244" s="1">
        <v>31655</v>
      </c>
      <c r="B244" t="e">
        <f>VLOOKUP(A244,'STOCK DATA'!$A$2:$H$522,2,FALSE)</f>
        <v>#N/A</v>
      </c>
      <c r="C244" t="e">
        <f>VLOOKUP($A244,'STOCK DATA'!$A$2:H$521,3,FALSE)</f>
        <v>#N/A</v>
      </c>
      <c r="D244" t="e">
        <f>VLOOKUP($A244,'STOCK DATA'!$A$2:$H$521,3,FALSE)</f>
        <v>#N/A</v>
      </c>
      <c r="E244" t="e">
        <f>VLOOKUP($A244,'STOCK DATA'!$A$2:$H$521,3,FALSE)</f>
        <v>#N/A</v>
      </c>
      <c r="F244" t="e">
        <f>VLOOKUP($A244,'STOCK DATA'!$A$2:$H$521,3,FALSE)</f>
        <v>#N/A</v>
      </c>
      <c r="G244" t="e">
        <f>VLOOKUP($A244,'STOCK DATA'!$A$2:$H$521,3,FALSE)</f>
        <v>#N/A</v>
      </c>
      <c r="H244" t="e">
        <f>VLOOKUP($A244,'STOCK DATA'!$A$2:$H$521,3,FALSE)</f>
        <v>#N/A</v>
      </c>
      <c r="I244" t="e">
        <f>VLOOKUP(A244,'Short-term interest Rates daily'!$A:$E,2,FALSE)</f>
        <v>#N/A</v>
      </c>
      <c r="J244" t="e">
        <f>VLOOKUP(A244,'Short-term interest Rates daily'!$A:$E,3,FALSE)</f>
        <v>#N/A</v>
      </c>
      <c r="K244" t="e">
        <f>VLOOKUP(A244,'Short-term interest Rates daily'!$A:$E,4,FALSE)</f>
        <v>#N/A</v>
      </c>
      <c r="L244" t="e">
        <f>VLOOKUP(A244,'Short-term interest Rates daily'!$A:$E,5,FALSE)</f>
        <v>#N/A</v>
      </c>
    </row>
    <row r="245" spans="1:12" x14ac:dyDescent="0.3">
      <c r="A245" s="1">
        <v>31656</v>
      </c>
      <c r="B245">
        <f>VLOOKUP(A245,'STOCK DATA'!$A$2:$H$522,2,FALSE)</f>
        <v>122.51</v>
      </c>
      <c r="C245">
        <f>VLOOKUP($A245,'STOCK DATA'!$A$2:H$521,3,FALSE)</f>
        <v>1200</v>
      </c>
      <c r="D245">
        <f>VLOOKUP($A245,'STOCK DATA'!$A$2:$H$521,3,FALSE)</f>
        <v>1200</v>
      </c>
      <c r="E245">
        <f>VLOOKUP($A245,'STOCK DATA'!$A$2:$H$521,3,FALSE)</f>
        <v>1200</v>
      </c>
      <c r="F245">
        <f>VLOOKUP($A245,'STOCK DATA'!$A$2:$H$521,3,FALSE)</f>
        <v>1200</v>
      </c>
      <c r="G245">
        <f>VLOOKUP($A245,'STOCK DATA'!$A$2:$H$521,3,FALSE)</f>
        <v>1200</v>
      </c>
      <c r="H245">
        <f>VLOOKUP($A245,'STOCK DATA'!$A$2:$H$521,3,FALSE)</f>
        <v>1200</v>
      </c>
      <c r="I245">
        <f>VLOOKUP(A245,'Short-term interest Rates daily'!$A:$E,2,FALSE)</f>
        <v>18.38</v>
      </c>
      <c r="J245">
        <f>VLOOKUP(A245,'Short-term interest Rates daily'!$A:$E,3,FALSE)</f>
        <v>0</v>
      </c>
      <c r="K245">
        <f>VLOOKUP(A245,'Short-term interest Rates daily'!$A:$E,4,FALSE)</f>
        <v>9.49</v>
      </c>
      <c r="L245">
        <f>VLOOKUP(A245,'Short-term interest Rates daily'!$A:$E,5,FALSE)</f>
        <v>0</v>
      </c>
    </row>
    <row r="246" spans="1:12" x14ac:dyDescent="0.3">
      <c r="A246" s="1">
        <v>31657</v>
      </c>
      <c r="B246">
        <f>VLOOKUP(A246,'STOCK DATA'!$A$2:$H$522,2,FALSE)</f>
        <v>123.93</v>
      </c>
      <c r="C246">
        <f>VLOOKUP($A246,'STOCK DATA'!$A$2:H$521,3,FALSE)</f>
        <v>1211.4000000000001</v>
      </c>
      <c r="D246">
        <f>VLOOKUP($A246,'STOCK DATA'!$A$2:$H$521,3,FALSE)</f>
        <v>1211.4000000000001</v>
      </c>
      <c r="E246">
        <f>VLOOKUP($A246,'STOCK DATA'!$A$2:$H$521,3,FALSE)</f>
        <v>1211.4000000000001</v>
      </c>
      <c r="F246">
        <f>VLOOKUP($A246,'STOCK DATA'!$A$2:$H$521,3,FALSE)</f>
        <v>1211.4000000000001</v>
      </c>
      <c r="G246">
        <f>VLOOKUP($A246,'STOCK DATA'!$A$2:$H$521,3,FALSE)</f>
        <v>1211.4000000000001</v>
      </c>
      <c r="H246">
        <f>VLOOKUP($A246,'STOCK DATA'!$A$2:$H$521,3,FALSE)</f>
        <v>1211.4000000000001</v>
      </c>
      <c r="I246">
        <f>VLOOKUP(A246,'Short-term interest Rates daily'!$A:$E,2,FALSE)</f>
        <v>18.25</v>
      </c>
      <c r="J246">
        <f>VLOOKUP(A246,'Short-term interest Rates daily'!$A:$E,3,FALSE)</f>
        <v>8.17</v>
      </c>
      <c r="K246">
        <f>VLOOKUP(A246,'Short-term interest Rates daily'!$A:$E,4,FALSE)</f>
        <v>9.4600000000000009</v>
      </c>
      <c r="L246">
        <f>VLOOKUP(A246,'Short-term interest Rates daily'!$A:$E,5,FALSE)</f>
        <v>5.19</v>
      </c>
    </row>
    <row r="247" spans="1:12" x14ac:dyDescent="0.3">
      <c r="A247" s="1">
        <v>31658</v>
      </c>
      <c r="B247">
        <f>VLOOKUP(A247,'STOCK DATA'!$A$2:$H$522,2,FALSE)</f>
        <v>123.79</v>
      </c>
      <c r="C247">
        <f>VLOOKUP($A247,'STOCK DATA'!$A$2:H$521,3,FALSE)</f>
        <v>1220</v>
      </c>
      <c r="D247">
        <f>VLOOKUP($A247,'STOCK DATA'!$A$2:$H$521,3,FALSE)</f>
        <v>1220</v>
      </c>
      <c r="E247">
        <f>VLOOKUP($A247,'STOCK DATA'!$A$2:$H$521,3,FALSE)</f>
        <v>1220</v>
      </c>
      <c r="F247">
        <f>VLOOKUP($A247,'STOCK DATA'!$A$2:$H$521,3,FALSE)</f>
        <v>1220</v>
      </c>
      <c r="G247">
        <f>VLOOKUP($A247,'STOCK DATA'!$A$2:$H$521,3,FALSE)</f>
        <v>1220</v>
      </c>
      <c r="H247">
        <f>VLOOKUP($A247,'STOCK DATA'!$A$2:$H$521,3,FALSE)</f>
        <v>1220</v>
      </c>
      <c r="I247">
        <f>VLOOKUP(A247,'Short-term interest Rates daily'!$A:$E,2,FALSE)</f>
        <v>17.75</v>
      </c>
      <c r="J247">
        <f>VLOOKUP(A247,'Short-term interest Rates daily'!$A:$E,3,FALSE)</f>
        <v>8.1999999999999993</v>
      </c>
      <c r="K247">
        <f>VLOOKUP(A247,'Short-term interest Rates daily'!$A:$E,4,FALSE)</f>
        <v>9.5500000000000007</v>
      </c>
      <c r="L247">
        <f>VLOOKUP(A247,'Short-term interest Rates daily'!$A:$E,5,FALSE)</f>
        <v>5.24</v>
      </c>
    </row>
    <row r="248" spans="1:12" x14ac:dyDescent="0.3">
      <c r="A248" s="1">
        <v>31659</v>
      </c>
      <c r="B248">
        <f>VLOOKUP(A248,'STOCK DATA'!$A$2:$H$522,2,FALSE)</f>
        <v>124.91</v>
      </c>
      <c r="C248">
        <f>VLOOKUP($A248,'STOCK DATA'!$A$2:H$521,3,FALSE)</f>
        <v>1231.7</v>
      </c>
      <c r="D248">
        <f>VLOOKUP($A248,'STOCK DATA'!$A$2:$H$521,3,FALSE)</f>
        <v>1231.7</v>
      </c>
      <c r="E248">
        <f>VLOOKUP($A248,'STOCK DATA'!$A$2:$H$521,3,FALSE)</f>
        <v>1231.7</v>
      </c>
      <c r="F248">
        <f>VLOOKUP($A248,'STOCK DATA'!$A$2:$H$521,3,FALSE)</f>
        <v>1231.7</v>
      </c>
      <c r="G248">
        <f>VLOOKUP($A248,'STOCK DATA'!$A$2:$H$521,3,FALSE)</f>
        <v>1231.7</v>
      </c>
      <c r="H248">
        <f>VLOOKUP($A248,'STOCK DATA'!$A$2:$H$521,3,FALSE)</f>
        <v>1231.7</v>
      </c>
      <c r="I248">
        <f>VLOOKUP(A248,'Short-term interest Rates daily'!$A:$E,2,FALSE)</f>
        <v>17.75</v>
      </c>
      <c r="J248">
        <f>VLOOKUP(A248,'Short-term interest Rates daily'!$A:$E,3,FALSE)</f>
        <v>8.23</v>
      </c>
      <c r="K248">
        <f>VLOOKUP(A248,'Short-term interest Rates daily'!$A:$E,4,FALSE)</f>
        <v>9.5399999999999991</v>
      </c>
      <c r="L248">
        <f>VLOOKUP(A248,'Short-term interest Rates daily'!$A:$E,5,FALSE)</f>
        <v>5.19</v>
      </c>
    </row>
    <row r="249" spans="1:12" x14ac:dyDescent="0.3">
      <c r="A249" s="1">
        <v>31660</v>
      </c>
      <c r="B249">
        <f>VLOOKUP(A249,'STOCK DATA'!$A$2:$H$522,2,FALSE)</f>
        <v>125.28</v>
      </c>
      <c r="C249">
        <f>VLOOKUP($A249,'STOCK DATA'!$A$2:H$521,3,FALSE)</f>
        <v>1238.5</v>
      </c>
      <c r="D249">
        <f>VLOOKUP($A249,'STOCK DATA'!$A$2:$H$521,3,FALSE)</f>
        <v>1238.5</v>
      </c>
      <c r="E249">
        <f>VLOOKUP($A249,'STOCK DATA'!$A$2:$H$521,3,FALSE)</f>
        <v>1238.5</v>
      </c>
      <c r="F249">
        <f>VLOOKUP($A249,'STOCK DATA'!$A$2:$H$521,3,FALSE)</f>
        <v>1238.5</v>
      </c>
      <c r="G249">
        <f>VLOOKUP($A249,'STOCK DATA'!$A$2:$H$521,3,FALSE)</f>
        <v>1238.5</v>
      </c>
      <c r="H249">
        <f>VLOOKUP($A249,'STOCK DATA'!$A$2:$H$521,3,FALSE)</f>
        <v>1238.5</v>
      </c>
      <c r="I249">
        <f>VLOOKUP(A249,'Short-term interest Rates daily'!$A:$E,2,FALSE)</f>
        <v>17.5</v>
      </c>
      <c r="J249">
        <f>VLOOKUP(A249,'Short-term interest Rates daily'!$A:$E,3,FALSE)</f>
        <v>8.24</v>
      </c>
      <c r="K249">
        <f>VLOOKUP(A249,'Short-term interest Rates daily'!$A:$E,4,FALSE)</f>
        <v>9.5500000000000007</v>
      </c>
      <c r="L249">
        <f>VLOOKUP(A249,'Short-term interest Rates daily'!$A:$E,5,FALSE)</f>
        <v>5.23</v>
      </c>
    </row>
    <row r="250" spans="1:12" x14ac:dyDescent="0.3">
      <c r="A250" s="1">
        <v>31661</v>
      </c>
      <c r="B250" t="e">
        <f>VLOOKUP(A250,'STOCK DATA'!$A$2:$H$522,2,FALSE)</f>
        <v>#N/A</v>
      </c>
      <c r="C250" t="e">
        <f>VLOOKUP($A250,'STOCK DATA'!$A$2:H$521,3,FALSE)</f>
        <v>#N/A</v>
      </c>
      <c r="D250" t="e">
        <f>VLOOKUP($A250,'STOCK DATA'!$A$2:$H$521,3,FALSE)</f>
        <v>#N/A</v>
      </c>
      <c r="E250" t="e">
        <f>VLOOKUP($A250,'STOCK DATA'!$A$2:$H$521,3,FALSE)</f>
        <v>#N/A</v>
      </c>
      <c r="F250" t="e">
        <f>VLOOKUP($A250,'STOCK DATA'!$A$2:$H$521,3,FALSE)</f>
        <v>#N/A</v>
      </c>
      <c r="G250" t="e">
        <f>VLOOKUP($A250,'STOCK DATA'!$A$2:$H$521,3,FALSE)</f>
        <v>#N/A</v>
      </c>
      <c r="H250" t="e">
        <f>VLOOKUP($A250,'STOCK DATA'!$A$2:$H$521,3,FALSE)</f>
        <v>#N/A</v>
      </c>
      <c r="I250" t="e">
        <f>VLOOKUP(A250,'Short-term interest Rates daily'!$A:$E,2,FALSE)</f>
        <v>#N/A</v>
      </c>
      <c r="J250" t="e">
        <f>VLOOKUP(A250,'Short-term interest Rates daily'!$A:$E,3,FALSE)</f>
        <v>#N/A</v>
      </c>
      <c r="K250" t="e">
        <f>VLOOKUP(A250,'Short-term interest Rates daily'!$A:$E,4,FALSE)</f>
        <v>#N/A</v>
      </c>
      <c r="L250" t="e">
        <f>VLOOKUP(A250,'Short-term interest Rates daily'!$A:$E,5,FALSE)</f>
        <v>#N/A</v>
      </c>
    </row>
    <row r="251" spans="1:12" x14ac:dyDescent="0.3">
      <c r="A251" s="1">
        <v>31662</v>
      </c>
      <c r="B251" t="e">
        <f>VLOOKUP(A251,'STOCK DATA'!$A$2:$H$522,2,FALSE)</f>
        <v>#N/A</v>
      </c>
      <c r="C251" t="e">
        <f>VLOOKUP($A251,'STOCK DATA'!$A$2:H$521,3,FALSE)</f>
        <v>#N/A</v>
      </c>
      <c r="D251" t="e">
        <f>VLOOKUP($A251,'STOCK DATA'!$A$2:$H$521,3,FALSE)</f>
        <v>#N/A</v>
      </c>
      <c r="E251" t="e">
        <f>VLOOKUP($A251,'STOCK DATA'!$A$2:$H$521,3,FALSE)</f>
        <v>#N/A</v>
      </c>
      <c r="F251" t="e">
        <f>VLOOKUP($A251,'STOCK DATA'!$A$2:$H$521,3,FALSE)</f>
        <v>#N/A</v>
      </c>
      <c r="G251" t="e">
        <f>VLOOKUP($A251,'STOCK DATA'!$A$2:$H$521,3,FALSE)</f>
        <v>#N/A</v>
      </c>
      <c r="H251" t="e">
        <f>VLOOKUP($A251,'STOCK DATA'!$A$2:$H$521,3,FALSE)</f>
        <v>#N/A</v>
      </c>
      <c r="I251" t="e">
        <f>VLOOKUP(A251,'Short-term interest Rates daily'!$A:$E,2,FALSE)</f>
        <v>#N/A</v>
      </c>
      <c r="J251" t="e">
        <f>VLOOKUP(A251,'Short-term interest Rates daily'!$A:$E,3,FALSE)</f>
        <v>#N/A</v>
      </c>
      <c r="K251" t="e">
        <f>VLOOKUP(A251,'Short-term interest Rates daily'!$A:$E,4,FALSE)</f>
        <v>#N/A</v>
      </c>
      <c r="L251" t="e">
        <f>VLOOKUP(A251,'Short-term interest Rates daily'!$A:$E,5,FALSE)</f>
        <v>#N/A</v>
      </c>
    </row>
    <row r="252" spans="1:12" x14ac:dyDescent="0.3">
      <c r="A252" s="1">
        <v>31663</v>
      </c>
      <c r="B252">
        <f>VLOOKUP(A252,'STOCK DATA'!$A$2:$H$522,2,FALSE)</f>
        <v>123.31</v>
      </c>
      <c r="C252">
        <f>VLOOKUP($A252,'STOCK DATA'!$A$2:H$521,3,FALSE)</f>
        <v>1235.5</v>
      </c>
      <c r="D252">
        <f>VLOOKUP($A252,'STOCK DATA'!$A$2:$H$521,3,FALSE)</f>
        <v>1235.5</v>
      </c>
      <c r="E252">
        <f>VLOOKUP($A252,'STOCK DATA'!$A$2:$H$521,3,FALSE)</f>
        <v>1235.5</v>
      </c>
      <c r="F252">
        <f>VLOOKUP($A252,'STOCK DATA'!$A$2:$H$521,3,FALSE)</f>
        <v>1235.5</v>
      </c>
      <c r="G252">
        <f>VLOOKUP($A252,'STOCK DATA'!$A$2:$H$521,3,FALSE)</f>
        <v>1235.5</v>
      </c>
      <c r="H252">
        <f>VLOOKUP($A252,'STOCK DATA'!$A$2:$H$521,3,FALSE)</f>
        <v>1235.5</v>
      </c>
      <c r="I252">
        <f>VLOOKUP(A252,'Short-term interest Rates daily'!$A:$E,2,FALSE)</f>
        <v>17.63</v>
      </c>
      <c r="J252">
        <f>VLOOKUP(A252,'Short-term interest Rates daily'!$A:$E,3,FALSE)</f>
        <v>8.24</v>
      </c>
      <c r="K252">
        <f>VLOOKUP(A252,'Short-term interest Rates daily'!$A:$E,4,FALSE)</f>
        <v>9.6300000000000008</v>
      </c>
      <c r="L252">
        <f>VLOOKUP(A252,'Short-term interest Rates daily'!$A:$E,5,FALSE)</f>
        <v>5.24</v>
      </c>
    </row>
    <row r="253" spans="1:12" x14ac:dyDescent="0.3">
      <c r="A253" s="1">
        <v>31664</v>
      </c>
      <c r="B253">
        <f>VLOOKUP(A253,'STOCK DATA'!$A$2:$H$522,2,FALSE)</f>
        <v>123.91</v>
      </c>
      <c r="C253">
        <f>VLOOKUP($A253,'STOCK DATA'!$A$2:H$521,3,FALSE)</f>
        <v>1220.7</v>
      </c>
      <c r="D253">
        <f>VLOOKUP($A253,'STOCK DATA'!$A$2:$H$521,3,FALSE)</f>
        <v>1220.7</v>
      </c>
      <c r="E253">
        <f>VLOOKUP($A253,'STOCK DATA'!$A$2:$H$521,3,FALSE)</f>
        <v>1220.7</v>
      </c>
      <c r="F253">
        <f>VLOOKUP($A253,'STOCK DATA'!$A$2:$H$521,3,FALSE)</f>
        <v>1220.7</v>
      </c>
      <c r="G253">
        <f>VLOOKUP($A253,'STOCK DATA'!$A$2:$H$521,3,FALSE)</f>
        <v>1220.7</v>
      </c>
      <c r="H253">
        <f>VLOOKUP($A253,'STOCK DATA'!$A$2:$H$521,3,FALSE)</f>
        <v>1220.7</v>
      </c>
      <c r="I253">
        <f>VLOOKUP(A253,'Short-term interest Rates daily'!$A:$E,2,FALSE)</f>
        <v>18</v>
      </c>
      <c r="J253">
        <f>VLOOKUP(A253,'Short-term interest Rates daily'!$A:$E,3,FALSE)</f>
        <v>8.2100000000000009</v>
      </c>
      <c r="K253">
        <f>VLOOKUP(A253,'Short-term interest Rates daily'!$A:$E,4,FALSE)</f>
        <v>9.6300000000000008</v>
      </c>
      <c r="L253">
        <f>VLOOKUP(A253,'Short-term interest Rates daily'!$A:$E,5,FALSE)</f>
        <v>5.2</v>
      </c>
    </row>
    <row r="254" spans="1:12" x14ac:dyDescent="0.3">
      <c r="A254" s="1">
        <v>31665</v>
      </c>
      <c r="B254">
        <f>VLOOKUP(A254,'STOCK DATA'!$A$2:$H$522,2,FALSE)</f>
        <v>123.02</v>
      </c>
      <c r="C254">
        <f>VLOOKUP($A254,'STOCK DATA'!$A$2:H$521,3,FALSE)</f>
        <v>1232.4000000000001</v>
      </c>
      <c r="D254">
        <f>VLOOKUP($A254,'STOCK DATA'!$A$2:$H$521,3,FALSE)</f>
        <v>1232.4000000000001</v>
      </c>
      <c r="E254">
        <f>VLOOKUP($A254,'STOCK DATA'!$A$2:$H$521,3,FALSE)</f>
        <v>1232.4000000000001</v>
      </c>
      <c r="F254">
        <f>VLOOKUP($A254,'STOCK DATA'!$A$2:$H$521,3,FALSE)</f>
        <v>1232.4000000000001</v>
      </c>
      <c r="G254">
        <f>VLOOKUP($A254,'STOCK DATA'!$A$2:$H$521,3,FALSE)</f>
        <v>1232.4000000000001</v>
      </c>
      <c r="H254">
        <f>VLOOKUP($A254,'STOCK DATA'!$A$2:$H$521,3,FALSE)</f>
        <v>1232.4000000000001</v>
      </c>
      <c r="I254">
        <f>VLOOKUP(A254,'Short-term interest Rates daily'!$A:$E,2,FALSE)</f>
        <v>18.63</v>
      </c>
      <c r="J254">
        <f>VLOOKUP(A254,'Short-term interest Rates daily'!$A:$E,3,FALSE)</f>
        <v>8.25</v>
      </c>
      <c r="K254">
        <f>VLOOKUP(A254,'Short-term interest Rates daily'!$A:$E,4,FALSE)</f>
        <v>9.65</v>
      </c>
      <c r="L254">
        <f>VLOOKUP(A254,'Short-term interest Rates daily'!$A:$E,5,FALSE)</f>
        <v>5.16</v>
      </c>
    </row>
    <row r="255" spans="1:12" x14ac:dyDescent="0.3">
      <c r="A255" s="1">
        <v>31666</v>
      </c>
      <c r="B255">
        <f>VLOOKUP(A255,'STOCK DATA'!$A$2:$H$522,2,FALSE)</f>
        <v>122.51</v>
      </c>
      <c r="C255">
        <f>VLOOKUP($A255,'STOCK DATA'!$A$2:H$521,3,FALSE)</f>
        <v>1235.3</v>
      </c>
      <c r="D255">
        <f>VLOOKUP($A255,'STOCK DATA'!$A$2:$H$521,3,FALSE)</f>
        <v>1235.3</v>
      </c>
      <c r="E255">
        <f>VLOOKUP($A255,'STOCK DATA'!$A$2:$H$521,3,FALSE)</f>
        <v>1235.3</v>
      </c>
      <c r="F255">
        <f>VLOOKUP($A255,'STOCK DATA'!$A$2:$H$521,3,FALSE)</f>
        <v>1235.3</v>
      </c>
      <c r="G255">
        <f>VLOOKUP($A255,'STOCK DATA'!$A$2:$H$521,3,FALSE)</f>
        <v>1235.3</v>
      </c>
      <c r="H255">
        <f>VLOOKUP($A255,'STOCK DATA'!$A$2:$H$521,3,FALSE)</f>
        <v>1235.3</v>
      </c>
      <c r="I255">
        <f>VLOOKUP(A255,'Short-term interest Rates daily'!$A:$E,2,FALSE)</f>
        <v>18</v>
      </c>
      <c r="J255">
        <f>VLOOKUP(A255,'Short-term interest Rates daily'!$A:$E,3,FALSE)</f>
        <v>8.3699999999999992</v>
      </c>
      <c r="K255">
        <f>VLOOKUP(A255,'Short-term interest Rates daily'!$A:$E,4,FALSE)</f>
        <v>9.68</v>
      </c>
      <c r="L255">
        <f>VLOOKUP(A255,'Short-term interest Rates daily'!$A:$E,5,FALSE)</f>
        <v>5.21</v>
      </c>
    </row>
    <row r="256" spans="1:12" x14ac:dyDescent="0.3">
      <c r="A256" s="1">
        <v>31667</v>
      </c>
      <c r="B256">
        <f>VLOOKUP(A256,'STOCK DATA'!$A$2:$H$522,2,FALSE)</f>
        <v>119.04</v>
      </c>
      <c r="C256">
        <f>VLOOKUP($A256,'STOCK DATA'!$A$2:H$521,3,FALSE)</f>
        <v>1235.9000000000001</v>
      </c>
      <c r="D256">
        <f>VLOOKUP($A256,'STOCK DATA'!$A$2:$H$521,3,FALSE)</f>
        <v>1235.9000000000001</v>
      </c>
      <c r="E256">
        <f>VLOOKUP($A256,'STOCK DATA'!$A$2:$H$521,3,FALSE)</f>
        <v>1235.9000000000001</v>
      </c>
      <c r="F256">
        <f>VLOOKUP($A256,'STOCK DATA'!$A$2:$H$521,3,FALSE)</f>
        <v>1235.9000000000001</v>
      </c>
      <c r="G256">
        <f>VLOOKUP($A256,'STOCK DATA'!$A$2:$H$521,3,FALSE)</f>
        <v>1235.9000000000001</v>
      </c>
      <c r="H256">
        <f>VLOOKUP($A256,'STOCK DATA'!$A$2:$H$521,3,FALSE)</f>
        <v>1235.9000000000001</v>
      </c>
      <c r="I256">
        <f>VLOOKUP(A256,'Short-term interest Rates daily'!$A:$E,2,FALSE)</f>
        <v>17.63</v>
      </c>
      <c r="J256">
        <f>VLOOKUP(A256,'Short-term interest Rates daily'!$A:$E,3,FALSE)</f>
        <v>8.3000000000000007</v>
      </c>
      <c r="K256">
        <f>VLOOKUP(A256,'Short-term interest Rates daily'!$A:$E,4,FALSE)</f>
        <v>9.68</v>
      </c>
      <c r="L256">
        <f>VLOOKUP(A256,'Short-term interest Rates daily'!$A:$E,5,FALSE)</f>
        <v>5.17</v>
      </c>
    </row>
    <row r="257" spans="1:12" x14ac:dyDescent="0.3">
      <c r="A257" s="1">
        <v>31668</v>
      </c>
      <c r="B257" t="e">
        <f>VLOOKUP(A257,'STOCK DATA'!$A$2:$H$522,2,FALSE)</f>
        <v>#N/A</v>
      </c>
      <c r="C257" t="e">
        <f>VLOOKUP($A257,'STOCK DATA'!$A$2:H$521,3,FALSE)</f>
        <v>#N/A</v>
      </c>
      <c r="D257" t="e">
        <f>VLOOKUP($A257,'STOCK DATA'!$A$2:$H$521,3,FALSE)</f>
        <v>#N/A</v>
      </c>
      <c r="E257" t="e">
        <f>VLOOKUP($A257,'STOCK DATA'!$A$2:$H$521,3,FALSE)</f>
        <v>#N/A</v>
      </c>
      <c r="F257" t="e">
        <f>VLOOKUP($A257,'STOCK DATA'!$A$2:$H$521,3,FALSE)</f>
        <v>#N/A</v>
      </c>
      <c r="G257" t="e">
        <f>VLOOKUP($A257,'STOCK DATA'!$A$2:$H$521,3,FALSE)</f>
        <v>#N/A</v>
      </c>
      <c r="H257" t="e">
        <f>VLOOKUP($A257,'STOCK DATA'!$A$2:$H$521,3,FALSE)</f>
        <v>#N/A</v>
      </c>
      <c r="I257" t="e">
        <f>VLOOKUP(A257,'Short-term interest Rates daily'!$A:$E,2,FALSE)</f>
        <v>#N/A</v>
      </c>
      <c r="J257" t="e">
        <f>VLOOKUP(A257,'Short-term interest Rates daily'!$A:$E,3,FALSE)</f>
        <v>#N/A</v>
      </c>
      <c r="K257" t="e">
        <f>VLOOKUP(A257,'Short-term interest Rates daily'!$A:$E,4,FALSE)</f>
        <v>#N/A</v>
      </c>
      <c r="L257" t="e">
        <f>VLOOKUP(A257,'Short-term interest Rates daily'!$A:$E,5,FALSE)</f>
        <v>#N/A</v>
      </c>
    </row>
    <row r="258" spans="1:12" x14ac:dyDescent="0.3">
      <c r="A258" s="1">
        <v>31669</v>
      </c>
      <c r="B258" t="e">
        <f>VLOOKUP(A258,'STOCK DATA'!$A$2:$H$522,2,FALSE)</f>
        <v>#N/A</v>
      </c>
      <c r="C258" t="e">
        <f>VLOOKUP($A258,'STOCK DATA'!$A$2:H$521,3,FALSE)</f>
        <v>#N/A</v>
      </c>
      <c r="D258" t="e">
        <f>VLOOKUP($A258,'STOCK DATA'!$A$2:$H$521,3,FALSE)</f>
        <v>#N/A</v>
      </c>
      <c r="E258" t="e">
        <f>VLOOKUP($A258,'STOCK DATA'!$A$2:$H$521,3,FALSE)</f>
        <v>#N/A</v>
      </c>
      <c r="F258" t="e">
        <f>VLOOKUP($A258,'STOCK DATA'!$A$2:$H$521,3,FALSE)</f>
        <v>#N/A</v>
      </c>
      <c r="G258" t="e">
        <f>VLOOKUP($A258,'STOCK DATA'!$A$2:$H$521,3,FALSE)</f>
        <v>#N/A</v>
      </c>
      <c r="H258" t="e">
        <f>VLOOKUP($A258,'STOCK DATA'!$A$2:$H$521,3,FALSE)</f>
        <v>#N/A</v>
      </c>
      <c r="I258" t="e">
        <f>VLOOKUP(A258,'Short-term interest Rates daily'!$A:$E,2,FALSE)</f>
        <v>#N/A</v>
      </c>
      <c r="J258" t="e">
        <f>VLOOKUP(A258,'Short-term interest Rates daily'!$A:$E,3,FALSE)</f>
        <v>#N/A</v>
      </c>
      <c r="K258" t="e">
        <f>VLOOKUP(A258,'Short-term interest Rates daily'!$A:$E,4,FALSE)</f>
        <v>#N/A</v>
      </c>
      <c r="L258" t="e">
        <f>VLOOKUP(A258,'Short-term interest Rates daily'!$A:$E,5,FALSE)</f>
        <v>#N/A</v>
      </c>
    </row>
    <row r="259" spans="1:12" x14ac:dyDescent="0.3">
      <c r="A259" s="1">
        <v>31670</v>
      </c>
      <c r="B259">
        <f>VLOOKUP(A259,'STOCK DATA'!$A$2:$H$522,2,FALSE)</f>
        <v>119.65</v>
      </c>
      <c r="C259">
        <f>VLOOKUP($A259,'STOCK DATA'!$A$2:H$521,3,FALSE)</f>
        <v>1224.4000000000001</v>
      </c>
      <c r="D259">
        <f>VLOOKUP($A259,'STOCK DATA'!$A$2:$H$521,3,FALSE)</f>
        <v>1224.4000000000001</v>
      </c>
      <c r="E259">
        <f>VLOOKUP($A259,'STOCK DATA'!$A$2:$H$521,3,FALSE)</f>
        <v>1224.4000000000001</v>
      </c>
      <c r="F259">
        <f>VLOOKUP($A259,'STOCK DATA'!$A$2:$H$521,3,FALSE)</f>
        <v>1224.4000000000001</v>
      </c>
      <c r="G259">
        <f>VLOOKUP($A259,'STOCK DATA'!$A$2:$H$521,3,FALSE)</f>
        <v>1224.4000000000001</v>
      </c>
      <c r="H259">
        <f>VLOOKUP($A259,'STOCK DATA'!$A$2:$H$521,3,FALSE)</f>
        <v>1224.4000000000001</v>
      </c>
      <c r="I259">
        <f>VLOOKUP(A259,'Short-term interest Rates daily'!$A:$E,2,FALSE)</f>
        <v>17.63</v>
      </c>
      <c r="J259">
        <f>VLOOKUP(A259,'Short-term interest Rates daily'!$A:$E,3,FALSE)</f>
        <v>8.26</v>
      </c>
      <c r="K259">
        <f>VLOOKUP(A259,'Short-term interest Rates daily'!$A:$E,4,FALSE)</f>
        <v>9.65</v>
      </c>
      <c r="L259">
        <f>VLOOKUP(A259,'Short-term interest Rates daily'!$A:$E,5,FALSE)</f>
        <v>5.17</v>
      </c>
    </row>
    <row r="260" spans="1:12" x14ac:dyDescent="0.3">
      <c r="A260" s="1">
        <v>31671</v>
      </c>
      <c r="B260">
        <f>VLOOKUP(A260,'STOCK DATA'!$A$2:$H$522,2,FALSE)</f>
        <v>117.48</v>
      </c>
      <c r="C260">
        <f>VLOOKUP($A260,'STOCK DATA'!$A$2:H$521,3,FALSE)</f>
        <v>1222.0999999999999</v>
      </c>
      <c r="D260">
        <f>VLOOKUP($A260,'STOCK DATA'!$A$2:$H$521,3,FALSE)</f>
        <v>1222.0999999999999</v>
      </c>
      <c r="E260">
        <f>VLOOKUP($A260,'STOCK DATA'!$A$2:$H$521,3,FALSE)</f>
        <v>1222.0999999999999</v>
      </c>
      <c r="F260">
        <f>VLOOKUP($A260,'STOCK DATA'!$A$2:$H$521,3,FALSE)</f>
        <v>1222.0999999999999</v>
      </c>
      <c r="G260">
        <f>VLOOKUP($A260,'STOCK DATA'!$A$2:$H$521,3,FALSE)</f>
        <v>1222.0999999999999</v>
      </c>
      <c r="H260">
        <f>VLOOKUP($A260,'STOCK DATA'!$A$2:$H$521,3,FALSE)</f>
        <v>1222.0999999999999</v>
      </c>
      <c r="I260">
        <f>VLOOKUP(A260,'Short-term interest Rates daily'!$A:$E,2,FALSE)</f>
        <v>17.63</v>
      </c>
      <c r="J260">
        <f>VLOOKUP(A260,'Short-term interest Rates daily'!$A:$E,3,FALSE)</f>
        <v>8.32</v>
      </c>
      <c r="K260">
        <f>VLOOKUP(A260,'Short-term interest Rates daily'!$A:$E,4,FALSE)</f>
        <v>9.6199999999999992</v>
      </c>
      <c r="L260">
        <f>VLOOKUP(A260,'Short-term interest Rates daily'!$A:$E,5,FALSE)</f>
        <v>5.13</v>
      </c>
    </row>
    <row r="261" spans="1:12" x14ac:dyDescent="0.3">
      <c r="A261" s="1">
        <v>31672</v>
      </c>
      <c r="B261">
        <f>VLOOKUP(A261,'STOCK DATA'!$A$2:$H$522,2,FALSE)</f>
        <v>117.11</v>
      </c>
      <c r="C261">
        <f>VLOOKUP($A261,'STOCK DATA'!$A$2:H$521,3,FALSE)</f>
        <v>1214.3</v>
      </c>
      <c r="D261">
        <f>VLOOKUP($A261,'STOCK DATA'!$A$2:$H$521,3,FALSE)</f>
        <v>1214.3</v>
      </c>
      <c r="E261">
        <f>VLOOKUP($A261,'STOCK DATA'!$A$2:$H$521,3,FALSE)</f>
        <v>1214.3</v>
      </c>
      <c r="F261">
        <f>VLOOKUP($A261,'STOCK DATA'!$A$2:$H$521,3,FALSE)</f>
        <v>1214.3</v>
      </c>
      <c r="G261">
        <f>VLOOKUP($A261,'STOCK DATA'!$A$2:$H$521,3,FALSE)</f>
        <v>1214.3</v>
      </c>
      <c r="H261">
        <f>VLOOKUP($A261,'STOCK DATA'!$A$2:$H$521,3,FALSE)</f>
        <v>1214.3</v>
      </c>
      <c r="I261">
        <f>VLOOKUP(A261,'Short-term interest Rates daily'!$A:$E,2,FALSE)</f>
        <v>17.5</v>
      </c>
      <c r="J261">
        <f>VLOOKUP(A261,'Short-term interest Rates daily'!$A:$E,3,FALSE)</f>
        <v>8.39</v>
      </c>
      <c r="K261">
        <f>VLOOKUP(A261,'Short-term interest Rates daily'!$A:$E,4,FALSE)</f>
        <v>9.65</v>
      </c>
      <c r="L261">
        <f>VLOOKUP(A261,'Short-term interest Rates daily'!$A:$E,5,FALSE)</f>
        <v>5.12</v>
      </c>
    </row>
    <row r="262" spans="1:12" x14ac:dyDescent="0.3">
      <c r="A262" s="1">
        <v>31673</v>
      </c>
      <c r="B262">
        <f>VLOOKUP(A262,'STOCK DATA'!$A$2:$H$522,2,FALSE)</f>
        <v>115.89</v>
      </c>
      <c r="C262">
        <f>VLOOKUP($A262,'STOCK DATA'!$A$2:H$521,3,FALSE)</f>
        <v>1199.3</v>
      </c>
      <c r="D262">
        <f>VLOOKUP($A262,'STOCK DATA'!$A$2:$H$521,3,FALSE)</f>
        <v>1199.3</v>
      </c>
      <c r="E262">
        <f>VLOOKUP($A262,'STOCK DATA'!$A$2:$H$521,3,FALSE)</f>
        <v>1199.3</v>
      </c>
      <c r="F262">
        <f>VLOOKUP($A262,'STOCK DATA'!$A$2:$H$521,3,FALSE)</f>
        <v>1199.3</v>
      </c>
      <c r="G262">
        <f>VLOOKUP($A262,'STOCK DATA'!$A$2:$H$521,3,FALSE)</f>
        <v>1199.3</v>
      </c>
      <c r="H262">
        <f>VLOOKUP($A262,'STOCK DATA'!$A$2:$H$521,3,FALSE)</f>
        <v>1199.3</v>
      </c>
      <c r="I262">
        <f>VLOOKUP(A262,'Short-term interest Rates daily'!$A:$E,2,FALSE)</f>
        <v>17.38</v>
      </c>
      <c r="J262">
        <f>VLOOKUP(A262,'Short-term interest Rates daily'!$A:$E,3,FALSE)</f>
        <v>8.44</v>
      </c>
      <c r="K262">
        <f>VLOOKUP(A262,'Short-term interest Rates daily'!$A:$E,4,FALSE)</f>
        <v>9.68</v>
      </c>
      <c r="L262">
        <f>VLOOKUP(A262,'Short-term interest Rates daily'!$A:$E,5,FALSE)</f>
        <v>5.23</v>
      </c>
    </row>
    <row r="263" spans="1:12" x14ac:dyDescent="0.3">
      <c r="A263" s="1">
        <v>31674</v>
      </c>
      <c r="B263">
        <f>VLOOKUP(A263,'STOCK DATA'!$A$2:$H$522,2,FALSE)</f>
        <v>114.98</v>
      </c>
      <c r="C263">
        <f>VLOOKUP($A263,'STOCK DATA'!$A$2:H$521,3,FALSE)</f>
        <v>1210.5</v>
      </c>
      <c r="D263">
        <f>VLOOKUP($A263,'STOCK DATA'!$A$2:$H$521,3,FALSE)</f>
        <v>1210.5</v>
      </c>
      <c r="E263">
        <f>VLOOKUP($A263,'STOCK DATA'!$A$2:$H$521,3,FALSE)</f>
        <v>1210.5</v>
      </c>
      <c r="F263">
        <f>VLOOKUP($A263,'STOCK DATA'!$A$2:$H$521,3,FALSE)</f>
        <v>1210.5</v>
      </c>
      <c r="G263">
        <f>VLOOKUP($A263,'STOCK DATA'!$A$2:$H$521,3,FALSE)</f>
        <v>1210.5</v>
      </c>
      <c r="H263">
        <f>VLOOKUP($A263,'STOCK DATA'!$A$2:$H$521,3,FALSE)</f>
        <v>1210.5</v>
      </c>
      <c r="I263">
        <f>VLOOKUP(A263,'Short-term interest Rates daily'!$A:$E,2,FALSE)</f>
        <v>17.5</v>
      </c>
      <c r="J263">
        <f>VLOOKUP(A263,'Short-term interest Rates daily'!$A:$E,3,FALSE)</f>
        <v>8.41</v>
      </c>
      <c r="K263">
        <f>VLOOKUP(A263,'Short-term interest Rates daily'!$A:$E,4,FALSE)</f>
        <v>9.85</v>
      </c>
      <c r="L263">
        <f>VLOOKUP(A263,'Short-term interest Rates daily'!$A:$E,5,FALSE)</f>
        <v>5.25</v>
      </c>
    </row>
    <row r="264" spans="1:12" x14ac:dyDescent="0.3">
      <c r="A264" s="1">
        <v>31675</v>
      </c>
      <c r="B264" t="e">
        <f>VLOOKUP(A264,'STOCK DATA'!$A$2:$H$522,2,FALSE)</f>
        <v>#N/A</v>
      </c>
      <c r="C264" t="e">
        <f>VLOOKUP($A264,'STOCK DATA'!$A$2:H$521,3,FALSE)</f>
        <v>#N/A</v>
      </c>
      <c r="D264" t="e">
        <f>VLOOKUP($A264,'STOCK DATA'!$A$2:$H$521,3,FALSE)</f>
        <v>#N/A</v>
      </c>
      <c r="E264" t="e">
        <f>VLOOKUP($A264,'STOCK DATA'!$A$2:$H$521,3,FALSE)</f>
        <v>#N/A</v>
      </c>
      <c r="F264" t="e">
        <f>VLOOKUP($A264,'STOCK DATA'!$A$2:$H$521,3,FALSE)</f>
        <v>#N/A</v>
      </c>
      <c r="G264" t="e">
        <f>VLOOKUP($A264,'STOCK DATA'!$A$2:$H$521,3,FALSE)</f>
        <v>#N/A</v>
      </c>
      <c r="H264" t="e">
        <f>VLOOKUP($A264,'STOCK DATA'!$A$2:$H$521,3,FALSE)</f>
        <v>#N/A</v>
      </c>
      <c r="I264" t="e">
        <f>VLOOKUP(A264,'Short-term interest Rates daily'!$A:$E,2,FALSE)</f>
        <v>#N/A</v>
      </c>
      <c r="J264" t="e">
        <f>VLOOKUP(A264,'Short-term interest Rates daily'!$A:$E,3,FALSE)</f>
        <v>#N/A</v>
      </c>
      <c r="K264" t="e">
        <f>VLOOKUP(A264,'Short-term interest Rates daily'!$A:$E,4,FALSE)</f>
        <v>#N/A</v>
      </c>
      <c r="L264" t="e">
        <f>VLOOKUP(A264,'Short-term interest Rates daily'!$A:$E,5,FALSE)</f>
        <v>#N/A</v>
      </c>
    </row>
    <row r="265" spans="1:12" x14ac:dyDescent="0.3">
      <c r="A265" s="1">
        <v>31676</v>
      </c>
      <c r="B265" t="e">
        <f>VLOOKUP(A265,'STOCK DATA'!$A$2:$H$522,2,FALSE)</f>
        <v>#N/A</v>
      </c>
      <c r="C265" t="e">
        <f>VLOOKUP($A265,'STOCK DATA'!$A$2:H$521,3,FALSE)</f>
        <v>#N/A</v>
      </c>
      <c r="D265" t="e">
        <f>VLOOKUP($A265,'STOCK DATA'!$A$2:$H$521,3,FALSE)</f>
        <v>#N/A</v>
      </c>
      <c r="E265" t="e">
        <f>VLOOKUP($A265,'STOCK DATA'!$A$2:$H$521,3,FALSE)</f>
        <v>#N/A</v>
      </c>
      <c r="F265" t="e">
        <f>VLOOKUP($A265,'STOCK DATA'!$A$2:$H$521,3,FALSE)</f>
        <v>#N/A</v>
      </c>
      <c r="G265" t="e">
        <f>VLOOKUP($A265,'STOCK DATA'!$A$2:$H$521,3,FALSE)</f>
        <v>#N/A</v>
      </c>
      <c r="H265" t="e">
        <f>VLOOKUP($A265,'STOCK DATA'!$A$2:$H$521,3,FALSE)</f>
        <v>#N/A</v>
      </c>
      <c r="I265" t="e">
        <f>VLOOKUP(A265,'Short-term interest Rates daily'!$A:$E,2,FALSE)</f>
        <v>#N/A</v>
      </c>
      <c r="J265" t="e">
        <f>VLOOKUP(A265,'Short-term interest Rates daily'!$A:$E,3,FALSE)</f>
        <v>#N/A</v>
      </c>
      <c r="K265" t="e">
        <f>VLOOKUP(A265,'Short-term interest Rates daily'!$A:$E,4,FALSE)</f>
        <v>#N/A</v>
      </c>
      <c r="L265" t="e">
        <f>VLOOKUP(A265,'Short-term interest Rates daily'!$A:$E,5,FALSE)</f>
        <v>#N/A</v>
      </c>
    </row>
    <row r="266" spans="1:12" x14ac:dyDescent="0.3">
      <c r="A266" s="1">
        <v>31677</v>
      </c>
      <c r="B266">
        <f>VLOOKUP(A266,'STOCK DATA'!$A$2:$H$522,2,FALSE)</f>
        <v>117.16</v>
      </c>
      <c r="C266">
        <f>VLOOKUP($A266,'STOCK DATA'!$A$2:H$521,3,FALSE)</f>
        <v>1223.8</v>
      </c>
      <c r="D266">
        <f>VLOOKUP($A266,'STOCK DATA'!$A$2:$H$521,3,FALSE)</f>
        <v>1223.8</v>
      </c>
      <c r="E266">
        <f>VLOOKUP($A266,'STOCK DATA'!$A$2:$H$521,3,FALSE)</f>
        <v>1223.8</v>
      </c>
      <c r="F266">
        <f>VLOOKUP($A266,'STOCK DATA'!$A$2:$H$521,3,FALSE)</f>
        <v>1223.8</v>
      </c>
      <c r="G266">
        <f>VLOOKUP($A266,'STOCK DATA'!$A$2:$H$521,3,FALSE)</f>
        <v>1223.8</v>
      </c>
      <c r="H266">
        <f>VLOOKUP($A266,'STOCK DATA'!$A$2:$H$521,3,FALSE)</f>
        <v>1223.8</v>
      </c>
      <c r="I266">
        <f>VLOOKUP(A266,'Short-term interest Rates daily'!$A:$E,2,FALSE)</f>
        <v>17.43</v>
      </c>
      <c r="J266">
        <f>VLOOKUP(A266,'Short-term interest Rates daily'!$A:$E,3,FALSE)</f>
        <v>8.3800000000000008</v>
      </c>
      <c r="K266">
        <f>VLOOKUP(A266,'Short-term interest Rates daily'!$A:$E,4,FALSE)</f>
        <v>9.85</v>
      </c>
      <c r="L266">
        <f>VLOOKUP(A266,'Short-term interest Rates daily'!$A:$E,5,FALSE)</f>
        <v>5.25</v>
      </c>
    </row>
    <row r="267" spans="1:12" x14ac:dyDescent="0.3">
      <c r="A267" s="1">
        <v>31678</v>
      </c>
      <c r="B267">
        <f>VLOOKUP(A267,'STOCK DATA'!$A$2:$H$522,2,FALSE)</f>
        <v>119.15</v>
      </c>
      <c r="C267">
        <f>VLOOKUP($A267,'STOCK DATA'!$A$2:H$521,3,FALSE)</f>
        <v>1234.0999999999999</v>
      </c>
      <c r="D267">
        <f>VLOOKUP($A267,'STOCK DATA'!$A$2:$H$521,3,FALSE)</f>
        <v>1234.0999999999999</v>
      </c>
      <c r="E267">
        <f>VLOOKUP($A267,'STOCK DATA'!$A$2:$H$521,3,FALSE)</f>
        <v>1234.0999999999999</v>
      </c>
      <c r="F267">
        <f>VLOOKUP($A267,'STOCK DATA'!$A$2:$H$521,3,FALSE)</f>
        <v>1234.0999999999999</v>
      </c>
      <c r="G267">
        <f>VLOOKUP($A267,'STOCK DATA'!$A$2:$H$521,3,FALSE)</f>
        <v>1234.0999999999999</v>
      </c>
      <c r="H267">
        <f>VLOOKUP($A267,'STOCK DATA'!$A$2:$H$521,3,FALSE)</f>
        <v>1234.0999999999999</v>
      </c>
      <c r="I267">
        <f>VLOOKUP(A267,'Short-term interest Rates daily'!$A:$E,2,FALSE)</f>
        <v>17.38</v>
      </c>
      <c r="J267">
        <f>VLOOKUP(A267,'Short-term interest Rates daily'!$A:$E,3,FALSE)</f>
        <v>8.3699999999999992</v>
      </c>
      <c r="K267">
        <f>VLOOKUP(A267,'Short-term interest Rates daily'!$A:$E,4,FALSE)</f>
        <v>9.91</v>
      </c>
      <c r="L267">
        <f>VLOOKUP(A267,'Short-term interest Rates daily'!$A:$E,5,FALSE)</f>
        <v>5.25</v>
      </c>
    </row>
    <row r="268" spans="1:12" x14ac:dyDescent="0.3">
      <c r="A268" s="1">
        <v>31679</v>
      </c>
      <c r="B268">
        <f>VLOOKUP(A268,'STOCK DATA'!$A$2:$H$522,2,FALSE)</f>
        <v>118.91</v>
      </c>
      <c r="C268">
        <f>VLOOKUP($A268,'STOCK DATA'!$A$2:H$521,3,FALSE)</f>
        <v>1235.9000000000001</v>
      </c>
      <c r="D268">
        <f>VLOOKUP($A268,'STOCK DATA'!$A$2:$H$521,3,FALSE)</f>
        <v>1235.9000000000001</v>
      </c>
      <c r="E268">
        <f>VLOOKUP($A268,'STOCK DATA'!$A$2:$H$521,3,FALSE)</f>
        <v>1235.9000000000001</v>
      </c>
      <c r="F268">
        <f>VLOOKUP($A268,'STOCK DATA'!$A$2:$H$521,3,FALSE)</f>
        <v>1235.9000000000001</v>
      </c>
      <c r="G268">
        <f>VLOOKUP($A268,'STOCK DATA'!$A$2:$H$521,3,FALSE)</f>
        <v>1235.9000000000001</v>
      </c>
      <c r="H268">
        <f>VLOOKUP($A268,'STOCK DATA'!$A$2:$H$521,3,FALSE)</f>
        <v>1235.9000000000001</v>
      </c>
      <c r="I268">
        <f>VLOOKUP(A268,'Short-term interest Rates daily'!$A:$E,2,FALSE)</f>
        <v>17.5</v>
      </c>
      <c r="J268">
        <f>VLOOKUP(A268,'Short-term interest Rates daily'!$A:$E,3,FALSE)</f>
        <v>8.31</v>
      </c>
      <c r="K268">
        <f>VLOOKUP(A268,'Short-term interest Rates daily'!$A:$E,4,FALSE)</f>
        <v>9.7799999999999994</v>
      </c>
      <c r="L268">
        <f>VLOOKUP(A268,'Short-term interest Rates daily'!$A:$E,5,FALSE)</f>
        <v>5.24</v>
      </c>
    </row>
    <row r="269" spans="1:12" x14ac:dyDescent="0.3">
      <c r="A269" s="1">
        <v>31680</v>
      </c>
      <c r="B269">
        <f>VLOOKUP(A269,'STOCK DATA'!$A$2:$H$522,2,FALSE)</f>
        <v>117.89</v>
      </c>
      <c r="C269">
        <f>VLOOKUP($A269,'STOCK DATA'!$A$2:H$521,3,FALSE)</f>
        <v>1250.5</v>
      </c>
      <c r="D269">
        <f>VLOOKUP($A269,'STOCK DATA'!$A$2:$H$521,3,FALSE)</f>
        <v>1250.5</v>
      </c>
      <c r="E269">
        <f>VLOOKUP($A269,'STOCK DATA'!$A$2:$H$521,3,FALSE)</f>
        <v>1250.5</v>
      </c>
      <c r="F269">
        <f>VLOOKUP($A269,'STOCK DATA'!$A$2:$H$521,3,FALSE)</f>
        <v>1250.5</v>
      </c>
      <c r="G269">
        <f>VLOOKUP($A269,'STOCK DATA'!$A$2:$H$521,3,FALSE)</f>
        <v>1250.5</v>
      </c>
      <c r="H269">
        <f>VLOOKUP($A269,'STOCK DATA'!$A$2:$H$521,3,FALSE)</f>
        <v>1250.5</v>
      </c>
      <c r="I269">
        <f>VLOOKUP(A269,'Short-term interest Rates daily'!$A:$E,2,FALSE)</f>
        <v>17.38</v>
      </c>
      <c r="J269">
        <f>VLOOKUP(A269,'Short-term interest Rates daily'!$A:$E,3,FALSE)</f>
        <v>8.36</v>
      </c>
      <c r="K269">
        <f>VLOOKUP(A269,'Short-term interest Rates daily'!$A:$E,4,FALSE)</f>
        <v>9.91</v>
      </c>
      <c r="L269">
        <f>VLOOKUP(A269,'Short-term interest Rates daily'!$A:$E,5,FALSE)</f>
        <v>5.23</v>
      </c>
    </row>
    <row r="270" spans="1:12" x14ac:dyDescent="0.3">
      <c r="A270" s="1">
        <v>31681</v>
      </c>
      <c r="B270">
        <f>VLOOKUP(A270,'STOCK DATA'!$A$2:$H$522,2,FALSE)</f>
        <v>116.33</v>
      </c>
      <c r="C270">
        <f>VLOOKUP($A270,'STOCK DATA'!$A$2:H$521,3,FALSE)</f>
        <v>1259</v>
      </c>
      <c r="D270">
        <f>VLOOKUP($A270,'STOCK DATA'!$A$2:$H$521,3,FALSE)</f>
        <v>1259</v>
      </c>
      <c r="E270">
        <f>VLOOKUP($A270,'STOCK DATA'!$A$2:$H$521,3,FALSE)</f>
        <v>1259</v>
      </c>
      <c r="F270">
        <f>VLOOKUP($A270,'STOCK DATA'!$A$2:$H$521,3,FALSE)</f>
        <v>1259</v>
      </c>
      <c r="G270">
        <f>VLOOKUP($A270,'STOCK DATA'!$A$2:$H$521,3,FALSE)</f>
        <v>1259</v>
      </c>
      <c r="H270">
        <f>VLOOKUP($A270,'STOCK DATA'!$A$2:$H$521,3,FALSE)</f>
        <v>1259</v>
      </c>
      <c r="I270">
        <f>VLOOKUP(A270,'Short-term interest Rates daily'!$A:$E,2,FALSE)</f>
        <v>17.55</v>
      </c>
      <c r="J270">
        <f>VLOOKUP(A270,'Short-term interest Rates daily'!$A:$E,3,FALSE)</f>
        <v>8.36</v>
      </c>
      <c r="K270">
        <f>VLOOKUP(A270,'Short-term interest Rates daily'!$A:$E,4,FALSE)</f>
        <v>10.25</v>
      </c>
      <c r="L270">
        <f>VLOOKUP(A270,'Short-term interest Rates daily'!$A:$E,5,FALSE)</f>
        <v>5.24</v>
      </c>
    </row>
    <row r="271" spans="1:12" x14ac:dyDescent="0.3">
      <c r="A271" s="1">
        <v>31682</v>
      </c>
      <c r="B271" t="e">
        <f>VLOOKUP(A271,'STOCK DATA'!$A$2:$H$522,2,FALSE)</f>
        <v>#N/A</v>
      </c>
      <c r="C271" t="e">
        <f>VLOOKUP($A271,'STOCK DATA'!$A$2:H$521,3,FALSE)</f>
        <v>#N/A</v>
      </c>
      <c r="D271" t="e">
        <f>VLOOKUP($A271,'STOCK DATA'!$A$2:$H$521,3,FALSE)</f>
        <v>#N/A</v>
      </c>
      <c r="E271" t="e">
        <f>VLOOKUP($A271,'STOCK DATA'!$A$2:$H$521,3,FALSE)</f>
        <v>#N/A</v>
      </c>
      <c r="F271" t="e">
        <f>VLOOKUP($A271,'STOCK DATA'!$A$2:$H$521,3,FALSE)</f>
        <v>#N/A</v>
      </c>
      <c r="G271" t="e">
        <f>VLOOKUP($A271,'STOCK DATA'!$A$2:$H$521,3,FALSE)</f>
        <v>#N/A</v>
      </c>
      <c r="H271" t="e">
        <f>VLOOKUP($A271,'STOCK DATA'!$A$2:$H$521,3,FALSE)</f>
        <v>#N/A</v>
      </c>
      <c r="I271" t="e">
        <f>VLOOKUP(A271,'Short-term interest Rates daily'!$A:$E,2,FALSE)</f>
        <v>#N/A</v>
      </c>
      <c r="J271" t="e">
        <f>VLOOKUP(A271,'Short-term interest Rates daily'!$A:$E,3,FALSE)</f>
        <v>#N/A</v>
      </c>
      <c r="K271" t="e">
        <f>VLOOKUP(A271,'Short-term interest Rates daily'!$A:$E,4,FALSE)</f>
        <v>#N/A</v>
      </c>
      <c r="L271" t="e">
        <f>VLOOKUP(A271,'Short-term interest Rates daily'!$A:$E,5,FALSE)</f>
        <v>#N/A</v>
      </c>
    </row>
    <row r="272" spans="1:12" x14ac:dyDescent="0.3">
      <c r="A272" s="1">
        <v>31683</v>
      </c>
      <c r="B272" t="e">
        <f>VLOOKUP(A272,'STOCK DATA'!$A$2:$H$522,2,FALSE)</f>
        <v>#N/A</v>
      </c>
      <c r="C272" t="e">
        <f>VLOOKUP($A272,'STOCK DATA'!$A$2:H$521,3,FALSE)</f>
        <v>#N/A</v>
      </c>
      <c r="D272" t="e">
        <f>VLOOKUP($A272,'STOCK DATA'!$A$2:$H$521,3,FALSE)</f>
        <v>#N/A</v>
      </c>
      <c r="E272" t="e">
        <f>VLOOKUP($A272,'STOCK DATA'!$A$2:$H$521,3,FALSE)</f>
        <v>#N/A</v>
      </c>
      <c r="F272" t="e">
        <f>VLOOKUP($A272,'STOCK DATA'!$A$2:$H$521,3,FALSE)</f>
        <v>#N/A</v>
      </c>
      <c r="G272" t="e">
        <f>VLOOKUP($A272,'STOCK DATA'!$A$2:$H$521,3,FALSE)</f>
        <v>#N/A</v>
      </c>
      <c r="H272" t="e">
        <f>VLOOKUP($A272,'STOCK DATA'!$A$2:$H$521,3,FALSE)</f>
        <v>#N/A</v>
      </c>
      <c r="I272" t="e">
        <f>VLOOKUP(A272,'Short-term interest Rates daily'!$A:$E,2,FALSE)</f>
        <v>#N/A</v>
      </c>
      <c r="J272" t="e">
        <f>VLOOKUP(A272,'Short-term interest Rates daily'!$A:$E,3,FALSE)</f>
        <v>#N/A</v>
      </c>
      <c r="K272" t="e">
        <f>VLOOKUP(A272,'Short-term interest Rates daily'!$A:$E,4,FALSE)</f>
        <v>#N/A</v>
      </c>
      <c r="L272" t="e">
        <f>VLOOKUP(A272,'Short-term interest Rates daily'!$A:$E,5,FALSE)</f>
        <v>#N/A</v>
      </c>
    </row>
    <row r="273" spans="1:12" x14ac:dyDescent="0.3">
      <c r="A273" s="1">
        <v>31684</v>
      </c>
      <c r="B273">
        <f>VLOOKUP(A273,'STOCK DATA'!$A$2:$H$522,2,FALSE)</f>
        <v>113.41</v>
      </c>
      <c r="C273">
        <f>VLOOKUP($A273,'STOCK DATA'!$A$2:H$521,3,FALSE)</f>
        <v>1257.2</v>
      </c>
      <c r="D273">
        <f>VLOOKUP($A273,'STOCK DATA'!$A$2:$H$521,3,FALSE)</f>
        <v>1257.2</v>
      </c>
      <c r="E273">
        <f>VLOOKUP($A273,'STOCK DATA'!$A$2:$H$521,3,FALSE)</f>
        <v>1257.2</v>
      </c>
      <c r="F273">
        <f>VLOOKUP($A273,'STOCK DATA'!$A$2:$H$521,3,FALSE)</f>
        <v>1257.2</v>
      </c>
      <c r="G273">
        <f>VLOOKUP($A273,'STOCK DATA'!$A$2:$H$521,3,FALSE)</f>
        <v>1257.2</v>
      </c>
      <c r="H273">
        <f>VLOOKUP($A273,'STOCK DATA'!$A$2:$H$521,3,FALSE)</f>
        <v>1257.2</v>
      </c>
      <c r="I273">
        <f>VLOOKUP(A273,'Short-term interest Rates daily'!$A:$E,2,FALSE)</f>
        <v>17.38</v>
      </c>
      <c r="J273">
        <f>VLOOKUP(A273,'Short-term interest Rates daily'!$A:$E,3,FALSE)</f>
        <v>8.3800000000000008</v>
      </c>
      <c r="K273">
        <f>VLOOKUP(A273,'Short-term interest Rates daily'!$A:$E,4,FALSE)</f>
        <v>10.82</v>
      </c>
      <c r="L273">
        <f>VLOOKUP(A273,'Short-term interest Rates daily'!$A:$E,5,FALSE)</f>
        <v>5.26</v>
      </c>
    </row>
    <row r="274" spans="1:12" x14ac:dyDescent="0.3">
      <c r="A274" s="1">
        <v>31685</v>
      </c>
      <c r="B274">
        <f>VLOOKUP(A274,'STOCK DATA'!$A$2:$H$522,2,FALSE)</f>
        <v>115.25</v>
      </c>
      <c r="C274">
        <f>VLOOKUP($A274,'STOCK DATA'!$A$2:H$521,3,FALSE)</f>
        <v>1257.2</v>
      </c>
      <c r="D274">
        <f>VLOOKUP($A274,'STOCK DATA'!$A$2:$H$521,3,FALSE)</f>
        <v>1257.2</v>
      </c>
      <c r="E274">
        <f>VLOOKUP($A274,'STOCK DATA'!$A$2:$H$521,3,FALSE)</f>
        <v>1257.2</v>
      </c>
      <c r="F274">
        <f>VLOOKUP($A274,'STOCK DATA'!$A$2:$H$521,3,FALSE)</f>
        <v>1257.2</v>
      </c>
      <c r="G274">
        <f>VLOOKUP($A274,'STOCK DATA'!$A$2:$H$521,3,FALSE)</f>
        <v>1257.2</v>
      </c>
      <c r="H274">
        <f>VLOOKUP($A274,'STOCK DATA'!$A$2:$H$521,3,FALSE)</f>
        <v>1257.2</v>
      </c>
      <c r="I274">
        <f>VLOOKUP(A274,'Short-term interest Rates daily'!$A:$E,2,FALSE)</f>
        <v>17.63</v>
      </c>
      <c r="J274">
        <f>VLOOKUP(A274,'Short-term interest Rates daily'!$A:$E,3,FALSE)</f>
        <v>8.36</v>
      </c>
      <c r="K274">
        <f>VLOOKUP(A274,'Short-term interest Rates daily'!$A:$E,4,FALSE)</f>
        <v>10.220000000000001</v>
      </c>
      <c r="L274">
        <f>VLOOKUP(A274,'Short-term interest Rates daily'!$A:$E,5,FALSE)</f>
        <v>5.2</v>
      </c>
    </row>
    <row r="275" spans="1:12" x14ac:dyDescent="0.3">
      <c r="A275" s="1">
        <v>31686</v>
      </c>
      <c r="B275">
        <f>VLOOKUP(A275,'STOCK DATA'!$A$2:$H$522,2,FALSE)</f>
        <v>116.55</v>
      </c>
      <c r="C275">
        <f>VLOOKUP($A275,'STOCK DATA'!$A$2:H$521,3,FALSE)</f>
        <v>1253.5999999999999</v>
      </c>
      <c r="D275">
        <f>VLOOKUP($A275,'STOCK DATA'!$A$2:$H$521,3,FALSE)</f>
        <v>1253.5999999999999</v>
      </c>
      <c r="E275">
        <f>VLOOKUP($A275,'STOCK DATA'!$A$2:$H$521,3,FALSE)</f>
        <v>1253.5999999999999</v>
      </c>
      <c r="F275">
        <f>VLOOKUP($A275,'STOCK DATA'!$A$2:$H$521,3,FALSE)</f>
        <v>1253.5999999999999</v>
      </c>
      <c r="G275">
        <f>VLOOKUP($A275,'STOCK DATA'!$A$2:$H$521,3,FALSE)</f>
        <v>1253.5999999999999</v>
      </c>
      <c r="H275">
        <f>VLOOKUP($A275,'STOCK DATA'!$A$2:$H$521,3,FALSE)</f>
        <v>1253.5999999999999</v>
      </c>
      <c r="I275">
        <f>VLOOKUP(A275,'Short-term interest Rates daily'!$A:$E,2,FALSE)</f>
        <v>17.579999999999998</v>
      </c>
      <c r="J275">
        <f>VLOOKUP(A275,'Short-term interest Rates daily'!$A:$E,3,FALSE)</f>
        <v>8.3800000000000008</v>
      </c>
      <c r="K275">
        <f>VLOOKUP(A275,'Short-term interest Rates daily'!$A:$E,4,FALSE)</f>
        <v>10.18</v>
      </c>
      <c r="L275">
        <f>VLOOKUP(A275,'Short-term interest Rates daily'!$A:$E,5,FALSE)</f>
        <v>5.19</v>
      </c>
    </row>
    <row r="276" spans="1:12" x14ac:dyDescent="0.3">
      <c r="A276" s="1">
        <v>31687</v>
      </c>
      <c r="B276">
        <f>VLOOKUP(A276,'STOCK DATA'!$A$2:$H$522,2,FALSE)</f>
        <v>117</v>
      </c>
      <c r="C276">
        <f>VLOOKUP($A276,'STOCK DATA'!$A$2:H$521,3,FALSE)</f>
        <v>1275.5999999999999</v>
      </c>
      <c r="D276">
        <f>VLOOKUP($A276,'STOCK DATA'!$A$2:$H$521,3,FALSE)</f>
        <v>1275.5999999999999</v>
      </c>
      <c r="E276">
        <f>VLOOKUP($A276,'STOCK DATA'!$A$2:$H$521,3,FALSE)</f>
        <v>1275.5999999999999</v>
      </c>
      <c r="F276">
        <f>VLOOKUP($A276,'STOCK DATA'!$A$2:$H$521,3,FALSE)</f>
        <v>1275.5999999999999</v>
      </c>
      <c r="G276">
        <f>VLOOKUP($A276,'STOCK DATA'!$A$2:$H$521,3,FALSE)</f>
        <v>1275.5999999999999</v>
      </c>
      <c r="H276">
        <f>VLOOKUP($A276,'STOCK DATA'!$A$2:$H$521,3,FALSE)</f>
        <v>1275.5999999999999</v>
      </c>
      <c r="I276">
        <f>VLOOKUP(A276,'Short-term interest Rates daily'!$A:$E,2,FALSE)</f>
        <v>17.25</v>
      </c>
      <c r="J276">
        <f>VLOOKUP(A276,'Short-term interest Rates daily'!$A:$E,3,FALSE)</f>
        <v>8.36</v>
      </c>
      <c r="K276">
        <f>VLOOKUP(A276,'Short-term interest Rates daily'!$A:$E,4,FALSE)</f>
        <v>10.32</v>
      </c>
      <c r="L276">
        <f>VLOOKUP(A276,'Short-term interest Rates daily'!$A:$E,5,FALSE)</f>
        <v>5.19</v>
      </c>
    </row>
    <row r="277" spans="1:12" x14ac:dyDescent="0.3">
      <c r="A277" s="1">
        <v>31688</v>
      </c>
      <c r="B277">
        <f>VLOOKUP(A277,'STOCK DATA'!$A$2:$H$522,2,FALSE)</f>
        <v>115.74</v>
      </c>
      <c r="C277">
        <f>VLOOKUP($A277,'STOCK DATA'!$A$2:H$521,3,FALSE)</f>
        <v>1297.3</v>
      </c>
      <c r="D277">
        <f>VLOOKUP($A277,'STOCK DATA'!$A$2:$H$521,3,FALSE)</f>
        <v>1297.3</v>
      </c>
      <c r="E277">
        <f>VLOOKUP($A277,'STOCK DATA'!$A$2:$H$521,3,FALSE)</f>
        <v>1297.3</v>
      </c>
      <c r="F277">
        <f>VLOOKUP($A277,'STOCK DATA'!$A$2:$H$521,3,FALSE)</f>
        <v>1297.3</v>
      </c>
      <c r="G277">
        <f>VLOOKUP($A277,'STOCK DATA'!$A$2:$H$521,3,FALSE)</f>
        <v>1297.3</v>
      </c>
      <c r="H277">
        <f>VLOOKUP($A277,'STOCK DATA'!$A$2:$H$521,3,FALSE)</f>
        <v>1297.3</v>
      </c>
      <c r="I277">
        <f>VLOOKUP(A277,'Short-term interest Rates daily'!$A:$E,2,FALSE)</f>
        <v>17.25</v>
      </c>
      <c r="J277">
        <f>VLOOKUP(A277,'Short-term interest Rates daily'!$A:$E,3,FALSE)</f>
        <v>8.3000000000000007</v>
      </c>
      <c r="K277">
        <f>VLOOKUP(A277,'Short-term interest Rates daily'!$A:$E,4,FALSE)</f>
        <v>10.63</v>
      </c>
      <c r="L277">
        <f>VLOOKUP(A277,'Short-term interest Rates daily'!$A:$E,5,FALSE)</f>
        <v>5.09</v>
      </c>
    </row>
    <row r="278" spans="1:12" x14ac:dyDescent="0.3">
      <c r="A278" s="1">
        <v>31689</v>
      </c>
      <c r="B278" t="e">
        <f>VLOOKUP(A278,'STOCK DATA'!$A$2:$H$522,2,FALSE)</f>
        <v>#N/A</v>
      </c>
      <c r="C278" t="e">
        <f>VLOOKUP($A278,'STOCK DATA'!$A$2:H$521,3,FALSE)</f>
        <v>#N/A</v>
      </c>
      <c r="D278" t="e">
        <f>VLOOKUP($A278,'STOCK DATA'!$A$2:$H$521,3,FALSE)</f>
        <v>#N/A</v>
      </c>
      <c r="E278" t="e">
        <f>VLOOKUP($A278,'STOCK DATA'!$A$2:$H$521,3,FALSE)</f>
        <v>#N/A</v>
      </c>
      <c r="F278" t="e">
        <f>VLOOKUP($A278,'STOCK DATA'!$A$2:$H$521,3,FALSE)</f>
        <v>#N/A</v>
      </c>
      <c r="G278" t="e">
        <f>VLOOKUP($A278,'STOCK DATA'!$A$2:$H$521,3,FALSE)</f>
        <v>#N/A</v>
      </c>
      <c r="H278" t="e">
        <f>VLOOKUP($A278,'STOCK DATA'!$A$2:$H$521,3,FALSE)</f>
        <v>#N/A</v>
      </c>
      <c r="I278" t="e">
        <f>VLOOKUP(A278,'Short-term interest Rates daily'!$A:$E,2,FALSE)</f>
        <v>#N/A</v>
      </c>
      <c r="J278" t="e">
        <f>VLOOKUP(A278,'Short-term interest Rates daily'!$A:$E,3,FALSE)</f>
        <v>#N/A</v>
      </c>
      <c r="K278" t="e">
        <f>VLOOKUP(A278,'Short-term interest Rates daily'!$A:$E,4,FALSE)</f>
        <v>#N/A</v>
      </c>
      <c r="L278" t="e">
        <f>VLOOKUP(A278,'Short-term interest Rates daily'!$A:$E,5,FALSE)</f>
        <v>#N/A</v>
      </c>
    </row>
    <row r="279" spans="1:12" x14ac:dyDescent="0.3">
      <c r="A279" s="1">
        <v>31690</v>
      </c>
      <c r="B279" t="e">
        <f>VLOOKUP(A279,'STOCK DATA'!$A$2:$H$522,2,FALSE)</f>
        <v>#N/A</v>
      </c>
      <c r="C279" t="e">
        <f>VLOOKUP($A279,'STOCK DATA'!$A$2:H$521,3,FALSE)</f>
        <v>#N/A</v>
      </c>
      <c r="D279" t="e">
        <f>VLOOKUP($A279,'STOCK DATA'!$A$2:$H$521,3,FALSE)</f>
        <v>#N/A</v>
      </c>
      <c r="E279" t="e">
        <f>VLOOKUP($A279,'STOCK DATA'!$A$2:$H$521,3,FALSE)</f>
        <v>#N/A</v>
      </c>
      <c r="F279" t="e">
        <f>VLOOKUP($A279,'STOCK DATA'!$A$2:$H$521,3,FALSE)</f>
        <v>#N/A</v>
      </c>
      <c r="G279" t="e">
        <f>VLOOKUP($A279,'STOCK DATA'!$A$2:$H$521,3,FALSE)</f>
        <v>#N/A</v>
      </c>
      <c r="H279" t="e">
        <f>VLOOKUP($A279,'STOCK DATA'!$A$2:$H$521,3,FALSE)</f>
        <v>#N/A</v>
      </c>
      <c r="I279" t="e">
        <f>VLOOKUP(A279,'Short-term interest Rates daily'!$A:$E,2,FALSE)</f>
        <v>#N/A</v>
      </c>
      <c r="J279" t="e">
        <f>VLOOKUP(A279,'Short-term interest Rates daily'!$A:$E,3,FALSE)</f>
        <v>#N/A</v>
      </c>
      <c r="K279" t="e">
        <f>VLOOKUP(A279,'Short-term interest Rates daily'!$A:$E,4,FALSE)</f>
        <v>#N/A</v>
      </c>
      <c r="L279" t="e">
        <f>VLOOKUP(A279,'Short-term interest Rates daily'!$A:$E,5,FALSE)</f>
        <v>#N/A</v>
      </c>
    </row>
    <row r="280" spans="1:12" x14ac:dyDescent="0.3">
      <c r="A280" s="1">
        <v>31691</v>
      </c>
      <c r="B280">
        <f>VLOOKUP(A280,'STOCK DATA'!$A$2:$H$522,2,FALSE)</f>
        <v>115.66</v>
      </c>
      <c r="C280">
        <f>VLOOKUP($A280,'STOCK DATA'!$A$2:H$521,3,FALSE)</f>
        <v>1310.8</v>
      </c>
      <c r="D280">
        <f>VLOOKUP($A280,'STOCK DATA'!$A$2:$H$521,3,FALSE)</f>
        <v>1310.8</v>
      </c>
      <c r="E280">
        <f>VLOOKUP($A280,'STOCK DATA'!$A$2:$H$521,3,FALSE)</f>
        <v>1310.8</v>
      </c>
      <c r="F280">
        <f>VLOOKUP($A280,'STOCK DATA'!$A$2:$H$521,3,FALSE)</f>
        <v>1310.8</v>
      </c>
      <c r="G280">
        <f>VLOOKUP($A280,'STOCK DATA'!$A$2:$H$521,3,FALSE)</f>
        <v>1310.8</v>
      </c>
      <c r="H280">
        <f>VLOOKUP($A280,'STOCK DATA'!$A$2:$H$521,3,FALSE)</f>
        <v>1310.8</v>
      </c>
      <c r="I280">
        <f>VLOOKUP(A280,'Short-term interest Rates daily'!$A:$E,2,FALSE)</f>
        <v>17</v>
      </c>
      <c r="J280">
        <f>VLOOKUP(A280,'Short-term interest Rates daily'!$A:$E,3,FALSE)</f>
        <v>8.2899999999999991</v>
      </c>
      <c r="K280">
        <f>VLOOKUP(A280,'Short-term interest Rates daily'!$A:$E,4,FALSE)</f>
        <v>10.220000000000001</v>
      </c>
      <c r="L280">
        <f>VLOOKUP(A280,'Short-term interest Rates daily'!$A:$E,5,FALSE)</f>
        <v>5.05</v>
      </c>
    </row>
    <row r="281" spans="1:12" x14ac:dyDescent="0.3">
      <c r="A281" s="1">
        <v>31692</v>
      </c>
      <c r="B281">
        <f>VLOOKUP(A281,'STOCK DATA'!$A$2:$H$522,2,FALSE)</f>
        <v>116.55</v>
      </c>
      <c r="C281">
        <f>VLOOKUP($A281,'STOCK DATA'!$A$2:H$521,3,FALSE)</f>
        <v>1329.4</v>
      </c>
      <c r="D281">
        <f>VLOOKUP($A281,'STOCK DATA'!$A$2:$H$521,3,FALSE)</f>
        <v>1329.4</v>
      </c>
      <c r="E281">
        <f>VLOOKUP($A281,'STOCK DATA'!$A$2:$H$521,3,FALSE)</f>
        <v>1329.4</v>
      </c>
      <c r="F281">
        <f>VLOOKUP($A281,'STOCK DATA'!$A$2:$H$521,3,FALSE)</f>
        <v>1329.4</v>
      </c>
      <c r="G281">
        <f>VLOOKUP($A281,'STOCK DATA'!$A$2:$H$521,3,FALSE)</f>
        <v>1329.4</v>
      </c>
      <c r="H281">
        <f>VLOOKUP($A281,'STOCK DATA'!$A$2:$H$521,3,FALSE)</f>
        <v>1329.4</v>
      </c>
      <c r="I281">
        <f>VLOOKUP(A281,'Short-term interest Rates daily'!$A:$E,2,FALSE)</f>
        <v>17</v>
      </c>
      <c r="J281">
        <f>VLOOKUP(A281,'Short-term interest Rates daily'!$A:$E,3,FALSE)</f>
        <v>8.31</v>
      </c>
      <c r="K281">
        <f>VLOOKUP(A281,'Short-term interest Rates daily'!$A:$E,4,FALSE)</f>
        <v>10.28</v>
      </c>
      <c r="L281">
        <f>VLOOKUP(A281,'Short-term interest Rates daily'!$A:$E,5,FALSE)</f>
        <v>5.0599999999999996</v>
      </c>
    </row>
    <row r="282" spans="1:12" x14ac:dyDescent="0.3">
      <c r="A282" s="1">
        <v>31693</v>
      </c>
      <c r="B282">
        <f>VLOOKUP(A282,'STOCK DATA'!$A$2:$H$522,2,FALSE)</f>
        <v>117.72</v>
      </c>
      <c r="C282">
        <f>VLOOKUP($A282,'STOCK DATA'!$A$2:H$521,3,FALSE)</f>
        <v>1332.2</v>
      </c>
      <c r="D282">
        <f>VLOOKUP($A282,'STOCK DATA'!$A$2:$H$521,3,FALSE)</f>
        <v>1332.2</v>
      </c>
      <c r="E282">
        <f>VLOOKUP($A282,'STOCK DATA'!$A$2:$H$521,3,FALSE)</f>
        <v>1332.2</v>
      </c>
      <c r="F282">
        <f>VLOOKUP($A282,'STOCK DATA'!$A$2:$H$521,3,FALSE)</f>
        <v>1332.2</v>
      </c>
      <c r="G282">
        <f>VLOOKUP($A282,'STOCK DATA'!$A$2:$H$521,3,FALSE)</f>
        <v>1332.2</v>
      </c>
      <c r="H282">
        <f>VLOOKUP($A282,'STOCK DATA'!$A$2:$H$521,3,FALSE)</f>
        <v>1332.2</v>
      </c>
      <c r="I282">
        <f>VLOOKUP(A282,'Short-term interest Rates daily'!$A:$E,2,FALSE)</f>
        <v>17.13</v>
      </c>
      <c r="J282">
        <f>VLOOKUP(A282,'Short-term interest Rates daily'!$A:$E,3,FALSE)</f>
        <v>8.2799999999999994</v>
      </c>
      <c r="K282">
        <f>VLOOKUP(A282,'Short-term interest Rates daily'!$A:$E,4,FALSE)</f>
        <v>10.35</v>
      </c>
      <c r="L282">
        <f>VLOOKUP(A282,'Short-term interest Rates daily'!$A:$E,5,FALSE)</f>
        <v>5.04</v>
      </c>
    </row>
    <row r="283" spans="1:12" x14ac:dyDescent="0.3">
      <c r="A283" s="1">
        <v>31694</v>
      </c>
      <c r="B283">
        <f>VLOOKUP(A283,'STOCK DATA'!$A$2:$H$522,2,FALSE)</f>
        <v>115.97</v>
      </c>
      <c r="C283">
        <f>VLOOKUP($A283,'STOCK DATA'!$A$2:H$521,3,FALSE)</f>
        <v>1338.1</v>
      </c>
      <c r="D283">
        <f>VLOOKUP($A283,'STOCK DATA'!$A$2:$H$521,3,FALSE)</f>
        <v>1338.1</v>
      </c>
      <c r="E283">
        <f>VLOOKUP($A283,'STOCK DATA'!$A$2:$H$521,3,FALSE)</f>
        <v>1338.1</v>
      </c>
      <c r="F283">
        <f>VLOOKUP($A283,'STOCK DATA'!$A$2:$H$521,3,FALSE)</f>
        <v>1338.1</v>
      </c>
      <c r="G283">
        <f>VLOOKUP($A283,'STOCK DATA'!$A$2:$H$521,3,FALSE)</f>
        <v>1338.1</v>
      </c>
      <c r="H283">
        <f>VLOOKUP($A283,'STOCK DATA'!$A$2:$H$521,3,FALSE)</f>
        <v>1338.1</v>
      </c>
      <c r="I283">
        <f>VLOOKUP(A283,'Short-term interest Rates daily'!$A:$E,2,FALSE)</f>
        <v>17.25</v>
      </c>
      <c r="J283">
        <f>VLOOKUP(A283,'Short-term interest Rates daily'!$A:$E,3,FALSE)</f>
        <v>8.24</v>
      </c>
      <c r="K283">
        <f>VLOOKUP(A283,'Short-term interest Rates daily'!$A:$E,4,FALSE)</f>
        <v>10.51</v>
      </c>
      <c r="L283">
        <f>VLOOKUP(A283,'Short-term interest Rates daily'!$A:$E,5,FALSE)</f>
        <v>5.0599999999999996</v>
      </c>
    </row>
    <row r="284" spans="1:12" x14ac:dyDescent="0.3">
      <c r="A284" s="1">
        <v>31695</v>
      </c>
      <c r="B284">
        <f>VLOOKUP(A284,'STOCK DATA'!$A$2:$H$522,2,FALSE)</f>
        <v>114.74</v>
      </c>
      <c r="C284">
        <f>VLOOKUP($A284,'STOCK DATA'!$A$2:H$521,3,FALSE)</f>
        <v>1329.9</v>
      </c>
      <c r="D284">
        <f>VLOOKUP($A284,'STOCK DATA'!$A$2:$H$521,3,FALSE)</f>
        <v>1329.9</v>
      </c>
      <c r="E284">
        <f>VLOOKUP($A284,'STOCK DATA'!$A$2:$H$521,3,FALSE)</f>
        <v>1329.9</v>
      </c>
      <c r="F284">
        <f>VLOOKUP($A284,'STOCK DATA'!$A$2:$H$521,3,FALSE)</f>
        <v>1329.9</v>
      </c>
      <c r="G284">
        <f>VLOOKUP($A284,'STOCK DATA'!$A$2:$H$521,3,FALSE)</f>
        <v>1329.9</v>
      </c>
      <c r="H284">
        <f>VLOOKUP($A284,'STOCK DATA'!$A$2:$H$521,3,FALSE)</f>
        <v>1329.9</v>
      </c>
      <c r="I284">
        <f>VLOOKUP(A284,'Short-term interest Rates daily'!$A:$E,2,FALSE)</f>
        <v>17</v>
      </c>
      <c r="J284">
        <f>VLOOKUP(A284,'Short-term interest Rates daily'!$A:$E,3,FALSE)</f>
        <v>8.24</v>
      </c>
      <c r="K284">
        <f>VLOOKUP(A284,'Short-term interest Rates daily'!$A:$E,4,FALSE)</f>
        <v>10.16</v>
      </c>
      <c r="L284">
        <f>VLOOKUP(A284,'Short-term interest Rates daily'!$A:$E,5,FALSE)</f>
        <v>5.0599999999999996</v>
      </c>
    </row>
    <row r="285" spans="1:12" x14ac:dyDescent="0.3">
      <c r="A285" s="1">
        <v>31696</v>
      </c>
      <c r="B285" t="e">
        <f>VLOOKUP(A285,'STOCK DATA'!$A$2:$H$522,2,FALSE)</f>
        <v>#N/A</v>
      </c>
      <c r="C285" t="e">
        <f>VLOOKUP($A285,'STOCK DATA'!$A$2:H$521,3,FALSE)</f>
        <v>#N/A</v>
      </c>
      <c r="D285" t="e">
        <f>VLOOKUP($A285,'STOCK DATA'!$A$2:$H$521,3,FALSE)</f>
        <v>#N/A</v>
      </c>
      <c r="E285" t="e">
        <f>VLOOKUP($A285,'STOCK DATA'!$A$2:$H$521,3,FALSE)</f>
        <v>#N/A</v>
      </c>
      <c r="F285" t="e">
        <f>VLOOKUP($A285,'STOCK DATA'!$A$2:$H$521,3,FALSE)</f>
        <v>#N/A</v>
      </c>
      <c r="G285" t="e">
        <f>VLOOKUP($A285,'STOCK DATA'!$A$2:$H$521,3,FALSE)</f>
        <v>#N/A</v>
      </c>
      <c r="H285" t="e">
        <f>VLOOKUP($A285,'STOCK DATA'!$A$2:$H$521,3,FALSE)</f>
        <v>#N/A</v>
      </c>
      <c r="I285" t="e">
        <f>VLOOKUP(A285,'Short-term interest Rates daily'!$A:$E,2,FALSE)</f>
        <v>#N/A</v>
      </c>
      <c r="J285" t="e">
        <f>VLOOKUP(A285,'Short-term interest Rates daily'!$A:$E,3,FALSE)</f>
        <v>#N/A</v>
      </c>
      <c r="K285" t="e">
        <f>VLOOKUP(A285,'Short-term interest Rates daily'!$A:$E,4,FALSE)</f>
        <v>#N/A</v>
      </c>
      <c r="L285" t="e">
        <f>VLOOKUP(A285,'Short-term interest Rates daily'!$A:$E,5,FALSE)</f>
        <v>#N/A</v>
      </c>
    </row>
    <row r="286" spans="1:12" x14ac:dyDescent="0.3">
      <c r="A286" s="1">
        <v>31697</v>
      </c>
      <c r="B286" t="e">
        <f>VLOOKUP(A286,'STOCK DATA'!$A$2:$H$522,2,FALSE)</f>
        <v>#N/A</v>
      </c>
      <c r="C286" t="e">
        <f>VLOOKUP($A286,'STOCK DATA'!$A$2:H$521,3,FALSE)</f>
        <v>#N/A</v>
      </c>
      <c r="D286" t="e">
        <f>VLOOKUP($A286,'STOCK DATA'!$A$2:$H$521,3,FALSE)</f>
        <v>#N/A</v>
      </c>
      <c r="E286" t="e">
        <f>VLOOKUP($A286,'STOCK DATA'!$A$2:$H$521,3,FALSE)</f>
        <v>#N/A</v>
      </c>
      <c r="F286" t="e">
        <f>VLOOKUP($A286,'STOCK DATA'!$A$2:$H$521,3,FALSE)</f>
        <v>#N/A</v>
      </c>
      <c r="G286" t="e">
        <f>VLOOKUP($A286,'STOCK DATA'!$A$2:$H$521,3,FALSE)</f>
        <v>#N/A</v>
      </c>
      <c r="H286" t="e">
        <f>VLOOKUP($A286,'STOCK DATA'!$A$2:$H$521,3,FALSE)</f>
        <v>#N/A</v>
      </c>
      <c r="I286" t="e">
        <f>VLOOKUP(A286,'Short-term interest Rates daily'!$A:$E,2,FALSE)</f>
        <v>#N/A</v>
      </c>
      <c r="J286" t="e">
        <f>VLOOKUP(A286,'Short-term interest Rates daily'!$A:$E,3,FALSE)</f>
        <v>#N/A</v>
      </c>
      <c r="K286" t="e">
        <f>VLOOKUP(A286,'Short-term interest Rates daily'!$A:$E,4,FALSE)</f>
        <v>#N/A</v>
      </c>
      <c r="L286" t="e">
        <f>VLOOKUP(A286,'Short-term interest Rates daily'!$A:$E,5,FALSE)</f>
        <v>#N/A</v>
      </c>
    </row>
    <row r="287" spans="1:12" x14ac:dyDescent="0.3">
      <c r="A287" s="1">
        <v>31698</v>
      </c>
      <c r="B287">
        <f>VLOOKUP(A287,'STOCK DATA'!$A$2:$H$522,2,FALSE)</f>
        <v>113.34</v>
      </c>
      <c r="C287">
        <f>VLOOKUP($A287,'STOCK DATA'!$A$2:H$521,3,FALSE)</f>
        <v>1338.7</v>
      </c>
      <c r="D287">
        <f>VLOOKUP($A287,'STOCK DATA'!$A$2:$H$521,3,FALSE)</f>
        <v>1338.7</v>
      </c>
      <c r="E287">
        <f>VLOOKUP($A287,'STOCK DATA'!$A$2:$H$521,3,FALSE)</f>
        <v>1338.7</v>
      </c>
      <c r="F287">
        <f>VLOOKUP($A287,'STOCK DATA'!$A$2:$H$521,3,FALSE)</f>
        <v>1338.7</v>
      </c>
      <c r="G287">
        <f>VLOOKUP($A287,'STOCK DATA'!$A$2:$H$521,3,FALSE)</f>
        <v>1338.7</v>
      </c>
      <c r="H287">
        <f>VLOOKUP($A287,'STOCK DATA'!$A$2:$H$521,3,FALSE)</f>
        <v>1338.7</v>
      </c>
      <c r="I287">
        <f>VLOOKUP(A287,'Short-term interest Rates daily'!$A:$E,2,FALSE)</f>
        <v>17</v>
      </c>
      <c r="J287">
        <f>VLOOKUP(A287,'Short-term interest Rates daily'!$A:$E,3,FALSE)</f>
        <v>0</v>
      </c>
      <c r="K287">
        <f>VLOOKUP(A287,'Short-term interest Rates daily'!$A:$E,4,FALSE)</f>
        <v>10.220000000000001</v>
      </c>
      <c r="L287">
        <f>VLOOKUP(A287,'Short-term interest Rates daily'!$A:$E,5,FALSE)</f>
        <v>0</v>
      </c>
    </row>
    <row r="288" spans="1:12" x14ac:dyDescent="0.3">
      <c r="A288" s="1">
        <v>31699</v>
      </c>
      <c r="B288">
        <f>VLOOKUP(A288,'STOCK DATA'!$A$2:$H$522,2,FALSE)</f>
        <v>114.13</v>
      </c>
      <c r="C288">
        <f>VLOOKUP($A288,'STOCK DATA'!$A$2:H$521,3,FALSE)</f>
        <v>1350.5</v>
      </c>
      <c r="D288">
        <f>VLOOKUP($A288,'STOCK DATA'!$A$2:$H$521,3,FALSE)</f>
        <v>1350.5</v>
      </c>
      <c r="E288">
        <f>VLOOKUP($A288,'STOCK DATA'!$A$2:$H$521,3,FALSE)</f>
        <v>1350.5</v>
      </c>
      <c r="F288">
        <f>VLOOKUP($A288,'STOCK DATA'!$A$2:$H$521,3,FALSE)</f>
        <v>1350.5</v>
      </c>
      <c r="G288">
        <f>VLOOKUP($A288,'STOCK DATA'!$A$2:$H$521,3,FALSE)</f>
        <v>1350.5</v>
      </c>
      <c r="H288">
        <f>VLOOKUP($A288,'STOCK DATA'!$A$2:$H$521,3,FALSE)</f>
        <v>1350.5</v>
      </c>
      <c r="I288">
        <f>VLOOKUP(A288,'Short-term interest Rates daily'!$A:$E,2,FALSE)</f>
        <v>16.88</v>
      </c>
      <c r="J288">
        <f>VLOOKUP(A288,'Short-term interest Rates daily'!$A:$E,3,FALSE)</f>
        <v>8.27</v>
      </c>
      <c r="K288">
        <f>VLOOKUP(A288,'Short-term interest Rates daily'!$A:$E,4,FALSE)</f>
        <v>10.25</v>
      </c>
      <c r="L288">
        <f>VLOOKUP(A288,'Short-term interest Rates daily'!$A:$E,5,FALSE)</f>
        <v>5.14</v>
      </c>
    </row>
    <row r="289" spans="1:12" x14ac:dyDescent="0.3">
      <c r="A289" s="1">
        <v>31700</v>
      </c>
      <c r="B289">
        <f>VLOOKUP(A289,'STOCK DATA'!$A$2:$H$522,2,FALSE)</f>
        <v>113.99</v>
      </c>
      <c r="C289">
        <f>VLOOKUP($A289,'STOCK DATA'!$A$2:H$521,3,FALSE)</f>
        <v>1347.8</v>
      </c>
      <c r="D289">
        <f>VLOOKUP($A289,'STOCK DATA'!$A$2:$H$521,3,FALSE)</f>
        <v>1347.8</v>
      </c>
      <c r="E289">
        <f>VLOOKUP($A289,'STOCK DATA'!$A$2:$H$521,3,FALSE)</f>
        <v>1347.8</v>
      </c>
      <c r="F289">
        <f>VLOOKUP($A289,'STOCK DATA'!$A$2:$H$521,3,FALSE)</f>
        <v>1347.8</v>
      </c>
      <c r="G289">
        <f>VLOOKUP($A289,'STOCK DATA'!$A$2:$H$521,3,FALSE)</f>
        <v>1347.8</v>
      </c>
      <c r="H289">
        <f>VLOOKUP($A289,'STOCK DATA'!$A$2:$H$521,3,FALSE)</f>
        <v>1347.8</v>
      </c>
      <c r="I289">
        <f>VLOOKUP(A289,'Short-term interest Rates daily'!$A:$E,2,FALSE)</f>
        <v>16.88</v>
      </c>
      <c r="J289">
        <f>VLOOKUP(A289,'Short-term interest Rates daily'!$A:$E,3,FALSE)</f>
        <v>8.31</v>
      </c>
      <c r="K289">
        <f>VLOOKUP(A289,'Short-term interest Rates daily'!$A:$E,4,FALSE)</f>
        <v>10.75</v>
      </c>
      <c r="L289">
        <f>VLOOKUP(A289,'Short-term interest Rates daily'!$A:$E,5,FALSE)</f>
        <v>5.18</v>
      </c>
    </row>
    <row r="290" spans="1:12" x14ac:dyDescent="0.3">
      <c r="A290" s="1">
        <v>31701</v>
      </c>
      <c r="B290">
        <f>VLOOKUP(A290,'STOCK DATA'!$A$2:$H$522,2,FALSE)</f>
        <v>114.21</v>
      </c>
      <c r="C290">
        <f>VLOOKUP($A290,'STOCK DATA'!$A$2:H$521,3,FALSE)</f>
        <v>1353.4</v>
      </c>
      <c r="D290">
        <f>VLOOKUP($A290,'STOCK DATA'!$A$2:$H$521,3,FALSE)</f>
        <v>1353.4</v>
      </c>
      <c r="E290">
        <f>VLOOKUP($A290,'STOCK DATA'!$A$2:$H$521,3,FALSE)</f>
        <v>1353.4</v>
      </c>
      <c r="F290">
        <f>VLOOKUP($A290,'STOCK DATA'!$A$2:$H$521,3,FALSE)</f>
        <v>1353.4</v>
      </c>
      <c r="G290">
        <f>VLOOKUP($A290,'STOCK DATA'!$A$2:$H$521,3,FALSE)</f>
        <v>1353.4</v>
      </c>
      <c r="H290">
        <f>VLOOKUP($A290,'STOCK DATA'!$A$2:$H$521,3,FALSE)</f>
        <v>1353.4</v>
      </c>
      <c r="I290">
        <f>VLOOKUP(A290,'Short-term interest Rates daily'!$A:$E,2,FALSE)</f>
        <v>16.63</v>
      </c>
      <c r="J290">
        <f>VLOOKUP(A290,'Short-term interest Rates daily'!$A:$E,3,FALSE)</f>
        <v>8.36</v>
      </c>
      <c r="K290">
        <f>VLOOKUP(A290,'Short-term interest Rates daily'!$A:$E,4,FALSE)</f>
        <v>10.74</v>
      </c>
      <c r="L290">
        <f>VLOOKUP(A290,'Short-term interest Rates daily'!$A:$E,5,FALSE)</f>
        <v>5.2</v>
      </c>
    </row>
    <row r="291" spans="1:12" x14ac:dyDescent="0.3">
      <c r="A291" s="1">
        <v>31702</v>
      </c>
      <c r="B291">
        <f>VLOOKUP(A291,'STOCK DATA'!$A$2:$H$522,2,FALSE)</f>
        <v>114.29</v>
      </c>
      <c r="C291">
        <f>VLOOKUP($A291,'STOCK DATA'!$A$2:H$521,3,FALSE)</f>
        <v>1367.3</v>
      </c>
      <c r="D291">
        <f>VLOOKUP($A291,'STOCK DATA'!$A$2:$H$521,3,FALSE)</f>
        <v>1367.3</v>
      </c>
      <c r="E291">
        <f>VLOOKUP($A291,'STOCK DATA'!$A$2:$H$521,3,FALSE)</f>
        <v>1367.3</v>
      </c>
      <c r="F291">
        <f>VLOOKUP($A291,'STOCK DATA'!$A$2:$H$521,3,FALSE)</f>
        <v>1367.3</v>
      </c>
      <c r="G291">
        <f>VLOOKUP($A291,'STOCK DATA'!$A$2:$H$521,3,FALSE)</f>
        <v>1367.3</v>
      </c>
      <c r="H291">
        <f>VLOOKUP($A291,'STOCK DATA'!$A$2:$H$521,3,FALSE)</f>
        <v>1367.3</v>
      </c>
      <c r="I291">
        <f>VLOOKUP(A291,'Short-term interest Rates daily'!$A:$E,2,FALSE)</f>
        <v>16.5</v>
      </c>
      <c r="J291">
        <f>VLOOKUP(A291,'Short-term interest Rates daily'!$A:$E,3,FALSE)</f>
        <v>8.34</v>
      </c>
      <c r="K291">
        <f>VLOOKUP(A291,'Short-term interest Rates daily'!$A:$E,4,FALSE)</f>
        <v>10.94</v>
      </c>
      <c r="L291">
        <f>VLOOKUP(A291,'Short-term interest Rates daily'!$A:$E,5,FALSE)</f>
        <v>5.27</v>
      </c>
    </row>
    <row r="292" spans="1:12" x14ac:dyDescent="0.3">
      <c r="A292" s="1">
        <v>31703</v>
      </c>
      <c r="B292" t="e">
        <f>VLOOKUP(A292,'STOCK DATA'!$A$2:$H$522,2,FALSE)</f>
        <v>#N/A</v>
      </c>
      <c r="C292" t="e">
        <f>VLOOKUP($A292,'STOCK DATA'!$A$2:H$521,3,FALSE)</f>
        <v>#N/A</v>
      </c>
      <c r="D292" t="e">
        <f>VLOOKUP($A292,'STOCK DATA'!$A$2:$H$521,3,FALSE)</f>
        <v>#N/A</v>
      </c>
      <c r="E292" t="e">
        <f>VLOOKUP($A292,'STOCK DATA'!$A$2:$H$521,3,FALSE)</f>
        <v>#N/A</v>
      </c>
      <c r="F292" t="e">
        <f>VLOOKUP($A292,'STOCK DATA'!$A$2:$H$521,3,FALSE)</f>
        <v>#N/A</v>
      </c>
      <c r="G292" t="e">
        <f>VLOOKUP($A292,'STOCK DATA'!$A$2:$H$521,3,FALSE)</f>
        <v>#N/A</v>
      </c>
      <c r="H292" t="e">
        <f>VLOOKUP($A292,'STOCK DATA'!$A$2:$H$521,3,FALSE)</f>
        <v>#N/A</v>
      </c>
      <c r="I292" t="e">
        <f>VLOOKUP(A292,'Short-term interest Rates daily'!$A:$E,2,FALSE)</f>
        <v>#N/A</v>
      </c>
      <c r="J292" t="e">
        <f>VLOOKUP(A292,'Short-term interest Rates daily'!$A:$E,3,FALSE)</f>
        <v>#N/A</v>
      </c>
      <c r="K292" t="e">
        <f>VLOOKUP(A292,'Short-term interest Rates daily'!$A:$E,4,FALSE)</f>
        <v>#N/A</v>
      </c>
      <c r="L292" t="e">
        <f>VLOOKUP(A292,'Short-term interest Rates daily'!$A:$E,5,FALSE)</f>
        <v>#N/A</v>
      </c>
    </row>
    <row r="293" spans="1:12" x14ac:dyDescent="0.3">
      <c r="A293" s="1">
        <v>31704</v>
      </c>
      <c r="B293" t="e">
        <f>VLOOKUP(A293,'STOCK DATA'!$A$2:$H$522,2,FALSE)</f>
        <v>#N/A</v>
      </c>
      <c r="C293" t="e">
        <f>VLOOKUP($A293,'STOCK DATA'!$A$2:H$521,3,FALSE)</f>
        <v>#N/A</v>
      </c>
      <c r="D293" t="e">
        <f>VLOOKUP($A293,'STOCK DATA'!$A$2:$H$521,3,FALSE)</f>
        <v>#N/A</v>
      </c>
      <c r="E293" t="e">
        <f>VLOOKUP($A293,'STOCK DATA'!$A$2:$H$521,3,FALSE)</f>
        <v>#N/A</v>
      </c>
      <c r="F293" t="e">
        <f>VLOOKUP($A293,'STOCK DATA'!$A$2:$H$521,3,FALSE)</f>
        <v>#N/A</v>
      </c>
      <c r="G293" t="e">
        <f>VLOOKUP($A293,'STOCK DATA'!$A$2:$H$521,3,FALSE)</f>
        <v>#N/A</v>
      </c>
      <c r="H293" t="e">
        <f>VLOOKUP($A293,'STOCK DATA'!$A$2:$H$521,3,FALSE)</f>
        <v>#N/A</v>
      </c>
      <c r="I293" t="e">
        <f>VLOOKUP(A293,'Short-term interest Rates daily'!$A:$E,2,FALSE)</f>
        <v>#N/A</v>
      </c>
      <c r="J293" t="e">
        <f>VLOOKUP(A293,'Short-term interest Rates daily'!$A:$E,3,FALSE)</f>
        <v>#N/A</v>
      </c>
      <c r="K293" t="e">
        <f>VLOOKUP(A293,'Short-term interest Rates daily'!$A:$E,4,FALSE)</f>
        <v>#N/A</v>
      </c>
      <c r="L293" t="e">
        <f>VLOOKUP(A293,'Short-term interest Rates daily'!$A:$E,5,FALSE)</f>
        <v>#N/A</v>
      </c>
    </row>
    <row r="294" spans="1:12" x14ac:dyDescent="0.3">
      <c r="A294" s="1">
        <v>31705</v>
      </c>
      <c r="B294">
        <f>VLOOKUP(A294,'STOCK DATA'!$A$2:$H$522,2,FALSE)</f>
        <v>113.15</v>
      </c>
      <c r="C294">
        <f>VLOOKUP($A294,'STOCK DATA'!$A$2:H$521,3,FALSE)</f>
        <v>1361.3</v>
      </c>
      <c r="D294">
        <f>VLOOKUP($A294,'STOCK DATA'!$A$2:$H$521,3,FALSE)</f>
        <v>1361.3</v>
      </c>
      <c r="E294">
        <f>VLOOKUP($A294,'STOCK DATA'!$A$2:$H$521,3,FALSE)</f>
        <v>1361.3</v>
      </c>
      <c r="F294">
        <f>VLOOKUP($A294,'STOCK DATA'!$A$2:$H$521,3,FALSE)</f>
        <v>1361.3</v>
      </c>
      <c r="G294">
        <f>VLOOKUP($A294,'STOCK DATA'!$A$2:$H$521,3,FALSE)</f>
        <v>1361.3</v>
      </c>
      <c r="H294">
        <f>VLOOKUP($A294,'STOCK DATA'!$A$2:$H$521,3,FALSE)</f>
        <v>1361.3</v>
      </c>
      <c r="I294">
        <f>VLOOKUP(A294,'Short-term interest Rates daily'!$A:$E,2,FALSE)</f>
        <v>16.5</v>
      </c>
      <c r="J294">
        <f>VLOOKUP(A294,'Short-term interest Rates daily'!$A:$E,3,FALSE)</f>
        <v>8.4499999999999993</v>
      </c>
      <c r="K294">
        <f>VLOOKUP(A294,'Short-term interest Rates daily'!$A:$E,4,FALSE)</f>
        <v>11.22</v>
      </c>
      <c r="L294">
        <f>VLOOKUP(A294,'Short-term interest Rates daily'!$A:$E,5,FALSE)</f>
        <v>5.31</v>
      </c>
    </row>
    <row r="295" spans="1:12" x14ac:dyDescent="0.3">
      <c r="A295" s="1">
        <v>31706</v>
      </c>
      <c r="B295">
        <f>VLOOKUP(A295,'STOCK DATA'!$A$2:$H$522,2,FALSE)</f>
        <v>113.15</v>
      </c>
      <c r="C295">
        <f>VLOOKUP($A295,'STOCK DATA'!$A$2:H$521,3,FALSE)</f>
        <v>1372.7</v>
      </c>
      <c r="D295">
        <f>VLOOKUP($A295,'STOCK DATA'!$A$2:$H$521,3,FALSE)</f>
        <v>1372.7</v>
      </c>
      <c r="E295">
        <f>VLOOKUP($A295,'STOCK DATA'!$A$2:$H$521,3,FALSE)</f>
        <v>1372.7</v>
      </c>
      <c r="F295">
        <f>VLOOKUP($A295,'STOCK DATA'!$A$2:$H$521,3,FALSE)</f>
        <v>1372.7</v>
      </c>
      <c r="G295">
        <f>VLOOKUP($A295,'STOCK DATA'!$A$2:$H$521,3,FALSE)</f>
        <v>1372.7</v>
      </c>
      <c r="H295">
        <f>VLOOKUP($A295,'STOCK DATA'!$A$2:$H$521,3,FALSE)</f>
        <v>1372.7</v>
      </c>
      <c r="I295">
        <f>VLOOKUP(A295,'Short-term interest Rates daily'!$A:$E,2,FALSE)</f>
        <v>16</v>
      </c>
      <c r="J295">
        <f>VLOOKUP(A295,'Short-term interest Rates daily'!$A:$E,3,FALSE)</f>
        <v>8.43</v>
      </c>
      <c r="K295">
        <f>VLOOKUP(A295,'Short-term interest Rates daily'!$A:$E,4,FALSE)</f>
        <v>10.96</v>
      </c>
      <c r="L295">
        <f>VLOOKUP(A295,'Short-term interest Rates daily'!$A:$E,5,FALSE)</f>
        <v>5.31</v>
      </c>
    </row>
    <row r="296" spans="1:12" x14ac:dyDescent="0.3">
      <c r="A296" s="1">
        <v>31707</v>
      </c>
      <c r="B296">
        <f>VLOOKUP(A296,'STOCK DATA'!$A$2:$H$522,2,FALSE)</f>
        <v>112.74</v>
      </c>
      <c r="C296">
        <f>VLOOKUP($A296,'STOCK DATA'!$A$2:H$521,3,FALSE)</f>
        <v>1372.4</v>
      </c>
      <c r="D296">
        <f>VLOOKUP($A296,'STOCK DATA'!$A$2:$H$521,3,FALSE)</f>
        <v>1372.4</v>
      </c>
      <c r="E296">
        <f>VLOOKUP($A296,'STOCK DATA'!$A$2:$H$521,3,FALSE)</f>
        <v>1372.4</v>
      </c>
      <c r="F296">
        <f>VLOOKUP($A296,'STOCK DATA'!$A$2:$H$521,3,FALSE)</f>
        <v>1372.4</v>
      </c>
      <c r="G296">
        <f>VLOOKUP($A296,'STOCK DATA'!$A$2:$H$521,3,FALSE)</f>
        <v>1372.4</v>
      </c>
      <c r="H296">
        <f>VLOOKUP($A296,'STOCK DATA'!$A$2:$H$521,3,FALSE)</f>
        <v>1372.4</v>
      </c>
      <c r="I296">
        <f>VLOOKUP(A296,'Short-term interest Rates daily'!$A:$E,2,FALSE)</f>
        <v>16</v>
      </c>
      <c r="J296">
        <f>VLOOKUP(A296,'Short-term interest Rates daily'!$A:$E,3,FALSE)</f>
        <v>8.41</v>
      </c>
      <c r="K296">
        <f>VLOOKUP(A296,'Short-term interest Rates daily'!$A:$E,4,FALSE)</f>
        <v>10.74</v>
      </c>
      <c r="L296">
        <f>VLOOKUP(A296,'Short-term interest Rates daily'!$A:$E,5,FALSE)</f>
        <v>5.3</v>
      </c>
    </row>
    <row r="297" spans="1:12" x14ac:dyDescent="0.3">
      <c r="A297" s="1">
        <v>31708</v>
      </c>
      <c r="B297">
        <f>VLOOKUP(A297,'STOCK DATA'!$A$2:$H$522,2,FALSE)</f>
        <v>112.58</v>
      </c>
      <c r="C297">
        <f>VLOOKUP($A297,'STOCK DATA'!$A$2:H$521,3,FALSE)</f>
        <v>1367.3</v>
      </c>
      <c r="D297">
        <f>VLOOKUP($A297,'STOCK DATA'!$A$2:$H$521,3,FALSE)</f>
        <v>1367.3</v>
      </c>
      <c r="E297">
        <f>VLOOKUP($A297,'STOCK DATA'!$A$2:$H$521,3,FALSE)</f>
        <v>1367.3</v>
      </c>
      <c r="F297">
        <f>VLOOKUP($A297,'STOCK DATA'!$A$2:$H$521,3,FALSE)</f>
        <v>1367.3</v>
      </c>
      <c r="G297">
        <f>VLOOKUP($A297,'STOCK DATA'!$A$2:$H$521,3,FALSE)</f>
        <v>1367.3</v>
      </c>
      <c r="H297">
        <f>VLOOKUP($A297,'STOCK DATA'!$A$2:$H$521,3,FALSE)</f>
        <v>1367.3</v>
      </c>
      <c r="I297">
        <f>VLOOKUP(A297,'Short-term interest Rates daily'!$A:$E,2,FALSE)</f>
        <v>16.100000000000001</v>
      </c>
      <c r="J297">
        <f>VLOOKUP(A297,'Short-term interest Rates daily'!$A:$E,3,FALSE)</f>
        <v>8.39</v>
      </c>
      <c r="K297">
        <f>VLOOKUP(A297,'Short-term interest Rates daily'!$A:$E,4,FALSE)</f>
        <v>10.72</v>
      </c>
      <c r="L297">
        <f>VLOOKUP(A297,'Short-term interest Rates daily'!$A:$E,5,FALSE)</f>
        <v>5.26</v>
      </c>
    </row>
    <row r="298" spans="1:12" x14ac:dyDescent="0.3">
      <c r="A298" s="1">
        <v>31709</v>
      </c>
      <c r="B298">
        <f>VLOOKUP(A298,'STOCK DATA'!$A$2:$H$522,2,FALSE)</f>
        <v>114.21</v>
      </c>
      <c r="C298">
        <f>VLOOKUP($A298,'STOCK DATA'!$A$2:H$521,3,FALSE)</f>
        <v>1362.3</v>
      </c>
      <c r="D298">
        <f>VLOOKUP($A298,'STOCK DATA'!$A$2:$H$521,3,FALSE)</f>
        <v>1362.3</v>
      </c>
      <c r="E298">
        <f>VLOOKUP($A298,'STOCK DATA'!$A$2:$H$521,3,FALSE)</f>
        <v>1362.3</v>
      </c>
      <c r="F298">
        <f>VLOOKUP($A298,'STOCK DATA'!$A$2:$H$521,3,FALSE)</f>
        <v>1362.3</v>
      </c>
      <c r="G298">
        <f>VLOOKUP($A298,'STOCK DATA'!$A$2:$H$521,3,FALSE)</f>
        <v>1362.3</v>
      </c>
      <c r="H298">
        <f>VLOOKUP($A298,'STOCK DATA'!$A$2:$H$521,3,FALSE)</f>
        <v>1362.3</v>
      </c>
      <c r="I298">
        <f>VLOOKUP(A298,'Short-term interest Rates daily'!$A:$E,2,FALSE)</f>
        <v>16.100000000000001</v>
      </c>
      <c r="J298">
        <f>VLOOKUP(A298,'Short-term interest Rates daily'!$A:$E,3,FALSE)</f>
        <v>8.39</v>
      </c>
      <c r="K298">
        <f>VLOOKUP(A298,'Short-term interest Rates daily'!$A:$E,4,FALSE)</f>
        <v>10.7</v>
      </c>
      <c r="L298">
        <f>VLOOKUP(A298,'Short-term interest Rates daily'!$A:$E,5,FALSE)</f>
        <v>5.27</v>
      </c>
    </row>
    <row r="299" spans="1:12" x14ac:dyDescent="0.3">
      <c r="A299" s="1">
        <v>31710</v>
      </c>
      <c r="B299" t="e">
        <f>VLOOKUP(A299,'STOCK DATA'!$A$2:$H$522,2,FALSE)</f>
        <v>#N/A</v>
      </c>
      <c r="C299" t="e">
        <f>VLOOKUP($A299,'STOCK DATA'!$A$2:H$521,3,FALSE)</f>
        <v>#N/A</v>
      </c>
      <c r="D299" t="e">
        <f>VLOOKUP($A299,'STOCK DATA'!$A$2:$H$521,3,FALSE)</f>
        <v>#N/A</v>
      </c>
      <c r="E299" t="e">
        <f>VLOOKUP($A299,'STOCK DATA'!$A$2:$H$521,3,FALSE)</f>
        <v>#N/A</v>
      </c>
      <c r="F299" t="e">
        <f>VLOOKUP($A299,'STOCK DATA'!$A$2:$H$521,3,FALSE)</f>
        <v>#N/A</v>
      </c>
      <c r="G299" t="e">
        <f>VLOOKUP($A299,'STOCK DATA'!$A$2:$H$521,3,FALSE)</f>
        <v>#N/A</v>
      </c>
      <c r="H299" t="e">
        <f>VLOOKUP($A299,'STOCK DATA'!$A$2:$H$521,3,FALSE)</f>
        <v>#N/A</v>
      </c>
      <c r="I299" t="e">
        <f>VLOOKUP(A299,'Short-term interest Rates daily'!$A:$E,2,FALSE)</f>
        <v>#N/A</v>
      </c>
      <c r="J299" t="e">
        <f>VLOOKUP(A299,'Short-term interest Rates daily'!$A:$E,3,FALSE)</f>
        <v>#N/A</v>
      </c>
      <c r="K299" t="e">
        <f>VLOOKUP(A299,'Short-term interest Rates daily'!$A:$E,4,FALSE)</f>
        <v>#N/A</v>
      </c>
      <c r="L299" t="e">
        <f>VLOOKUP(A299,'Short-term interest Rates daily'!$A:$E,5,FALSE)</f>
        <v>#N/A</v>
      </c>
    </row>
    <row r="300" spans="1:12" x14ac:dyDescent="0.3">
      <c r="A300" s="1">
        <v>31711</v>
      </c>
      <c r="B300" t="e">
        <f>VLOOKUP(A300,'STOCK DATA'!$A$2:$H$522,2,FALSE)</f>
        <v>#N/A</v>
      </c>
      <c r="C300" t="e">
        <f>VLOOKUP($A300,'STOCK DATA'!$A$2:H$521,3,FALSE)</f>
        <v>#N/A</v>
      </c>
      <c r="D300" t="e">
        <f>VLOOKUP($A300,'STOCK DATA'!$A$2:$H$521,3,FALSE)</f>
        <v>#N/A</v>
      </c>
      <c r="E300" t="e">
        <f>VLOOKUP($A300,'STOCK DATA'!$A$2:$H$521,3,FALSE)</f>
        <v>#N/A</v>
      </c>
      <c r="F300" t="e">
        <f>VLOOKUP($A300,'STOCK DATA'!$A$2:$H$521,3,FALSE)</f>
        <v>#N/A</v>
      </c>
      <c r="G300" t="e">
        <f>VLOOKUP($A300,'STOCK DATA'!$A$2:$H$521,3,FALSE)</f>
        <v>#N/A</v>
      </c>
      <c r="H300" t="e">
        <f>VLOOKUP($A300,'STOCK DATA'!$A$2:$H$521,3,FALSE)</f>
        <v>#N/A</v>
      </c>
      <c r="I300" t="e">
        <f>VLOOKUP(A300,'Short-term interest Rates daily'!$A:$E,2,FALSE)</f>
        <v>#N/A</v>
      </c>
      <c r="J300" t="e">
        <f>VLOOKUP(A300,'Short-term interest Rates daily'!$A:$E,3,FALSE)</f>
        <v>#N/A</v>
      </c>
      <c r="K300" t="e">
        <f>VLOOKUP(A300,'Short-term interest Rates daily'!$A:$E,4,FALSE)</f>
        <v>#N/A</v>
      </c>
      <c r="L300" t="e">
        <f>VLOOKUP(A300,'Short-term interest Rates daily'!$A:$E,5,FALSE)</f>
        <v>#N/A</v>
      </c>
    </row>
    <row r="301" spans="1:12" x14ac:dyDescent="0.3">
      <c r="A301" s="1">
        <v>31712</v>
      </c>
      <c r="B301">
        <f>VLOOKUP(A301,'STOCK DATA'!$A$2:$H$522,2,FALSE)</f>
        <v>113.85</v>
      </c>
      <c r="C301">
        <f>VLOOKUP($A301,'STOCK DATA'!$A$2:H$521,3,FALSE)</f>
        <v>1348.6</v>
      </c>
      <c r="D301">
        <f>VLOOKUP($A301,'STOCK DATA'!$A$2:$H$521,3,FALSE)</f>
        <v>1348.6</v>
      </c>
      <c r="E301">
        <f>VLOOKUP($A301,'STOCK DATA'!$A$2:$H$521,3,FALSE)</f>
        <v>1348.6</v>
      </c>
      <c r="F301">
        <f>VLOOKUP($A301,'STOCK DATA'!$A$2:$H$521,3,FALSE)</f>
        <v>1348.6</v>
      </c>
      <c r="G301">
        <f>VLOOKUP($A301,'STOCK DATA'!$A$2:$H$521,3,FALSE)</f>
        <v>1348.6</v>
      </c>
      <c r="H301">
        <f>VLOOKUP($A301,'STOCK DATA'!$A$2:$H$521,3,FALSE)</f>
        <v>1348.6</v>
      </c>
      <c r="I301">
        <f>VLOOKUP(A301,'Short-term interest Rates daily'!$A:$E,2,FALSE)</f>
        <v>16.100000000000001</v>
      </c>
      <c r="J301">
        <f>VLOOKUP(A301,'Short-term interest Rates daily'!$A:$E,3,FALSE)</f>
        <v>8.39</v>
      </c>
      <c r="K301">
        <f>VLOOKUP(A301,'Short-term interest Rates daily'!$A:$E,4,FALSE)</f>
        <v>10.7</v>
      </c>
      <c r="L301">
        <f>VLOOKUP(A301,'Short-term interest Rates daily'!$A:$E,5,FALSE)</f>
        <v>5.19</v>
      </c>
    </row>
    <row r="302" spans="1:12" x14ac:dyDescent="0.3">
      <c r="A302" s="1">
        <v>31713</v>
      </c>
      <c r="B302">
        <f>VLOOKUP(A302,'STOCK DATA'!$A$2:$H$522,2,FALSE)</f>
        <v>113.45</v>
      </c>
      <c r="C302">
        <f>VLOOKUP($A302,'STOCK DATA'!$A$2:H$521,3,FALSE)</f>
        <v>1357.5</v>
      </c>
      <c r="D302">
        <f>VLOOKUP($A302,'STOCK DATA'!$A$2:$H$521,3,FALSE)</f>
        <v>1357.5</v>
      </c>
      <c r="E302">
        <f>VLOOKUP($A302,'STOCK DATA'!$A$2:$H$521,3,FALSE)</f>
        <v>1357.5</v>
      </c>
      <c r="F302">
        <f>VLOOKUP($A302,'STOCK DATA'!$A$2:$H$521,3,FALSE)</f>
        <v>1357.5</v>
      </c>
      <c r="G302">
        <f>VLOOKUP($A302,'STOCK DATA'!$A$2:$H$521,3,FALSE)</f>
        <v>1357.5</v>
      </c>
      <c r="H302">
        <f>VLOOKUP($A302,'STOCK DATA'!$A$2:$H$521,3,FALSE)</f>
        <v>1357.5</v>
      </c>
      <c r="I302">
        <f>VLOOKUP(A302,'Short-term interest Rates daily'!$A:$E,2,FALSE)</f>
        <v>16.25</v>
      </c>
      <c r="J302">
        <f>VLOOKUP(A302,'Short-term interest Rates daily'!$A:$E,3,FALSE)</f>
        <v>8.39</v>
      </c>
      <c r="K302">
        <f>VLOOKUP(A302,'Short-term interest Rates daily'!$A:$E,4,FALSE)</f>
        <v>10.68</v>
      </c>
      <c r="L302">
        <f>VLOOKUP(A302,'Short-term interest Rates daily'!$A:$E,5,FALSE)</f>
        <v>5.2</v>
      </c>
    </row>
    <row r="303" spans="1:12" x14ac:dyDescent="0.3">
      <c r="A303" s="1">
        <v>31714</v>
      </c>
      <c r="B303">
        <f>VLOOKUP(A303,'STOCK DATA'!$A$2:$H$522,2,FALSE)</f>
        <v>112.12</v>
      </c>
      <c r="C303">
        <f>VLOOKUP($A303,'STOCK DATA'!$A$2:H$521,3,FALSE)</f>
        <v>1374.4</v>
      </c>
      <c r="D303">
        <f>VLOOKUP($A303,'STOCK DATA'!$A$2:$H$521,3,FALSE)</f>
        <v>1374.4</v>
      </c>
      <c r="E303">
        <f>VLOOKUP($A303,'STOCK DATA'!$A$2:$H$521,3,FALSE)</f>
        <v>1374.4</v>
      </c>
      <c r="F303">
        <f>VLOOKUP($A303,'STOCK DATA'!$A$2:$H$521,3,FALSE)</f>
        <v>1374.4</v>
      </c>
      <c r="G303">
        <f>VLOOKUP($A303,'STOCK DATA'!$A$2:$H$521,3,FALSE)</f>
        <v>1374.4</v>
      </c>
      <c r="H303">
        <f>VLOOKUP($A303,'STOCK DATA'!$A$2:$H$521,3,FALSE)</f>
        <v>1374.4</v>
      </c>
      <c r="I303">
        <f>VLOOKUP(A303,'Short-term interest Rates daily'!$A:$E,2,FALSE)</f>
        <v>16.28</v>
      </c>
      <c r="J303">
        <f>VLOOKUP(A303,'Short-term interest Rates daily'!$A:$E,3,FALSE)</f>
        <v>8.4</v>
      </c>
      <c r="K303">
        <f>VLOOKUP(A303,'Short-term interest Rates daily'!$A:$E,4,FALSE)</f>
        <v>10.68</v>
      </c>
      <c r="L303">
        <f>VLOOKUP(A303,'Short-term interest Rates daily'!$A:$E,5,FALSE)</f>
        <v>5.2</v>
      </c>
    </row>
    <row r="304" spans="1:12" x14ac:dyDescent="0.3">
      <c r="A304" s="1">
        <v>31715</v>
      </c>
      <c r="B304">
        <f>VLOOKUP(A304,'STOCK DATA'!$A$2:$H$522,2,FALSE)</f>
        <v>116.01</v>
      </c>
      <c r="C304">
        <f>VLOOKUP($A304,'STOCK DATA'!$A$2:H$521,3,FALSE)</f>
        <v>1365</v>
      </c>
      <c r="D304">
        <f>VLOOKUP($A304,'STOCK DATA'!$A$2:$H$521,3,FALSE)</f>
        <v>1365</v>
      </c>
      <c r="E304">
        <f>VLOOKUP($A304,'STOCK DATA'!$A$2:$H$521,3,FALSE)</f>
        <v>1365</v>
      </c>
      <c r="F304">
        <f>VLOOKUP($A304,'STOCK DATA'!$A$2:$H$521,3,FALSE)</f>
        <v>1365</v>
      </c>
      <c r="G304">
        <f>VLOOKUP($A304,'STOCK DATA'!$A$2:$H$521,3,FALSE)</f>
        <v>1365</v>
      </c>
      <c r="H304">
        <f>VLOOKUP($A304,'STOCK DATA'!$A$2:$H$521,3,FALSE)</f>
        <v>1365</v>
      </c>
      <c r="I304">
        <f>VLOOKUP(A304,'Short-term interest Rates daily'!$A:$E,2,FALSE)</f>
        <v>16.13</v>
      </c>
      <c r="J304">
        <f>VLOOKUP(A304,'Short-term interest Rates daily'!$A:$E,3,FALSE)</f>
        <v>8.34</v>
      </c>
      <c r="K304">
        <f>VLOOKUP(A304,'Short-term interest Rates daily'!$A:$E,4,FALSE)</f>
        <v>10.68</v>
      </c>
      <c r="L304">
        <f>VLOOKUP(A304,'Short-term interest Rates daily'!$A:$E,5,FALSE)</f>
        <v>5.18</v>
      </c>
    </row>
    <row r="305" spans="1:12" x14ac:dyDescent="0.3">
      <c r="A305" s="1">
        <v>31716</v>
      </c>
      <c r="B305">
        <f>VLOOKUP(A305,'STOCK DATA'!$A$2:$H$522,2,FALSE)</f>
        <v>116.06</v>
      </c>
      <c r="C305">
        <f>VLOOKUP($A305,'STOCK DATA'!$A$2:H$521,3,FALSE)</f>
        <v>1377.5</v>
      </c>
      <c r="D305">
        <f>VLOOKUP($A305,'STOCK DATA'!$A$2:$H$521,3,FALSE)</f>
        <v>1377.5</v>
      </c>
      <c r="E305">
        <f>VLOOKUP($A305,'STOCK DATA'!$A$2:$H$521,3,FALSE)</f>
        <v>1377.5</v>
      </c>
      <c r="F305">
        <f>VLOOKUP($A305,'STOCK DATA'!$A$2:$H$521,3,FALSE)</f>
        <v>1377.5</v>
      </c>
      <c r="G305">
        <f>VLOOKUP($A305,'STOCK DATA'!$A$2:$H$521,3,FALSE)</f>
        <v>1377.5</v>
      </c>
      <c r="H305">
        <f>VLOOKUP($A305,'STOCK DATA'!$A$2:$H$521,3,FALSE)</f>
        <v>1377.5</v>
      </c>
      <c r="I305">
        <f>VLOOKUP(A305,'Short-term interest Rates daily'!$A:$E,2,FALSE)</f>
        <v>16</v>
      </c>
      <c r="J305">
        <f>VLOOKUP(A305,'Short-term interest Rates daily'!$A:$E,3,FALSE)</f>
        <v>8.36</v>
      </c>
      <c r="K305">
        <f>VLOOKUP(A305,'Short-term interest Rates daily'!$A:$E,4,FALSE)</f>
        <v>10.68</v>
      </c>
      <c r="L305">
        <f>VLOOKUP(A305,'Short-term interest Rates daily'!$A:$E,5,FALSE)</f>
        <v>5.2</v>
      </c>
    </row>
    <row r="306" spans="1:12" x14ac:dyDescent="0.3">
      <c r="A306" s="1">
        <v>31717</v>
      </c>
      <c r="B306" t="e">
        <f>VLOOKUP(A306,'STOCK DATA'!$A$2:$H$522,2,FALSE)</f>
        <v>#N/A</v>
      </c>
      <c r="C306" t="e">
        <f>VLOOKUP($A306,'STOCK DATA'!$A$2:H$521,3,FALSE)</f>
        <v>#N/A</v>
      </c>
      <c r="D306" t="e">
        <f>VLOOKUP($A306,'STOCK DATA'!$A$2:$H$521,3,FALSE)</f>
        <v>#N/A</v>
      </c>
      <c r="E306" t="e">
        <f>VLOOKUP($A306,'STOCK DATA'!$A$2:$H$521,3,FALSE)</f>
        <v>#N/A</v>
      </c>
      <c r="F306" t="e">
        <f>VLOOKUP($A306,'STOCK DATA'!$A$2:$H$521,3,FALSE)</f>
        <v>#N/A</v>
      </c>
      <c r="G306" t="e">
        <f>VLOOKUP($A306,'STOCK DATA'!$A$2:$H$521,3,FALSE)</f>
        <v>#N/A</v>
      </c>
      <c r="H306" t="e">
        <f>VLOOKUP($A306,'STOCK DATA'!$A$2:$H$521,3,FALSE)</f>
        <v>#N/A</v>
      </c>
      <c r="I306" t="e">
        <f>VLOOKUP(A306,'Short-term interest Rates daily'!$A:$E,2,FALSE)</f>
        <v>#N/A</v>
      </c>
      <c r="J306" t="e">
        <f>VLOOKUP(A306,'Short-term interest Rates daily'!$A:$E,3,FALSE)</f>
        <v>#N/A</v>
      </c>
      <c r="K306" t="e">
        <f>VLOOKUP(A306,'Short-term interest Rates daily'!$A:$E,4,FALSE)</f>
        <v>#N/A</v>
      </c>
      <c r="L306" t="e">
        <f>VLOOKUP(A306,'Short-term interest Rates daily'!$A:$E,5,FALSE)</f>
        <v>#N/A</v>
      </c>
    </row>
    <row r="307" spans="1:12" x14ac:dyDescent="0.3">
      <c r="A307" s="1">
        <v>31718</v>
      </c>
      <c r="B307" t="e">
        <f>VLOOKUP(A307,'STOCK DATA'!$A$2:$H$522,2,FALSE)</f>
        <v>#N/A</v>
      </c>
      <c r="C307" t="e">
        <f>VLOOKUP($A307,'STOCK DATA'!$A$2:H$521,3,FALSE)</f>
        <v>#N/A</v>
      </c>
      <c r="D307" t="e">
        <f>VLOOKUP($A307,'STOCK DATA'!$A$2:$H$521,3,FALSE)</f>
        <v>#N/A</v>
      </c>
      <c r="E307" t="e">
        <f>VLOOKUP($A307,'STOCK DATA'!$A$2:$H$521,3,FALSE)</f>
        <v>#N/A</v>
      </c>
      <c r="F307" t="e">
        <f>VLOOKUP($A307,'STOCK DATA'!$A$2:$H$521,3,FALSE)</f>
        <v>#N/A</v>
      </c>
      <c r="G307" t="e">
        <f>VLOOKUP($A307,'STOCK DATA'!$A$2:$H$521,3,FALSE)</f>
        <v>#N/A</v>
      </c>
      <c r="H307" t="e">
        <f>VLOOKUP($A307,'STOCK DATA'!$A$2:$H$521,3,FALSE)</f>
        <v>#N/A</v>
      </c>
      <c r="I307" t="e">
        <f>VLOOKUP(A307,'Short-term interest Rates daily'!$A:$E,2,FALSE)</f>
        <v>#N/A</v>
      </c>
      <c r="J307" t="e">
        <f>VLOOKUP(A307,'Short-term interest Rates daily'!$A:$E,3,FALSE)</f>
        <v>#N/A</v>
      </c>
      <c r="K307" t="e">
        <f>VLOOKUP(A307,'Short-term interest Rates daily'!$A:$E,4,FALSE)</f>
        <v>#N/A</v>
      </c>
      <c r="L307" t="e">
        <f>VLOOKUP(A307,'Short-term interest Rates daily'!$A:$E,5,FALSE)</f>
        <v>#N/A</v>
      </c>
    </row>
    <row r="308" spans="1:12" x14ac:dyDescent="0.3">
      <c r="A308" s="1">
        <v>31719</v>
      </c>
      <c r="B308">
        <f>VLOOKUP(A308,'STOCK DATA'!$A$2:$H$522,2,FALSE)</f>
        <v>116.43</v>
      </c>
      <c r="C308">
        <f>VLOOKUP($A308,'STOCK DATA'!$A$2:H$521,3,FALSE)</f>
        <v>1375.5</v>
      </c>
      <c r="D308">
        <f>VLOOKUP($A308,'STOCK DATA'!$A$2:$H$521,3,FALSE)</f>
        <v>1375.5</v>
      </c>
      <c r="E308">
        <f>VLOOKUP($A308,'STOCK DATA'!$A$2:$H$521,3,FALSE)</f>
        <v>1375.5</v>
      </c>
      <c r="F308">
        <f>VLOOKUP($A308,'STOCK DATA'!$A$2:$H$521,3,FALSE)</f>
        <v>1375.5</v>
      </c>
      <c r="G308">
        <f>VLOOKUP($A308,'STOCK DATA'!$A$2:$H$521,3,FALSE)</f>
        <v>1375.5</v>
      </c>
      <c r="H308">
        <f>VLOOKUP($A308,'STOCK DATA'!$A$2:$H$521,3,FALSE)</f>
        <v>1375.5</v>
      </c>
      <c r="I308">
        <f>VLOOKUP(A308,'Short-term interest Rates daily'!$A:$E,2,FALSE)</f>
        <v>16.2</v>
      </c>
      <c r="J308">
        <f>VLOOKUP(A308,'Short-term interest Rates daily'!$A:$E,3,FALSE)</f>
        <v>8.36</v>
      </c>
      <c r="K308">
        <f>VLOOKUP(A308,'Short-term interest Rates daily'!$A:$E,4,FALSE)</f>
        <v>10.65</v>
      </c>
      <c r="L308">
        <f>VLOOKUP(A308,'Short-term interest Rates daily'!$A:$E,5,FALSE)</f>
        <v>5.21</v>
      </c>
    </row>
    <row r="309" spans="1:12" x14ac:dyDescent="0.3">
      <c r="A309" s="1">
        <v>31720</v>
      </c>
      <c r="B309">
        <f>VLOOKUP(A309,'STOCK DATA'!$A$2:$H$522,2,FALSE)</f>
        <v>115.85</v>
      </c>
      <c r="C309">
        <f>VLOOKUP($A309,'STOCK DATA'!$A$2:H$521,3,FALSE)</f>
        <v>1381.1</v>
      </c>
      <c r="D309">
        <f>VLOOKUP($A309,'STOCK DATA'!$A$2:$H$521,3,FALSE)</f>
        <v>1381.1</v>
      </c>
      <c r="E309">
        <f>VLOOKUP($A309,'STOCK DATA'!$A$2:$H$521,3,FALSE)</f>
        <v>1381.1</v>
      </c>
      <c r="F309">
        <f>VLOOKUP($A309,'STOCK DATA'!$A$2:$H$521,3,FALSE)</f>
        <v>1381.1</v>
      </c>
      <c r="G309">
        <f>VLOOKUP($A309,'STOCK DATA'!$A$2:$H$521,3,FALSE)</f>
        <v>1381.1</v>
      </c>
      <c r="H309">
        <f>VLOOKUP($A309,'STOCK DATA'!$A$2:$H$521,3,FALSE)</f>
        <v>1381.1</v>
      </c>
      <c r="I309">
        <f>VLOOKUP(A309,'Short-term interest Rates daily'!$A:$E,2,FALSE)</f>
        <v>16.149999999999999</v>
      </c>
      <c r="J309">
        <f>VLOOKUP(A309,'Short-term interest Rates daily'!$A:$E,3,FALSE)</f>
        <v>8.3699999999999992</v>
      </c>
      <c r="K309">
        <f>VLOOKUP(A309,'Short-term interest Rates daily'!$A:$E,4,FALSE)</f>
        <v>10.65</v>
      </c>
      <c r="L309">
        <f>VLOOKUP(A309,'Short-term interest Rates daily'!$A:$E,5,FALSE)</f>
        <v>5.25</v>
      </c>
    </row>
    <row r="310" spans="1:12" x14ac:dyDescent="0.3">
      <c r="A310" s="1">
        <v>31721</v>
      </c>
      <c r="B310">
        <f>VLOOKUP(A310,'STOCK DATA'!$A$2:$H$522,2,FALSE)</f>
        <v>115.56</v>
      </c>
      <c r="C310">
        <f>VLOOKUP($A310,'STOCK DATA'!$A$2:H$521,3,FALSE)</f>
        <v>1390.2</v>
      </c>
      <c r="D310">
        <f>VLOOKUP($A310,'STOCK DATA'!$A$2:$H$521,3,FALSE)</f>
        <v>1390.2</v>
      </c>
      <c r="E310">
        <f>VLOOKUP($A310,'STOCK DATA'!$A$2:$H$521,3,FALSE)</f>
        <v>1390.2</v>
      </c>
      <c r="F310">
        <f>VLOOKUP($A310,'STOCK DATA'!$A$2:$H$521,3,FALSE)</f>
        <v>1390.2</v>
      </c>
      <c r="G310">
        <f>VLOOKUP($A310,'STOCK DATA'!$A$2:$H$521,3,FALSE)</f>
        <v>1390.2</v>
      </c>
      <c r="H310">
        <f>VLOOKUP($A310,'STOCK DATA'!$A$2:$H$521,3,FALSE)</f>
        <v>1390.2</v>
      </c>
      <c r="I310">
        <f>VLOOKUP(A310,'Short-term interest Rates daily'!$A:$E,2,FALSE)</f>
        <v>16</v>
      </c>
      <c r="J310">
        <f>VLOOKUP(A310,'Short-term interest Rates daily'!$A:$E,3,FALSE)</f>
        <v>8.36</v>
      </c>
      <c r="K310">
        <f>VLOOKUP(A310,'Short-term interest Rates daily'!$A:$E,4,FALSE)</f>
        <v>10.66</v>
      </c>
      <c r="L310">
        <f>VLOOKUP(A310,'Short-term interest Rates daily'!$A:$E,5,FALSE)</f>
        <v>5.26</v>
      </c>
    </row>
    <row r="311" spans="1:12" x14ac:dyDescent="0.3">
      <c r="A311" s="1">
        <v>31722</v>
      </c>
      <c r="B311">
        <f>VLOOKUP(A311,'STOCK DATA'!$A$2:$H$522,2,FALSE)</f>
        <v>116.78</v>
      </c>
      <c r="C311">
        <f>VLOOKUP($A311,'STOCK DATA'!$A$2:H$521,3,FALSE)</f>
        <v>1393.3</v>
      </c>
      <c r="D311">
        <f>VLOOKUP($A311,'STOCK DATA'!$A$2:$H$521,3,FALSE)</f>
        <v>1393.3</v>
      </c>
      <c r="E311">
        <f>VLOOKUP($A311,'STOCK DATA'!$A$2:$H$521,3,FALSE)</f>
        <v>1393.3</v>
      </c>
      <c r="F311">
        <f>VLOOKUP($A311,'STOCK DATA'!$A$2:$H$521,3,FALSE)</f>
        <v>1393.3</v>
      </c>
      <c r="G311">
        <f>VLOOKUP($A311,'STOCK DATA'!$A$2:$H$521,3,FALSE)</f>
        <v>1393.3</v>
      </c>
      <c r="H311">
        <f>VLOOKUP($A311,'STOCK DATA'!$A$2:$H$521,3,FALSE)</f>
        <v>1393.3</v>
      </c>
      <c r="I311">
        <f>VLOOKUP(A311,'Short-term interest Rates daily'!$A:$E,2,FALSE)</f>
        <v>16.079999999999998</v>
      </c>
      <c r="J311">
        <f>VLOOKUP(A311,'Short-term interest Rates daily'!$A:$E,3,FALSE)</f>
        <v>8.36</v>
      </c>
      <c r="K311">
        <f>VLOOKUP(A311,'Short-term interest Rates daily'!$A:$E,4,FALSE)</f>
        <v>10.64</v>
      </c>
      <c r="L311">
        <f>VLOOKUP(A311,'Short-term interest Rates daily'!$A:$E,5,FALSE)</f>
        <v>5.26</v>
      </c>
    </row>
    <row r="312" spans="1:12" x14ac:dyDescent="0.3">
      <c r="A312" s="1">
        <v>31723</v>
      </c>
      <c r="B312">
        <f>VLOOKUP(A312,'STOCK DATA'!$A$2:$H$522,2,FALSE)</f>
        <v>118.26</v>
      </c>
      <c r="C312">
        <f>VLOOKUP($A312,'STOCK DATA'!$A$2:H$521,3,FALSE)</f>
        <v>1403.5</v>
      </c>
      <c r="D312">
        <f>VLOOKUP($A312,'STOCK DATA'!$A$2:$H$521,3,FALSE)</f>
        <v>1403.5</v>
      </c>
      <c r="E312">
        <f>VLOOKUP($A312,'STOCK DATA'!$A$2:$H$521,3,FALSE)</f>
        <v>1403.5</v>
      </c>
      <c r="F312">
        <f>VLOOKUP($A312,'STOCK DATA'!$A$2:$H$521,3,FALSE)</f>
        <v>1403.5</v>
      </c>
      <c r="G312">
        <f>VLOOKUP($A312,'STOCK DATA'!$A$2:$H$521,3,FALSE)</f>
        <v>1403.5</v>
      </c>
      <c r="H312">
        <f>VLOOKUP($A312,'STOCK DATA'!$A$2:$H$521,3,FALSE)</f>
        <v>1403.5</v>
      </c>
      <c r="I312">
        <f>VLOOKUP(A312,'Short-term interest Rates daily'!$A:$E,2,FALSE)</f>
        <v>16.079999999999998</v>
      </c>
      <c r="J312">
        <f>VLOOKUP(A312,'Short-term interest Rates daily'!$A:$E,3,FALSE)</f>
        <v>8.36</v>
      </c>
      <c r="K312">
        <f>VLOOKUP(A312,'Short-term interest Rates daily'!$A:$E,4,FALSE)</f>
        <v>10.64</v>
      </c>
      <c r="L312">
        <f>VLOOKUP(A312,'Short-term interest Rates daily'!$A:$E,5,FALSE)</f>
        <v>5.32</v>
      </c>
    </row>
    <row r="313" spans="1:12" x14ac:dyDescent="0.3">
      <c r="A313" s="1">
        <v>31724</v>
      </c>
      <c r="B313" t="e">
        <f>VLOOKUP(A313,'STOCK DATA'!$A$2:$H$522,2,FALSE)</f>
        <v>#N/A</v>
      </c>
      <c r="C313" t="e">
        <f>VLOOKUP($A313,'STOCK DATA'!$A$2:H$521,3,FALSE)</f>
        <v>#N/A</v>
      </c>
      <c r="D313" t="e">
        <f>VLOOKUP($A313,'STOCK DATA'!$A$2:$H$521,3,FALSE)</f>
        <v>#N/A</v>
      </c>
      <c r="E313" t="e">
        <f>VLOOKUP($A313,'STOCK DATA'!$A$2:$H$521,3,FALSE)</f>
        <v>#N/A</v>
      </c>
      <c r="F313" t="e">
        <f>VLOOKUP($A313,'STOCK DATA'!$A$2:$H$521,3,FALSE)</f>
        <v>#N/A</v>
      </c>
      <c r="G313" t="e">
        <f>VLOOKUP($A313,'STOCK DATA'!$A$2:$H$521,3,FALSE)</f>
        <v>#N/A</v>
      </c>
      <c r="H313" t="e">
        <f>VLOOKUP($A313,'STOCK DATA'!$A$2:$H$521,3,FALSE)</f>
        <v>#N/A</v>
      </c>
      <c r="I313" t="e">
        <f>VLOOKUP(A313,'Short-term interest Rates daily'!$A:$E,2,FALSE)</f>
        <v>#N/A</v>
      </c>
      <c r="J313" t="e">
        <f>VLOOKUP(A313,'Short-term interest Rates daily'!$A:$E,3,FALSE)</f>
        <v>#N/A</v>
      </c>
      <c r="K313" t="e">
        <f>VLOOKUP(A313,'Short-term interest Rates daily'!$A:$E,4,FALSE)</f>
        <v>#N/A</v>
      </c>
      <c r="L313" t="e">
        <f>VLOOKUP(A313,'Short-term interest Rates daily'!$A:$E,5,FALSE)</f>
        <v>#N/A</v>
      </c>
    </row>
    <row r="314" spans="1:12" x14ac:dyDescent="0.3">
      <c r="A314" s="1">
        <v>31725</v>
      </c>
      <c r="B314" t="e">
        <f>VLOOKUP(A314,'STOCK DATA'!$A$2:$H$522,2,FALSE)</f>
        <v>#N/A</v>
      </c>
      <c r="C314" t="e">
        <f>VLOOKUP($A314,'STOCK DATA'!$A$2:H$521,3,FALSE)</f>
        <v>#N/A</v>
      </c>
      <c r="D314" t="e">
        <f>VLOOKUP($A314,'STOCK DATA'!$A$2:$H$521,3,FALSE)</f>
        <v>#N/A</v>
      </c>
      <c r="E314" t="e">
        <f>VLOOKUP($A314,'STOCK DATA'!$A$2:$H$521,3,FALSE)</f>
        <v>#N/A</v>
      </c>
      <c r="F314" t="e">
        <f>VLOOKUP($A314,'STOCK DATA'!$A$2:$H$521,3,FALSE)</f>
        <v>#N/A</v>
      </c>
      <c r="G314" t="e">
        <f>VLOOKUP($A314,'STOCK DATA'!$A$2:$H$521,3,FALSE)</f>
        <v>#N/A</v>
      </c>
      <c r="H314" t="e">
        <f>VLOOKUP($A314,'STOCK DATA'!$A$2:$H$521,3,FALSE)</f>
        <v>#N/A</v>
      </c>
      <c r="I314" t="e">
        <f>VLOOKUP(A314,'Short-term interest Rates daily'!$A:$E,2,FALSE)</f>
        <v>#N/A</v>
      </c>
      <c r="J314" t="e">
        <f>VLOOKUP(A314,'Short-term interest Rates daily'!$A:$E,3,FALSE)</f>
        <v>#N/A</v>
      </c>
      <c r="K314" t="e">
        <f>VLOOKUP(A314,'Short-term interest Rates daily'!$A:$E,4,FALSE)</f>
        <v>#N/A</v>
      </c>
      <c r="L314" t="e">
        <f>VLOOKUP(A314,'Short-term interest Rates daily'!$A:$E,5,FALSE)</f>
        <v>#N/A</v>
      </c>
    </row>
    <row r="315" spans="1:12" x14ac:dyDescent="0.3">
      <c r="A315" s="1">
        <v>31726</v>
      </c>
      <c r="B315">
        <f>VLOOKUP(A315,'STOCK DATA'!$A$2:$H$522,2,FALSE)</f>
        <v>117.85</v>
      </c>
      <c r="C315">
        <f>VLOOKUP($A315,'STOCK DATA'!$A$2:H$521,3,FALSE)</f>
        <v>1400.7</v>
      </c>
      <c r="D315">
        <f>VLOOKUP($A315,'STOCK DATA'!$A$2:$H$521,3,FALSE)</f>
        <v>1400.7</v>
      </c>
      <c r="E315">
        <f>VLOOKUP($A315,'STOCK DATA'!$A$2:$H$521,3,FALSE)</f>
        <v>1400.7</v>
      </c>
      <c r="F315">
        <f>VLOOKUP($A315,'STOCK DATA'!$A$2:$H$521,3,FALSE)</f>
        <v>1400.7</v>
      </c>
      <c r="G315">
        <f>VLOOKUP($A315,'STOCK DATA'!$A$2:$H$521,3,FALSE)</f>
        <v>1400.7</v>
      </c>
      <c r="H315">
        <f>VLOOKUP($A315,'STOCK DATA'!$A$2:$H$521,3,FALSE)</f>
        <v>1400.7</v>
      </c>
      <c r="I315">
        <f>VLOOKUP(A315,'Short-term interest Rates daily'!$A:$E,2,FALSE)</f>
        <v>16.5</v>
      </c>
      <c r="J315">
        <f>VLOOKUP(A315,'Short-term interest Rates daily'!$A:$E,3,FALSE)</f>
        <v>8.36</v>
      </c>
      <c r="K315">
        <f>VLOOKUP(A315,'Short-term interest Rates daily'!$A:$E,4,FALSE)</f>
        <v>10.68</v>
      </c>
      <c r="L315">
        <f>VLOOKUP(A315,'Short-term interest Rates daily'!$A:$E,5,FALSE)</f>
        <v>5.42</v>
      </c>
    </row>
    <row r="316" spans="1:12" x14ac:dyDescent="0.3">
      <c r="A316" s="1">
        <v>31727</v>
      </c>
      <c r="B316">
        <f>VLOOKUP(A316,'STOCK DATA'!$A$2:$H$522,2,FALSE)</f>
        <v>118.67</v>
      </c>
      <c r="C316">
        <f>VLOOKUP($A316,'STOCK DATA'!$A$2:H$521,3,FALSE)</f>
        <v>1383.9</v>
      </c>
      <c r="D316">
        <f>VLOOKUP($A316,'STOCK DATA'!$A$2:$H$521,3,FALSE)</f>
        <v>1383.9</v>
      </c>
      <c r="E316">
        <f>VLOOKUP($A316,'STOCK DATA'!$A$2:$H$521,3,FALSE)</f>
        <v>1383.9</v>
      </c>
      <c r="F316">
        <f>VLOOKUP($A316,'STOCK DATA'!$A$2:$H$521,3,FALSE)</f>
        <v>1383.9</v>
      </c>
      <c r="G316">
        <f>VLOOKUP($A316,'STOCK DATA'!$A$2:$H$521,3,FALSE)</f>
        <v>1383.9</v>
      </c>
      <c r="H316">
        <f>VLOOKUP($A316,'STOCK DATA'!$A$2:$H$521,3,FALSE)</f>
        <v>1383.9</v>
      </c>
      <c r="I316">
        <f>VLOOKUP(A316,'Short-term interest Rates daily'!$A:$E,2,FALSE)</f>
        <v>16.88</v>
      </c>
      <c r="J316">
        <f>VLOOKUP(A316,'Short-term interest Rates daily'!$A:$E,3,FALSE)</f>
        <v>0</v>
      </c>
      <c r="K316">
        <f>VLOOKUP(A316,'Short-term interest Rates daily'!$A:$E,4,FALSE)</f>
        <v>10.68</v>
      </c>
      <c r="L316">
        <f>VLOOKUP(A316,'Short-term interest Rates daily'!$A:$E,5,FALSE)</f>
        <v>0</v>
      </c>
    </row>
    <row r="317" spans="1:12" x14ac:dyDescent="0.3">
      <c r="A317" s="1">
        <v>31728</v>
      </c>
      <c r="B317">
        <f>VLOOKUP(A317,'STOCK DATA'!$A$2:$H$522,2,FALSE)</f>
        <v>118.01</v>
      </c>
      <c r="C317">
        <f>VLOOKUP($A317,'STOCK DATA'!$A$2:H$521,3,FALSE)</f>
        <v>1380.9</v>
      </c>
      <c r="D317">
        <f>VLOOKUP($A317,'STOCK DATA'!$A$2:$H$521,3,FALSE)</f>
        <v>1380.9</v>
      </c>
      <c r="E317">
        <f>VLOOKUP($A317,'STOCK DATA'!$A$2:$H$521,3,FALSE)</f>
        <v>1380.9</v>
      </c>
      <c r="F317">
        <f>VLOOKUP($A317,'STOCK DATA'!$A$2:$H$521,3,FALSE)</f>
        <v>1380.9</v>
      </c>
      <c r="G317">
        <f>VLOOKUP($A317,'STOCK DATA'!$A$2:$H$521,3,FALSE)</f>
        <v>1380.9</v>
      </c>
      <c r="H317">
        <f>VLOOKUP($A317,'STOCK DATA'!$A$2:$H$521,3,FALSE)</f>
        <v>1380.9</v>
      </c>
      <c r="I317">
        <f>VLOOKUP(A317,'Short-term interest Rates daily'!$A:$E,2,FALSE)</f>
        <v>16.5</v>
      </c>
      <c r="J317">
        <f>VLOOKUP(A317,'Short-term interest Rates daily'!$A:$E,3,FALSE)</f>
        <v>8.34</v>
      </c>
      <c r="K317">
        <f>VLOOKUP(A317,'Short-term interest Rates daily'!$A:$E,4,FALSE)</f>
        <v>10.68</v>
      </c>
      <c r="L317">
        <f>VLOOKUP(A317,'Short-term interest Rates daily'!$A:$E,5,FALSE)</f>
        <v>5.4</v>
      </c>
    </row>
    <row r="318" spans="1:12" x14ac:dyDescent="0.3">
      <c r="A318" s="1">
        <v>31729</v>
      </c>
      <c r="B318">
        <f>VLOOKUP(A318,'STOCK DATA'!$A$2:$H$522,2,FALSE)</f>
        <v>116.54</v>
      </c>
      <c r="C318">
        <f>VLOOKUP($A318,'STOCK DATA'!$A$2:H$521,3,FALSE)</f>
        <v>1379</v>
      </c>
      <c r="D318">
        <f>VLOOKUP($A318,'STOCK DATA'!$A$2:$H$521,3,FALSE)</f>
        <v>1379</v>
      </c>
      <c r="E318">
        <f>VLOOKUP($A318,'STOCK DATA'!$A$2:$H$521,3,FALSE)</f>
        <v>1379</v>
      </c>
      <c r="F318">
        <f>VLOOKUP($A318,'STOCK DATA'!$A$2:$H$521,3,FALSE)</f>
        <v>1379</v>
      </c>
      <c r="G318">
        <f>VLOOKUP($A318,'STOCK DATA'!$A$2:$H$521,3,FALSE)</f>
        <v>1379</v>
      </c>
      <c r="H318">
        <f>VLOOKUP($A318,'STOCK DATA'!$A$2:$H$521,3,FALSE)</f>
        <v>1379</v>
      </c>
      <c r="I318">
        <f>VLOOKUP(A318,'Short-term interest Rates daily'!$A:$E,2,FALSE)</f>
        <v>16.5</v>
      </c>
      <c r="J318">
        <f>VLOOKUP(A318,'Short-term interest Rates daily'!$A:$E,3,FALSE)</f>
        <v>8.31</v>
      </c>
      <c r="K318">
        <f>VLOOKUP(A318,'Short-term interest Rates daily'!$A:$E,4,FALSE)</f>
        <v>10.71</v>
      </c>
      <c r="L318">
        <f>VLOOKUP(A318,'Short-term interest Rates daily'!$A:$E,5,FALSE)</f>
        <v>5.4</v>
      </c>
    </row>
    <row r="319" spans="1:12" x14ac:dyDescent="0.3">
      <c r="A319" s="1">
        <v>31730</v>
      </c>
      <c r="B319">
        <f>VLOOKUP(A319,'STOCK DATA'!$A$2:$H$522,2,FALSE)</f>
        <v>115.85</v>
      </c>
      <c r="C319">
        <f>VLOOKUP($A319,'STOCK DATA'!$A$2:H$521,3,FALSE)</f>
        <v>1362.3</v>
      </c>
      <c r="D319">
        <f>VLOOKUP($A319,'STOCK DATA'!$A$2:$H$521,3,FALSE)</f>
        <v>1362.3</v>
      </c>
      <c r="E319">
        <f>VLOOKUP($A319,'STOCK DATA'!$A$2:$H$521,3,FALSE)</f>
        <v>1362.3</v>
      </c>
      <c r="F319">
        <f>VLOOKUP($A319,'STOCK DATA'!$A$2:$H$521,3,FALSE)</f>
        <v>1362.3</v>
      </c>
      <c r="G319">
        <f>VLOOKUP($A319,'STOCK DATA'!$A$2:$H$521,3,FALSE)</f>
        <v>1362.3</v>
      </c>
      <c r="H319">
        <f>VLOOKUP($A319,'STOCK DATA'!$A$2:$H$521,3,FALSE)</f>
        <v>1362.3</v>
      </c>
      <c r="I319">
        <f>VLOOKUP(A319,'Short-term interest Rates daily'!$A:$E,2,FALSE)</f>
        <v>16.38</v>
      </c>
      <c r="J319">
        <f>VLOOKUP(A319,'Short-term interest Rates daily'!$A:$E,3,FALSE)</f>
        <v>8.2799999999999994</v>
      </c>
      <c r="K319">
        <f>VLOOKUP(A319,'Short-term interest Rates daily'!$A:$E,4,FALSE)</f>
        <v>10.71</v>
      </c>
      <c r="L319">
        <f>VLOOKUP(A319,'Short-term interest Rates daily'!$A:$E,5,FALSE)</f>
        <v>5.4</v>
      </c>
    </row>
    <row r="320" spans="1:12" x14ac:dyDescent="0.3">
      <c r="A320" s="1">
        <v>31731</v>
      </c>
      <c r="B320" t="e">
        <f>VLOOKUP(A320,'STOCK DATA'!$A$2:$H$522,2,FALSE)</f>
        <v>#N/A</v>
      </c>
      <c r="C320" t="e">
        <f>VLOOKUP($A320,'STOCK DATA'!$A$2:H$521,3,FALSE)</f>
        <v>#N/A</v>
      </c>
      <c r="D320" t="e">
        <f>VLOOKUP($A320,'STOCK DATA'!$A$2:$H$521,3,FALSE)</f>
        <v>#N/A</v>
      </c>
      <c r="E320" t="e">
        <f>VLOOKUP($A320,'STOCK DATA'!$A$2:$H$521,3,FALSE)</f>
        <v>#N/A</v>
      </c>
      <c r="F320" t="e">
        <f>VLOOKUP($A320,'STOCK DATA'!$A$2:$H$521,3,FALSE)</f>
        <v>#N/A</v>
      </c>
      <c r="G320" t="e">
        <f>VLOOKUP($A320,'STOCK DATA'!$A$2:$H$521,3,FALSE)</f>
        <v>#N/A</v>
      </c>
      <c r="H320" t="e">
        <f>VLOOKUP($A320,'STOCK DATA'!$A$2:$H$521,3,FALSE)</f>
        <v>#N/A</v>
      </c>
      <c r="I320" t="e">
        <f>VLOOKUP(A320,'Short-term interest Rates daily'!$A:$E,2,FALSE)</f>
        <v>#N/A</v>
      </c>
      <c r="J320" t="e">
        <f>VLOOKUP(A320,'Short-term interest Rates daily'!$A:$E,3,FALSE)</f>
        <v>#N/A</v>
      </c>
      <c r="K320" t="e">
        <f>VLOOKUP(A320,'Short-term interest Rates daily'!$A:$E,4,FALSE)</f>
        <v>#N/A</v>
      </c>
      <c r="L320" t="e">
        <f>VLOOKUP(A320,'Short-term interest Rates daily'!$A:$E,5,FALSE)</f>
        <v>#N/A</v>
      </c>
    </row>
    <row r="321" spans="1:12" x14ac:dyDescent="0.3">
      <c r="A321" s="1">
        <v>31732</v>
      </c>
      <c r="B321" t="e">
        <f>VLOOKUP(A321,'STOCK DATA'!$A$2:$H$522,2,FALSE)</f>
        <v>#N/A</v>
      </c>
      <c r="C321" t="e">
        <f>VLOOKUP($A321,'STOCK DATA'!$A$2:H$521,3,FALSE)</f>
        <v>#N/A</v>
      </c>
      <c r="D321" t="e">
        <f>VLOOKUP($A321,'STOCK DATA'!$A$2:$H$521,3,FALSE)</f>
        <v>#N/A</v>
      </c>
      <c r="E321" t="e">
        <f>VLOOKUP($A321,'STOCK DATA'!$A$2:$H$521,3,FALSE)</f>
        <v>#N/A</v>
      </c>
      <c r="F321" t="e">
        <f>VLOOKUP($A321,'STOCK DATA'!$A$2:$H$521,3,FALSE)</f>
        <v>#N/A</v>
      </c>
      <c r="G321" t="e">
        <f>VLOOKUP($A321,'STOCK DATA'!$A$2:$H$521,3,FALSE)</f>
        <v>#N/A</v>
      </c>
      <c r="H321" t="e">
        <f>VLOOKUP($A321,'STOCK DATA'!$A$2:$H$521,3,FALSE)</f>
        <v>#N/A</v>
      </c>
      <c r="I321" t="e">
        <f>VLOOKUP(A321,'Short-term interest Rates daily'!$A:$E,2,FALSE)</f>
        <v>#N/A</v>
      </c>
      <c r="J321" t="e">
        <f>VLOOKUP(A321,'Short-term interest Rates daily'!$A:$E,3,FALSE)</f>
        <v>#N/A</v>
      </c>
      <c r="K321" t="e">
        <f>VLOOKUP(A321,'Short-term interest Rates daily'!$A:$E,4,FALSE)</f>
        <v>#N/A</v>
      </c>
      <c r="L321" t="e">
        <f>VLOOKUP(A321,'Short-term interest Rates daily'!$A:$E,5,FALSE)</f>
        <v>#N/A</v>
      </c>
    </row>
    <row r="322" spans="1:12" x14ac:dyDescent="0.3">
      <c r="A322" s="1">
        <v>31733</v>
      </c>
      <c r="B322">
        <f>VLOOKUP(A322,'STOCK DATA'!$A$2:$H$522,2,FALSE)</f>
        <v>115.02</v>
      </c>
      <c r="C322">
        <f>VLOOKUP($A322,'STOCK DATA'!$A$2:H$521,3,FALSE)</f>
        <v>1326.7</v>
      </c>
      <c r="D322">
        <f>VLOOKUP($A322,'STOCK DATA'!$A$2:$H$521,3,FALSE)</f>
        <v>1326.7</v>
      </c>
      <c r="E322">
        <f>VLOOKUP($A322,'STOCK DATA'!$A$2:$H$521,3,FALSE)</f>
        <v>1326.7</v>
      </c>
      <c r="F322">
        <f>VLOOKUP($A322,'STOCK DATA'!$A$2:$H$521,3,FALSE)</f>
        <v>1326.7</v>
      </c>
      <c r="G322">
        <f>VLOOKUP($A322,'STOCK DATA'!$A$2:$H$521,3,FALSE)</f>
        <v>1326.7</v>
      </c>
      <c r="H322">
        <f>VLOOKUP($A322,'STOCK DATA'!$A$2:$H$521,3,FALSE)</f>
        <v>1326.7</v>
      </c>
      <c r="I322">
        <f>VLOOKUP(A322,'Short-term interest Rates daily'!$A:$E,2,FALSE)</f>
        <v>16.5</v>
      </c>
      <c r="J322">
        <f>VLOOKUP(A322,'Short-term interest Rates daily'!$A:$E,3,FALSE)</f>
        <v>8.25</v>
      </c>
      <c r="K322">
        <f>VLOOKUP(A322,'Short-term interest Rates daily'!$A:$E,4,FALSE)</f>
        <v>10.68</v>
      </c>
      <c r="L322">
        <f>VLOOKUP(A322,'Short-term interest Rates daily'!$A:$E,5,FALSE)</f>
        <v>5.4</v>
      </c>
    </row>
    <row r="323" spans="1:12" x14ac:dyDescent="0.3">
      <c r="A323" s="1">
        <v>31734</v>
      </c>
      <c r="B323">
        <f>VLOOKUP(A323,'STOCK DATA'!$A$2:$H$522,2,FALSE)</f>
        <v>116.19</v>
      </c>
      <c r="C323">
        <f>VLOOKUP($A323,'STOCK DATA'!$A$2:H$521,3,FALSE)</f>
        <v>1316.4</v>
      </c>
      <c r="D323">
        <f>VLOOKUP($A323,'STOCK DATA'!$A$2:$H$521,3,FALSE)</f>
        <v>1316.4</v>
      </c>
      <c r="E323">
        <f>VLOOKUP($A323,'STOCK DATA'!$A$2:$H$521,3,FALSE)</f>
        <v>1316.4</v>
      </c>
      <c r="F323">
        <f>VLOOKUP($A323,'STOCK DATA'!$A$2:$H$521,3,FALSE)</f>
        <v>1316.4</v>
      </c>
      <c r="G323">
        <f>VLOOKUP($A323,'STOCK DATA'!$A$2:$H$521,3,FALSE)</f>
        <v>1316.4</v>
      </c>
      <c r="H323">
        <f>VLOOKUP($A323,'STOCK DATA'!$A$2:$H$521,3,FALSE)</f>
        <v>1316.4</v>
      </c>
      <c r="I323">
        <f>VLOOKUP(A323,'Short-term interest Rates daily'!$A:$E,2,FALSE)</f>
        <v>17.13</v>
      </c>
      <c r="J323">
        <f>VLOOKUP(A323,'Short-term interest Rates daily'!$A:$E,3,FALSE)</f>
        <v>8.23</v>
      </c>
      <c r="K323">
        <f>VLOOKUP(A323,'Short-term interest Rates daily'!$A:$E,4,FALSE)</f>
        <v>10.7</v>
      </c>
      <c r="L323">
        <f>VLOOKUP(A323,'Short-term interest Rates daily'!$A:$E,5,FALSE)</f>
        <v>5.35</v>
      </c>
    </row>
    <row r="324" spans="1:12" x14ac:dyDescent="0.3">
      <c r="A324" s="1">
        <v>31735</v>
      </c>
      <c r="B324">
        <f>VLOOKUP(A324,'STOCK DATA'!$A$2:$H$522,2,FALSE)</f>
        <v>115.85</v>
      </c>
      <c r="C324">
        <f>VLOOKUP($A324,'STOCK DATA'!$A$2:H$521,3,FALSE)</f>
        <v>1335.8</v>
      </c>
      <c r="D324">
        <f>VLOOKUP($A324,'STOCK DATA'!$A$2:$H$521,3,FALSE)</f>
        <v>1335.8</v>
      </c>
      <c r="E324">
        <f>VLOOKUP($A324,'STOCK DATA'!$A$2:$H$521,3,FALSE)</f>
        <v>1335.8</v>
      </c>
      <c r="F324">
        <f>VLOOKUP($A324,'STOCK DATA'!$A$2:$H$521,3,FALSE)</f>
        <v>1335.8</v>
      </c>
      <c r="G324">
        <f>VLOOKUP($A324,'STOCK DATA'!$A$2:$H$521,3,FALSE)</f>
        <v>1335.8</v>
      </c>
      <c r="H324">
        <f>VLOOKUP($A324,'STOCK DATA'!$A$2:$H$521,3,FALSE)</f>
        <v>1335.8</v>
      </c>
      <c r="I324">
        <f>VLOOKUP(A324,'Short-term interest Rates daily'!$A:$E,2,FALSE)</f>
        <v>16.78</v>
      </c>
      <c r="J324">
        <f>VLOOKUP(A324,'Short-term interest Rates daily'!$A:$E,3,FALSE)</f>
        <v>8.2200000000000006</v>
      </c>
      <c r="K324">
        <f>VLOOKUP(A324,'Short-term interest Rates daily'!$A:$E,4,FALSE)</f>
        <v>10.68</v>
      </c>
      <c r="L324">
        <f>VLOOKUP(A324,'Short-term interest Rates daily'!$A:$E,5,FALSE)</f>
        <v>5.33</v>
      </c>
    </row>
    <row r="325" spans="1:12" x14ac:dyDescent="0.3">
      <c r="A325" s="1">
        <v>31736</v>
      </c>
      <c r="B325">
        <f>VLOOKUP(A325,'STOCK DATA'!$A$2:$H$522,2,FALSE)</f>
        <v>117.26</v>
      </c>
      <c r="C325">
        <f>VLOOKUP($A325,'STOCK DATA'!$A$2:H$521,3,FALSE)</f>
        <v>1331</v>
      </c>
      <c r="D325">
        <f>VLOOKUP($A325,'STOCK DATA'!$A$2:$H$521,3,FALSE)</f>
        <v>1331</v>
      </c>
      <c r="E325">
        <f>VLOOKUP($A325,'STOCK DATA'!$A$2:$H$521,3,FALSE)</f>
        <v>1331</v>
      </c>
      <c r="F325">
        <f>VLOOKUP($A325,'STOCK DATA'!$A$2:$H$521,3,FALSE)</f>
        <v>1331</v>
      </c>
      <c r="G325">
        <f>VLOOKUP($A325,'STOCK DATA'!$A$2:$H$521,3,FALSE)</f>
        <v>1331</v>
      </c>
      <c r="H325">
        <f>VLOOKUP($A325,'STOCK DATA'!$A$2:$H$521,3,FALSE)</f>
        <v>1331</v>
      </c>
      <c r="I325">
        <f>VLOOKUP(A325,'Short-term interest Rates daily'!$A:$E,2,FALSE)</f>
        <v>16.5</v>
      </c>
      <c r="J325">
        <f>VLOOKUP(A325,'Short-term interest Rates daily'!$A:$E,3,FALSE)</f>
        <v>8.25</v>
      </c>
      <c r="K325">
        <f>VLOOKUP(A325,'Short-term interest Rates daily'!$A:$E,4,FALSE)</f>
        <v>10.72</v>
      </c>
      <c r="L325">
        <f>VLOOKUP(A325,'Short-term interest Rates daily'!$A:$E,5,FALSE)</f>
        <v>5.38</v>
      </c>
    </row>
    <row r="326" spans="1:12" x14ac:dyDescent="0.3">
      <c r="A326" s="1">
        <v>31737</v>
      </c>
      <c r="B326">
        <f>VLOOKUP(A326,'STOCK DATA'!$A$2:$H$522,2,FALSE)</f>
        <v>117.91</v>
      </c>
      <c r="C326">
        <f>VLOOKUP($A326,'STOCK DATA'!$A$2:H$521,3,FALSE)</f>
        <v>1346.1</v>
      </c>
      <c r="D326">
        <f>VLOOKUP($A326,'STOCK DATA'!$A$2:$H$521,3,FALSE)</f>
        <v>1346.1</v>
      </c>
      <c r="E326">
        <f>VLOOKUP($A326,'STOCK DATA'!$A$2:$H$521,3,FALSE)</f>
        <v>1346.1</v>
      </c>
      <c r="F326">
        <f>VLOOKUP($A326,'STOCK DATA'!$A$2:$H$521,3,FALSE)</f>
        <v>1346.1</v>
      </c>
      <c r="G326">
        <f>VLOOKUP($A326,'STOCK DATA'!$A$2:$H$521,3,FALSE)</f>
        <v>1346.1</v>
      </c>
      <c r="H326">
        <f>VLOOKUP($A326,'STOCK DATA'!$A$2:$H$521,3,FALSE)</f>
        <v>1346.1</v>
      </c>
      <c r="I326">
        <f>VLOOKUP(A326,'Short-term interest Rates daily'!$A:$E,2,FALSE)</f>
        <v>16.3</v>
      </c>
      <c r="J326">
        <f>VLOOKUP(A326,'Short-term interest Rates daily'!$A:$E,3,FALSE)</f>
        <v>8.25</v>
      </c>
      <c r="K326">
        <f>VLOOKUP(A326,'Short-term interest Rates daily'!$A:$E,4,FALSE)</f>
        <v>10.71</v>
      </c>
      <c r="L326">
        <f>VLOOKUP(A326,'Short-term interest Rates daily'!$A:$E,5,FALSE)</f>
        <v>5.36</v>
      </c>
    </row>
    <row r="327" spans="1:12" x14ac:dyDescent="0.3">
      <c r="A327" s="1">
        <v>31738</v>
      </c>
      <c r="B327" t="e">
        <f>VLOOKUP(A327,'STOCK DATA'!$A$2:$H$522,2,FALSE)</f>
        <v>#N/A</v>
      </c>
      <c r="C327" t="e">
        <f>VLOOKUP($A327,'STOCK DATA'!$A$2:H$521,3,FALSE)</f>
        <v>#N/A</v>
      </c>
      <c r="D327" t="e">
        <f>VLOOKUP($A327,'STOCK DATA'!$A$2:$H$521,3,FALSE)</f>
        <v>#N/A</v>
      </c>
      <c r="E327" t="e">
        <f>VLOOKUP($A327,'STOCK DATA'!$A$2:$H$521,3,FALSE)</f>
        <v>#N/A</v>
      </c>
      <c r="F327" t="e">
        <f>VLOOKUP($A327,'STOCK DATA'!$A$2:$H$521,3,FALSE)</f>
        <v>#N/A</v>
      </c>
      <c r="G327" t="e">
        <f>VLOOKUP($A327,'STOCK DATA'!$A$2:$H$521,3,FALSE)</f>
        <v>#N/A</v>
      </c>
      <c r="H327" t="e">
        <f>VLOOKUP($A327,'STOCK DATA'!$A$2:$H$521,3,FALSE)</f>
        <v>#N/A</v>
      </c>
      <c r="I327" t="e">
        <f>VLOOKUP(A327,'Short-term interest Rates daily'!$A:$E,2,FALSE)</f>
        <v>#N/A</v>
      </c>
      <c r="J327" t="e">
        <f>VLOOKUP(A327,'Short-term interest Rates daily'!$A:$E,3,FALSE)</f>
        <v>#N/A</v>
      </c>
      <c r="K327" t="e">
        <f>VLOOKUP(A327,'Short-term interest Rates daily'!$A:$E,4,FALSE)</f>
        <v>#N/A</v>
      </c>
      <c r="L327" t="e">
        <f>VLOOKUP(A327,'Short-term interest Rates daily'!$A:$E,5,FALSE)</f>
        <v>#N/A</v>
      </c>
    </row>
    <row r="328" spans="1:12" x14ac:dyDescent="0.3">
      <c r="A328" s="1">
        <v>31739</v>
      </c>
      <c r="B328" t="e">
        <f>VLOOKUP(A328,'STOCK DATA'!$A$2:$H$522,2,FALSE)</f>
        <v>#N/A</v>
      </c>
      <c r="C328" t="e">
        <f>VLOOKUP($A328,'STOCK DATA'!$A$2:H$521,3,FALSE)</f>
        <v>#N/A</v>
      </c>
      <c r="D328" t="e">
        <f>VLOOKUP($A328,'STOCK DATA'!$A$2:$H$521,3,FALSE)</f>
        <v>#N/A</v>
      </c>
      <c r="E328" t="e">
        <f>VLOOKUP($A328,'STOCK DATA'!$A$2:$H$521,3,FALSE)</f>
        <v>#N/A</v>
      </c>
      <c r="F328" t="e">
        <f>VLOOKUP($A328,'STOCK DATA'!$A$2:$H$521,3,FALSE)</f>
        <v>#N/A</v>
      </c>
      <c r="G328" t="e">
        <f>VLOOKUP($A328,'STOCK DATA'!$A$2:$H$521,3,FALSE)</f>
        <v>#N/A</v>
      </c>
      <c r="H328" t="e">
        <f>VLOOKUP($A328,'STOCK DATA'!$A$2:$H$521,3,FALSE)</f>
        <v>#N/A</v>
      </c>
      <c r="I328" t="e">
        <f>VLOOKUP(A328,'Short-term interest Rates daily'!$A:$E,2,FALSE)</f>
        <v>#N/A</v>
      </c>
      <c r="J328" t="e">
        <f>VLOOKUP(A328,'Short-term interest Rates daily'!$A:$E,3,FALSE)</f>
        <v>#N/A</v>
      </c>
      <c r="K328" t="e">
        <f>VLOOKUP(A328,'Short-term interest Rates daily'!$A:$E,4,FALSE)</f>
        <v>#N/A</v>
      </c>
      <c r="L328" t="e">
        <f>VLOOKUP(A328,'Short-term interest Rates daily'!$A:$E,5,FALSE)</f>
        <v>#N/A</v>
      </c>
    </row>
    <row r="329" spans="1:12" x14ac:dyDescent="0.3">
      <c r="A329" s="1">
        <v>31740</v>
      </c>
      <c r="B329">
        <f>VLOOKUP(A329,'STOCK DATA'!$A$2:$H$522,2,FALSE)</f>
        <v>119.41</v>
      </c>
      <c r="C329">
        <f>VLOOKUP($A329,'STOCK DATA'!$A$2:H$521,3,FALSE)</f>
        <v>1337.6</v>
      </c>
      <c r="D329">
        <f>VLOOKUP($A329,'STOCK DATA'!$A$2:$H$521,3,FALSE)</f>
        <v>1337.6</v>
      </c>
      <c r="E329">
        <f>VLOOKUP($A329,'STOCK DATA'!$A$2:$H$521,3,FALSE)</f>
        <v>1337.6</v>
      </c>
      <c r="F329">
        <f>VLOOKUP($A329,'STOCK DATA'!$A$2:$H$521,3,FALSE)</f>
        <v>1337.6</v>
      </c>
      <c r="G329">
        <f>VLOOKUP($A329,'STOCK DATA'!$A$2:$H$521,3,FALSE)</f>
        <v>1337.6</v>
      </c>
      <c r="H329">
        <f>VLOOKUP($A329,'STOCK DATA'!$A$2:$H$521,3,FALSE)</f>
        <v>1337.6</v>
      </c>
      <c r="I329">
        <f>VLOOKUP(A329,'Short-term interest Rates daily'!$A:$E,2,FALSE)</f>
        <v>16.18</v>
      </c>
      <c r="J329">
        <f>VLOOKUP(A329,'Short-term interest Rates daily'!$A:$E,3,FALSE)</f>
        <v>8.23</v>
      </c>
      <c r="K329">
        <f>VLOOKUP(A329,'Short-term interest Rates daily'!$A:$E,4,FALSE)</f>
        <v>10.71</v>
      </c>
      <c r="L329">
        <f>VLOOKUP(A329,'Short-term interest Rates daily'!$A:$E,5,FALSE)</f>
        <v>5.38</v>
      </c>
    </row>
    <row r="330" spans="1:12" x14ac:dyDescent="0.3">
      <c r="A330" s="1">
        <v>31741</v>
      </c>
      <c r="B330">
        <f>VLOOKUP(A330,'STOCK DATA'!$A$2:$H$522,2,FALSE)</f>
        <v>118.05</v>
      </c>
      <c r="C330">
        <f>VLOOKUP($A330,'STOCK DATA'!$A$2:H$521,3,FALSE)</f>
        <v>1350.9</v>
      </c>
      <c r="D330">
        <f>VLOOKUP($A330,'STOCK DATA'!$A$2:$H$521,3,FALSE)</f>
        <v>1350.9</v>
      </c>
      <c r="E330">
        <f>VLOOKUP($A330,'STOCK DATA'!$A$2:$H$521,3,FALSE)</f>
        <v>1350.9</v>
      </c>
      <c r="F330">
        <f>VLOOKUP($A330,'STOCK DATA'!$A$2:$H$521,3,FALSE)</f>
        <v>1350.9</v>
      </c>
      <c r="G330">
        <f>VLOOKUP($A330,'STOCK DATA'!$A$2:$H$521,3,FALSE)</f>
        <v>1350.9</v>
      </c>
      <c r="H330">
        <f>VLOOKUP($A330,'STOCK DATA'!$A$2:$H$521,3,FALSE)</f>
        <v>1350.9</v>
      </c>
      <c r="I330">
        <f>VLOOKUP(A330,'Short-term interest Rates daily'!$A:$E,2,FALSE)</f>
        <v>16.25</v>
      </c>
      <c r="J330">
        <f>VLOOKUP(A330,'Short-term interest Rates daily'!$A:$E,3,FALSE)</f>
        <v>8.24</v>
      </c>
      <c r="K330">
        <f>VLOOKUP(A330,'Short-term interest Rates daily'!$A:$E,4,FALSE)</f>
        <v>10.72</v>
      </c>
      <c r="L330">
        <f>VLOOKUP(A330,'Short-term interest Rates daily'!$A:$E,5,FALSE)</f>
        <v>5.39</v>
      </c>
    </row>
    <row r="331" spans="1:12" x14ac:dyDescent="0.3">
      <c r="A331" s="1">
        <v>31742</v>
      </c>
      <c r="B331">
        <f>VLOOKUP(A331,'STOCK DATA'!$A$2:$H$522,2,FALSE)</f>
        <v>118.24</v>
      </c>
      <c r="C331">
        <f>VLOOKUP($A331,'STOCK DATA'!$A$2:H$521,3,FALSE)</f>
        <v>1363.6</v>
      </c>
      <c r="D331">
        <f>VLOOKUP($A331,'STOCK DATA'!$A$2:$H$521,3,FALSE)</f>
        <v>1363.6</v>
      </c>
      <c r="E331">
        <f>VLOOKUP($A331,'STOCK DATA'!$A$2:$H$521,3,FALSE)</f>
        <v>1363.6</v>
      </c>
      <c r="F331">
        <f>VLOOKUP($A331,'STOCK DATA'!$A$2:$H$521,3,FALSE)</f>
        <v>1363.6</v>
      </c>
      <c r="G331">
        <f>VLOOKUP($A331,'STOCK DATA'!$A$2:$H$521,3,FALSE)</f>
        <v>1363.6</v>
      </c>
      <c r="H331">
        <f>VLOOKUP($A331,'STOCK DATA'!$A$2:$H$521,3,FALSE)</f>
        <v>1363.6</v>
      </c>
      <c r="I331">
        <f>VLOOKUP(A331,'Short-term interest Rates daily'!$A:$E,2,FALSE)</f>
        <v>16.149999999999999</v>
      </c>
      <c r="J331">
        <f>VLOOKUP(A331,'Short-term interest Rates daily'!$A:$E,3,FALSE)</f>
        <v>8.25</v>
      </c>
      <c r="K331">
        <f>VLOOKUP(A331,'Short-term interest Rates daily'!$A:$E,4,FALSE)</f>
        <v>10.7</v>
      </c>
      <c r="L331">
        <f>VLOOKUP(A331,'Short-term interest Rates daily'!$A:$E,5,FALSE)</f>
        <v>5.39</v>
      </c>
    </row>
    <row r="332" spans="1:12" x14ac:dyDescent="0.3">
      <c r="A332" s="1">
        <v>31743</v>
      </c>
      <c r="B332">
        <f>VLOOKUP(A332,'STOCK DATA'!$A$2:$H$522,2,FALSE)</f>
        <v>118.68</v>
      </c>
      <c r="C332">
        <f>VLOOKUP($A332,'STOCK DATA'!$A$2:H$521,3,FALSE)</f>
        <v>1371.1</v>
      </c>
      <c r="D332">
        <f>VLOOKUP($A332,'STOCK DATA'!$A$2:$H$521,3,FALSE)</f>
        <v>1371.1</v>
      </c>
      <c r="E332">
        <f>VLOOKUP($A332,'STOCK DATA'!$A$2:$H$521,3,FALSE)</f>
        <v>1371.1</v>
      </c>
      <c r="F332">
        <f>VLOOKUP($A332,'STOCK DATA'!$A$2:$H$521,3,FALSE)</f>
        <v>1371.1</v>
      </c>
      <c r="G332">
        <f>VLOOKUP($A332,'STOCK DATA'!$A$2:$H$521,3,FALSE)</f>
        <v>1371.1</v>
      </c>
      <c r="H332">
        <f>VLOOKUP($A332,'STOCK DATA'!$A$2:$H$521,3,FALSE)</f>
        <v>1371.1</v>
      </c>
      <c r="I332">
        <f>VLOOKUP(A332,'Short-term interest Rates daily'!$A:$E,2,FALSE)</f>
        <v>16</v>
      </c>
      <c r="J332">
        <f>VLOOKUP(A332,'Short-term interest Rates daily'!$A:$E,3,FALSE)</f>
        <v>8.23</v>
      </c>
      <c r="K332">
        <f>VLOOKUP(A332,'Short-term interest Rates daily'!$A:$E,4,FALSE)</f>
        <v>10.7</v>
      </c>
      <c r="L332">
        <f>VLOOKUP(A332,'Short-term interest Rates daily'!$A:$E,5,FALSE)</f>
        <v>0</v>
      </c>
    </row>
    <row r="333" spans="1:12" x14ac:dyDescent="0.3">
      <c r="A333" s="1">
        <v>31744</v>
      </c>
      <c r="B333">
        <f>VLOOKUP(A333,'STOCK DATA'!$A$2:$H$522,2,FALSE)</f>
        <v>118.99</v>
      </c>
      <c r="C333">
        <f>VLOOKUP($A333,'STOCK DATA'!$A$2:H$521,3,FALSE)</f>
        <v>1379.6</v>
      </c>
      <c r="D333">
        <f>VLOOKUP($A333,'STOCK DATA'!$A$2:$H$521,3,FALSE)</f>
        <v>1379.6</v>
      </c>
      <c r="E333">
        <f>VLOOKUP($A333,'STOCK DATA'!$A$2:$H$521,3,FALSE)</f>
        <v>1379.6</v>
      </c>
      <c r="F333">
        <f>VLOOKUP($A333,'STOCK DATA'!$A$2:$H$521,3,FALSE)</f>
        <v>1379.6</v>
      </c>
      <c r="G333">
        <f>VLOOKUP($A333,'STOCK DATA'!$A$2:$H$521,3,FALSE)</f>
        <v>1379.6</v>
      </c>
      <c r="H333">
        <f>VLOOKUP($A333,'STOCK DATA'!$A$2:$H$521,3,FALSE)</f>
        <v>1379.6</v>
      </c>
      <c r="I333">
        <f>VLOOKUP(A333,'Short-term interest Rates daily'!$A:$E,2,FALSE)</f>
        <v>16</v>
      </c>
      <c r="J333">
        <f>VLOOKUP(A333,'Short-term interest Rates daily'!$A:$E,3,FALSE)</f>
        <v>8.23</v>
      </c>
      <c r="K333">
        <f>VLOOKUP(A333,'Short-term interest Rates daily'!$A:$E,4,FALSE)</f>
        <v>10.71</v>
      </c>
      <c r="L333">
        <f>VLOOKUP(A333,'Short-term interest Rates daily'!$A:$E,5,FALSE)</f>
        <v>5.39</v>
      </c>
    </row>
    <row r="334" spans="1:12" x14ac:dyDescent="0.3">
      <c r="A334" s="1">
        <v>31745</v>
      </c>
      <c r="B334" t="e">
        <f>VLOOKUP(A334,'STOCK DATA'!$A$2:$H$522,2,FALSE)</f>
        <v>#N/A</v>
      </c>
      <c r="C334" t="e">
        <f>VLOOKUP($A334,'STOCK DATA'!$A$2:H$521,3,FALSE)</f>
        <v>#N/A</v>
      </c>
      <c r="D334" t="e">
        <f>VLOOKUP($A334,'STOCK DATA'!$A$2:$H$521,3,FALSE)</f>
        <v>#N/A</v>
      </c>
      <c r="E334" t="e">
        <f>VLOOKUP($A334,'STOCK DATA'!$A$2:$H$521,3,FALSE)</f>
        <v>#N/A</v>
      </c>
      <c r="F334" t="e">
        <f>VLOOKUP($A334,'STOCK DATA'!$A$2:$H$521,3,FALSE)</f>
        <v>#N/A</v>
      </c>
      <c r="G334" t="e">
        <f>VLOOKUP($A334,'STOCK DATA'!$A$2:$H$521,3,FALSE)</f>
        <v>#N/A</v>
      </c>
      <c r="H334" t="e">
        <f>VLOOKUP($A334,'STOCK DATA'!$A$2:$H$521,3,FALSE)</f>
        <v>#N/A</v>
      </c>
      <c r="I334" t="e">
        <f>VLOOKUP(A334,'Short-term interest Rates daily'!$A:$E,2,FALSE)</f>
        <v>#N/A</v>
      </c>
      <c r="J334" t="e">
        <f>VLOOKUP(A334,'Short-term interest Rates daily'!$A:$E,3,FALSE)</f>
        <v>#N/A</v>
      </c>
      <c r="K334" t="e">
        <f>VLOOKUP(A334,'Short-term interest Rates daily'!$A:$E,4,FALSE)</f>
        <v>#N/A</v>
      </c>
      <c r="L334" t="e">
        <f>VLOOKUP(A334,'Short-term interest Rates daily'!$A:$E,5,FALSE)</f>
        <v>#N/A</v>
      </c>
    </row>
    <row r="335" spans="1:12" x14ac:dyDescent="0.3">
      <c r="A335" s="1">
        <v>31746</v>
      </c>
      <c r="B335" t="e">
        <f>VLOOKUP(A335,'STOCK DATA'!$A$2:$H$522,2,FALSE)</f>
        <v>#N/A</v>
      </c>
      <c r="C335" t="e">
        <f>VLOOKUP($A335,'STOCK DATA'!$A$2:H$521,3,FALSE)</f>
        <v>#N/A</v>
      </c>
      <c r="D335" t="e">
        <f>VLOOKUP($A335,'STOCK DATA'!$A$2:$H$521,3,FALSE)</f>
        <v>#N/A</v>
      </c>
      <c r="E335" t="e">
        <f>VLOOKUP($A335,'STOCK DATA'!$A$2:$H$521,3,FALSE)</f>
        <v>#N/A</v>
      </c>
      <c r="F335" t="e">
        <f>VLOOKUP($A335,'STOCK DATA'!$A$2:$H$521,3,FALSE)</f>
        <v>#N/A</v>
      </c>
      <c r="G335" t="e">
        <f>VLOOKUP($A335,'STOCK DATA'!$A$2:$H$521,3,FALSE)</f>
        <v>#N/A</v>
      </c>
      <c r="H335" t="e">
        <f>VLOOKUP($A335,'STOCK DATA'!$A$2:$H$521,3,FALSE)</f>
        <v>#N/A</v>
      </c>
      <c r="I335" t="e">
        <f>VLOOKUP(A335,'Short-term interest Rates daily'!$A:$E,2,FALSE)</f>
        <v>#N/A</v>
      </c>
      <c r="J335" t="e">
        <f>VLOOKUP(A335,'Short-term interest Rates daily'!$A:$E,3,FALSE)</f>
        <v>#N/A</v>
      </c>
      <c r="K335" t="e">
        <f>VLOOKUP(A335,'Short-term interest Rates daily'!$A:$E,4,FALSE)</f>
        <v>#N/A</v>
      </c>
      <c r="L335" t="e">
        <f>VLOOKUP(A335,'Short-term interest Rates daily'!$A:$E,5,FALSE)</f>
        <v>#N/A</v>
      </c>
    </row>
    <row r="336" spans="1:12" x14ac:dyDescent="0.3">
      <c r="A336" s="1">
        <v>31747</v>
      </c>
      <c r="B336">
        <f>VLOOKUP(A336,'STOCK DATA'!$A$2:$H$522,2,FALSE)</f>
        <v>117.86</v>
      </c>
      <c r="C336">
        <f>VLOOKUP($A336,'STOCK DATA'!$A$2:H$521,3,FALSE)</f>
        <v>1385.5</v>
      </c>
      <c r="D336">
        <f>VLOOKUP($A336,'STOCK DATA'!$A$2:$H$521,3,FALSE)</f>
        <v>1385.5</v>
      </c>
      <c r="E336">
        <f>VLOOKUP($A336,'STOCK DATA'!$A$2:$H$521,3,FALSE)</f>
        <v>1385.5</v>
      </c>
      <c r="F336">
        <f>VLOOKUP($A336,'STOCK DATA'!$A$2:$H$521,3,FALSE)</f>
        <v>1385.5</v>
      </c>
      <c r="G336">
        <f>VLOOKUP($A336,'STOCK DATA'!$A$2:$H$521,3,FALSE)</f>
        <v>1385.5</v>
      </c>
      <c r="H336">
        <f>VLOOKUP($A336,'STOCK DATA'!$A$2:$H$521,3,FALSE)</f>
        <v>1385.5</v>
      </c>
      <c r="I336">
        <f>VLOOKUP(A336,'Short-term interest Rates daily'!$A:$E,2,FALSE)</f>
        <v>15.9</v>
      </c>
      <c r="J336">
        <f>VLOOKUP(A336,'Short-term interest Rates daily'!$A:$E,3,FALSE)</f>
        <v>8.2200000000000006</v>
      </c>
      <c r="K336">
        <f>VLOOKUP(A336,'Short-term interest Rates daily'!$A:$E,4,FALSE)</f>
        <v>10.72</v>
      </c>
      <c r="L336">
        <f>VLOOKUP(A336,'Short-term interest Rates daily'!$A:$E,5,FALSE)</f>
        <v>5.42</v>
      </c>
    </row>
    <row r="337" spans="1:12" x14ac:dyDescent="0.3">
      <c r="A337" s="1">
        <v>31748</v>
      </c>
      <c r="B337">
        <f>VLOOKUP(A337,'STOCK DATA'!$A$2:$H$522,2,FALSE)</f>
        <v>118.79</v>
      </c>
      <c r="C337">
        <f>VLOOKUP($A337,'STOCK DATA'!$A$2:H$521,3,FALSE)</f>
        <v>1376.8</v>
      </c>
      <c r="D337">
        <f>VLOOKUP($A337,'STOCK DATA'!$A$2:$H$521,3,FALSE)</f>
        <v>1376.8</v>
      </c>
      <c r="E337">
        <f>VLOOKUP($A337,'STOCK DATA'!$A$2:$H$521,3,FALSE)</f>
        <v>1376.8</v>
      </c>
      <c r="F337">
        <f>VLOOKUP($A337,'STOCK DATA'!$A$2:$H$521,3,FALSE)</f>
        <v>1376.8</v>
      </c>
      <c r="G337">
        <f>VLOOKUP($A337,'STOCK DATA'!$A$2:$H$521,3,FALSE)</f>
        <v>1376.8</v>
      </c>
      <c r="H337">
        <f>VLOOKUP($A337,'STOCK DATA'!$A$2:$H$521,3,FALSE)</f>
        <v>1376.8</v>
      </c>
      <c r="I337">
        <f>VLOOKUP(A337,'Short-term interest Rates daily'!$A:$E,2,FALSE)</f>
        <v>15.88</v>
      </c>
      <c r="J337">
        <f>VLOOKUP(A337,'Short-term interest Rates daily'!$A:$E,3,FALSE)</f>
        <v>8.23</v>
      </c>
      <c r="K337">
        <f>VLOOKUP(A337,'Short-term interest Rates daily'!$A:$E,4,FALSE)</f>
        <v>10.75</v>
      </c>
      <c r="L337">
        <f>VLOOKUP(A337,'Short-term interest Rates daily'!$A:$E,5,FALSE)</f>
        <v>5.41</v>
      </c>
    </row>
    <row r="338" spans="1:12" x14ac:dyDescent="0.3">
      <c r="A338" s="1">
        <v>31749</v>
      </c>
      <c r="B338">
        <f>VLOOKUP(A338,'STOCK DATA'!$A$2:$H$522,2,FALSE)</f>
        <v>119.74</v>
      </c>
      <c r="C338">
        <f>VLOOKUP($A338,'STOCK DATA'!$A$2:H$521,3,FALSE)</f>
        <v>1390.5</v>
      </c>
      <c r="D338">
        <f>VLOOKUP($A338,'STOCK DATA'!$A$2:$H$521,3,FALSE)</f>
        <v>1390.5</v>
      </c>
      <c r="E338">
        <f>VLOOKUP($A338,'STOCK DATA'!$A$2:$H$521,3,FALSE)</f>
        <v>1390.5</v>
      </c>
      <c r="F338">
        <f>VLOOKUP($A338,'STOCK DATA'!$A$2:$H$521,3,FALSE)</f>
        <v>1390.5</v>
      </c>
      <c r="G338">
        <f>VLOOKUP($A338,'STOCK DATA'!$A$2:$H$521,3,FALSE)</f>
        <v>1390.5</v>
      </c>
      <c r="H338">
        <f>VLOOKUP($A338,'STOCK DATA'!$A$2:$H$521,3,FALSE)</f>
        <v>1390.5</v>
      </c>
      <c r="I338">
        <f>VLOOKUP(A338,'Short-term interest Rates daily'!$A:$E,2,FALSE)</f>
        <v>15.9</v>
      </c>
      <c r="J338">
        <f>VLOOKUP(A338,'Short-term interest Rates daily'!$A:$E,3,FALSE)</f>
        <v>8.23</v>
      </c>
      <c r="K338">
        <f>VLOOKUP(A338,'Short-term interest Rates daily'!$A:$E,4,FALSE)</f>
        <v>10.74</v>
      </c>
      <c r="L338">
        <f>VLOOKUP(A338,'Short-term interest Rates daily'!$A:$E,5,FALSE)</f>
        <v>5.41</v>
      </c>
    </row>
    <row r="339" spans="1:12" x14ac:dyDescent="0.3">
      <c r="A339" s="1">
        <v>31750</v>
      </c>
      <c r="B339">
        <f>VLOOKUP(A339,'STOCK DATA'!$A$2:$H$522,2,FALSE)</f>
        <v>119.05</v>
      </c>
      <c r="C339">
        <f>VLOOKUP($A339,'STOCK DATA'!$A$2:H$521,3,FALSE)</f>
        <v>1411.1</v>
      </c>
      <c r="D339">
        <f>VLOOKUP($A339,'STOCK DATA'!$A$2:$H$521,3,FALSE)</f>
        <v>1411.1</v>
      </c>
      <c r="E339">
        <f>VLOOKUP($A339,'STOCK DATA'!$A$2:$H$521,3,FALSE)</f>
        <v>1411.1</v>
      </c>
      <c r="F339">
        <f>VLOOKUP($A339,'STOCK DATA'!$A$2:$H$521,3,FALSE)</f>
        <v>1411.1</v>
      </c>
      <c r="G339">
        <f>VLOOKUP($A339,'STOCK DATA'!$A$2:$H$521,3,FALSE)</f>
        <v>1411.1</v>
      </c>
      <c r="H339">
        <f>VLOOKUP($A339,'STOCK DATA'!$A$2:$H$521,3,FALSE)</f>
        <v>1411.1</v>
      </c>
      <c r="I339">
        <f>VLOOKUP(A339,'Short-term interest Rates daily'!$A:$E,2,FALSE)</f>
        <v>15.93</v>
      </c>
      <c r="J339">
        <f>VLOOKUP(A339,'Short-term interest Rates daily'!$A:$E,3,FALSE)</f>
        <v>8.1999999999999993</v>
      </c>
      <c r="K339">
        <f>VLOOKUP(A339,'Short-term interest Rates daily'!$A:$E,4,FALSE)</f>
        <v>10.73</v>
      </c>
      <c r="L339">
        <f>VLOOKUP(A339,'Short-term interest Rates daily'!$A:$E,5,FALSE)</f>
        <v>5.4</v>
      </c>
    </row>
    <row r="340" spans="1:12" x14ac:dyDescent="0.3">
      <c r="A340" s="1">
        <v>31751</v>
      </c>
      <c r="B340">
        <f>VLOOKUP(A340,'STOCK DATA'!$A$2:$H$522,2,FALSE)</f>
        <v>118.86</v>
      </c>
      <c r="C340">
        <f>VLOOKUP($A340,'STOCK DATA'!$A$2:H$521,3,FALSE)</f>
        <v>1420.3</v>
      </c>
      <c r="D340">
        <f>VLOOKUP($A340,'STOCK DATA'!$A$2:$H$521,3,FALSE)</f>
        <v>1420.3</v>
      </c>
      <c r="E340">
        <f>VLOOKUP($A340,'STOCK DATA'!$A$2:$H$521,3,FALSE)</f>
        <v>1420.3</v>
      </c>
      <c r="F340">
        <f>VLOOKUP($A340,'STOCK DATA'!$A$2:$H$521,3,FALSE)</f>
        <v>1420.3</v>
      </c>
      <c r="G340">
        <f>VLOOKUP($A340,'STOCK DATA'!$A$2:$H$521,3,FALSE)</f>
        <v>1420.3</v>
      </c>
      <c r="H340">
        <f>VLOOKUP($A340,'STOCK DATA'!$A$2:$H$521,3,FALSE)</f>
        <v>1420.3</v>
      </c>
      <c r="I340">
        <f>VLOOKUP(A340,'Short-term interest Rates daily'!$A:$E,2,FALSE)</f>
        <v>15.95</v>
      </c>
      <c r="J340">
        <f>VLOOKUP(A340,'Short-term interest Rates daily'!$A:$E,3,FALSE)</f>
        <v>8.2100000000000009</v>
      </c>
      <c r="K340">
        <f>VLOOKUP(A340,'Short-term interest Rates daily'!$A:$E,4,FALSE)</f>
        <v>10.71</v>
      </c>
      <c r="L340">
        <f>VLOOKUP(A340,'Short-term interest Rates daily'!$A:$E,5,FALSE)</f>
        <v>5.44</v>
      </c>
    </row>
    <row r="341" spans="1:12" x14ac:dyDescent="0.3">
      <c r="A341" s="1">
        <v>31752</v>
      </c>
      <c r="B341" t="e">
        <f>VLOOKUP(A341,'STOCK DATA'!$A$2:$H$522,2,FALSE)</f>
        <v>#N/A</v>
      </c>
      <c r="C341" t="e">
        <f>VLOOKUP($A341,'STOCK DATA'!$A$2:H$521,3,FALSE)</f>
        <v>#N/A</v>
      </c>
      <c r="D341" t="e">
        <f>VLOOKUP($A341,'STOCK DATA'!$A$2:$H$521,3,FALSE)</f>
        <v>#N/A</v>
      </c>
      <c r="E341" t="e">
        <f>VLOOKUP($A341,'STOCK DATA'!$A$2:$H$521,3,FALSE)</f>
        <v>#N/A</v>
      </c>
      <c r="F341" t="e">
        <f>VLOOKUP($A341,'STOCK DATA'!$A$2:$H$521,3,FALSE)</f>
        <v>#N/A</v>
      </c>
      <c r="G341" t="e">
        <f>VLOOKUP($A341,'STOCK DATA'!$A$2:$H$521,3,FALSE)</f>
        <v>#N/A</v>
      </c>
      <c r="H341" t="e">
        <f>VLOOKUP($A341,'STOCK DATA'!$A$2:$H$521,3,FALSE)</f>
        <v>#N/A</v>
      </c>
      <c r="I341" t="e">
        <f>VLOOKUP(A341,'Short-term interest Rates daily'!$A:$E,2,FALSE)</f>
        <v>#N/A</v>
      </c>
      <c r="J341" t="e">
        <f>VLOOKUP(A341,'Short-term interest Rates daily'!$A:$E,3,FALSE)</f>
        <v>#N/A</v>
      </c>
      <c r="K341" t="e">
        <f>VLOOKUP(A341,'Short-term interest Rates daily'!$A:$E,4,FALSE)</f>
        <v>#N/A</v>
      </c>
      <c r="L341" t="e">
        <f>VLOOKUP(A341,'Short-term interest Rates daily'!$A:$E,5,FALSE)</f>
        <v>#N/A</v>
      </c>
    </row>
    <row r="342" spans="1:12" x14ac:dyDescent="0.3">
      <c r="A342" s="1">
        <v>31753</v>
      </c>
      <c r="B342" t="e">
        <f>VLOOKUP(A342,'STOCK DATA'!$A$2:$H$522,2,FALSE)</f>
        <v>#N/A</v>
      </c>
      <c r="C342" t="e">
        <f>VLOOKUP($A342,'STOCK DATA'!$A$2:H$521,3,FALSE)</f>
        <v>#N/A</v>
      </c>
      <c r="D342" t="e">
        <f>VLOOKUP($A342,'STOCK DATA'!$A$2:$H$521,3,FALSE)</f>
        <v>#N/A</v>
      </c>
      <c r="E342" t="e">
        <f>VLOOKUP($A342,'STOCK DATA'!$A$2:$H$521,3,FALSE)</f>
        <v>#N/A</v>
      </c>
      <c r="F342" t="e">
        <f>VLOOKUP($A342,'STOCK DATA'!$A$2:$H$521,3,FALSE)</f>
        <v>#N/A</v>
      </c>
      <c r="G342" t="e">
        <f>VLOOKUP($A342,'STOCK DATA'!$A$2:$H$521,3,FALSE)</f>
        <v>#N/A</v>
      </c>
      <c r="H342" t="e">
        <f>VLOOKUP($A342,'STOCK DATA'!$A$2:$H$521,3,FALSE)</f>
        <v>#N/A</v>
      </c>
      <c r="I342" t="e">
        <f>VLOOKUP(A342,'Short-term interest Rates daily'!$A:$E,2,FALSE)</f>
        <v>#N/A</v>
      </c>
      <c r="J342" t="e">
        <f>VLOOKUP(A342,'Short-term interest Rates daily'!$A:$E,3,FALSE)</f>
        <v>#N/A</v>
      </c>
      <c r="K342" t="e">
        <f>VLOOKUP(A342,'Short-term interest Rates daily'!$A:$E,4,FALSE)</f>
        <v>#N/A</v>
      </c>
      <c r="L342" t="e">
        <f>VLOOKUP(A342,'Short-term interest Rates daily'!$A:$E,5,FALSE)</f>
        <v>#N/A</v>
      </c>
    </row>
    <row r="343" spans="1:12" x14ac:dyDescent="0.3">
      <c r="A343" s="1">
        <v>31754</v>
      </c>
      <c r="B343">
        <f>VLOOKUP(A343,'STOCK DATA'!$A$2:$H$522,2,FALSE)</f>
        <v>119.07</v>
      </c>
      <c r="C343">
        <f>VLOOKUP($A343,'STOCK DATA'!$A$2:H$521,3,FALSE)</f>
        <v>1427.7</v>
      </c>
      <c r="D343">
        <f>VLOOKUP($A343,'STOCK DATA'!$A$2:$H$521,3,FALSE)</f>
        <v>1427.7</v>
      </c>
      <c r="E343">
        <f>VLOOKUP($A343,'STOCK DATA'!$A$2:$H$521,3,FALSE)</f>
        <v>1427.7</v>
      </c>
      <c r="F343">
        <f>VLOOKUP($A343,'STOCK DATA'!$A$2:$H$521,3,FALSE)</f>
        <v>1427.7</v>
      </c>
      <c r="G343">
        <f>VLOOKUP($A343,'STOCK DATA'!$A$2:$H$521,3,FALSE)</f>
        <v>1427.7</v>
      </c>
      <c r="H343">
        <f>VLOOKUP($A343,'STOCK DATA'!$A$2:$H$521,3,FALSE)</f>
        <v>1427.7</v>
      </c>
      <c r="I343">
        <f>VLOOKUP(A343,'Short-term interest Rates daily'!$A:$E,2,FALSE)</f>
        <v>16</v>
      </c>
      <c r="J343">
        <f>VLOOKUP(A343,'Short-term interest Rates daily'!$A:$E,3,FALSE)</f>
        <v>8.24</v>
      </c>
      <c r="K343">
        <f>VLOOKUP(A343,'Short-term interest Rates daily'!$A:$E,4,FALSE)</f>
        <v>10.72</v>
      </c>
      <c r="L343">
        <f>VLOOKUP(A343,'Short-term interest Rates daily'!$A:$E,5,FALSE)</f>
        <v>5.51</v>
      </c>
    </row>
    <row r="344" spans="1:12" x14ac:dyDescent="0.3">
      <c r="A344" s="1">
        <v>31755</v>
      </c>
      <c r="B344">
        <f>VLOOKUP(A344,'STOCK DATA'!$A$2:$H$522,2,FALSE)</f>
        <v>119.25</v>
      </c>
      <c r="C344">
        <f>VLOOKUP($A344,'STOCK DATA'!$A$2:H$521,3,FALSE)</f>
        <v>1440.3</v>
      </c>
      <c r="D344">
        <f>VLOOKUP($A344,'STOCK DATA'!$A$2:$H$521,3,FALSE)</f>
        <v>1440.3</v>
      </c>
      <c r="E344">
        <f>VLOOKUP($A344,'STOCK DATA'!$A$2:$H$521,3,FALSE)</f>
        <v>1440.3</v>
      </c>
      <c r="F344">
        <f>VLOOKUP($A344,'STOCK DATA'!$A$2:$H$521,3,FALSE)</f>
        <v>1440.3</v>
      </c>
      <c r="G344">
        <f>VLOOKUP($A344,'STOCK DATA'!$A$2:$H$521,3,FALSE)</f>
        <v>1440.3</v>
      </c>
      <c r="H344">
        <f>VLOOKUP($A344,'STOCK DATA'!$A$2:$H$521,3,FALSE)</f>
        <v>1440.3</v>
      </c>
      <c r="I344">
        <f>VLOOKUP(A344,'Short-term interest Rates daily'!$A:$E,2,FALSE)</f>
        <v>16.25</v>
      </c>
      <c r="J344">
        <f>VLOOKUP(A344,'Short-term interest Rates daily'!$A:$E,3,FALSE)</f>
        <v>8.24</v>
      </c>
      <c r="K344">
        <f>VLOOKUP(A344,'Short-term interest Rates daily'!$A:$E,4,FALSE)</f>
        <v>10.7</v>
      </c>
      <c r="L344">
        <f>VLOOKUP(A344,'Short-term interest Rates daily'!$A:$E,5,FALSE)</f>
        <v>5.48</v>
      </c>
    </row>
    <row r="345" spans="1:12" x14ac:dyDescent="0.3">
      <c r="A345" s="1">
        <v>31756</v>
      </c>
      <c r="B345">
        <f>VLOOKUP(A345,'STOCK DATA'!$A$2:$H$522,2,FALSE)</f>
        <v>118.81</v>
      </c>
      <c r="C345">
        <f>VLOOKUP($A345,'STOCK DATA'!$A$2:H$521,3,FALSE)</f>
        <v>1431</v>
      </c>
      <c r="D345">
        <f>VLOOKUP($A345,'STOCK DATA'!$A$2:$H$521,3,FALSE)</f>
        <v>1431</v>
      </c>
      <c r="E345">
        <f>VLOOKUP($A345,'STOCK DATA'!$A$2:$H$521,3,FALSE)</f>
        <v>1431</v>
      </c>
      <c r="F345">
        <f>VLOOKUP($A345,'STOCK DATA'!$A$2:$H$521,3,FALSE)</f>
        <v>1431</v>
      </c>
      <c r="G345">
        <f>VLOOKUP($A345,'STOCK DATA'!$A$2:$H$521,3,FALSE)</f>
        <v>1431</v>
      </c>
      <c r="H345">
        <f>VLOOKUP($A345,'STOCK DATA'!$A$2:$H$521,3,FALSE)</f>
        <v>1431</v>
      </c>
      <c r="I345">
        <f>VLOOKUP(A345,'Short-term interest Rates daily'!$A:$E,2,FALSE)</f>
        <v>16.350000000000001</v>
      </c>
      <c r="J345">
        <f>VLOOKUP(A345,'Short-term interest Rates daily'!$A:$E,3,FALSE)</f>
        <v>8.23</v>
      </c>
      <c r="K345">
        <f>VLOOKUP(A345,'Short-term interest Rates daily'!$A:$E,4,FALSE)</f>
        <v>10.7</v>
      </c>
      <c r="L345">
        <f>VLOOKUP(A345,'Short-term interest Rates daily'!$A:$E,5,FALSE)</f>
        <v>5.49</v>
      </c>
    </row>
    <row r="346" spans="1:12" x14ac:dyDescent="0.3">
      <c r="A346" s="1">
        <v>31757</v>
      </c>
      <c r="B346">
        <f>VLOOKUP(A346,'STOCK DATA'!$A$2:$H$522,2,FALSE)</f>
        <v>120.02</v>
      </c>
      <c r="C346">
        <f>VLOOKUP($A346,'STOCK DATA'!$A$2:H$521,3,FALSE)</f>
        <v>1437.4</v>
      </c>
      <c r="D346">
        <f>VLOOKUP($A346,'STOCK DATA'!$A$2:$H$521,3,FALSE)</f>
        <v>1437.4</v>
      </c>
      <c r="E346">
        <f>VLOOKUP($A346,'STOCK DATA'!$A$2:$H$521,3,FALSE)</f>
        <v>1437.4</v>
      </c>
      <c r="F346">
        <f>VLOOKUP($A346,'STOCK DATA'!$A$2:$H$521,3,FALSE)</f>
        <v>1437.4</v>
      </c>
      <c r="G346">
        <f>VLOOKUP($A346,'STOCK DATA'!$A$2:$H$521,3,FALSE)</f>
        <v>1437.4</v>
      </c>
      <c r="H346">
        <f>VLOOKUP($A346,'STOCK DATA'!$A$2:$H$521,3,FALSE)</f>
        <v>1437.4</v>
      </c>
      <c r="I346">
        <f>VLOOKUP(A346,'Short-term interest Rates daily'!$A:$E,2,FALSE)</f>
        <v>16.23</v>
      </c>
      <c r="J346">
        <f>VLOOKUP(A346,'Short-term interest Rates daily'!$A:$E,3,FALSE)</f>
        <v>8.25</v>
      </c>
      <c r="K346">
        <f>VLOOKUP(A346,'Short-term interest Rates daily'!$A:$E,4,FALSE)</f>
        <v>10.7</v>
      </c>
      <c r="L346">
        <f>VLOOKUP(A346,'Short-term interest Rates daily'!$A:$E,5,FALSE)</f>
        <v>5.49</v>
      </c>
    </row>
    <row r="347" spans="1:12" x14ac:dyDescent="0.3">
      <c r="A347" s="1">
        <v>31758</v>
      </c>
      <c r="B347">
        <f>VLOOKUP(A347,'STOCK DATA'!$A$2:$H$522,2,FALSE)</f>
        <v>119.34</v>
      </c>
      <c r="C347">
        <f>VLOOKUP($A347,'STOCK DATA'!$A$2:H$521,3,FALSE)</f>
        <v>1437.7</v>
      </c>
      <c r="D347">
        <f>VLOOKUP($A347,'STOCK DATA'!$A$2:$H$521,3,FALSE)</f>
        <v>1437.7</v>
      </c>
      <c r="E347">
        <f>VLOOKUP($A347,'STOCK DATA'!$A$2:$H$521,3,FALSE)</f>
        <v>1437.7</v>
      </c>
      <c r="F347">
        <f>VLOOKUP($A347,'STOCK DATA'!$A$2:$H$521,3,FALSE)</f>
        <v>1437.7</v>
      </c>
      <c r="G347">
        <f>VLOOKUP($A347,'STOCK DATA'!$A$2:$H$521,3,FALSE)</f>
        <v>1437.7</v>
      </c>
      <c r="H347">
        <f>VLOOKUP($A347,'STOCK DATA'!$A$2:$H$521,3,FALSE)</f>
        <v>1437.7</v>
      </c>
      <c r="I347">
        <f>VLOOKUP(A347,'Short-term interest Rates daily'!$A:$E,2,FALSE)</f>
        <v>16</v>
      </c>
      <c r="J347">
        <f>VLOOKUP(A347,'Short-term interest Rates daily'!$A:$E,3,FALSE)</f>
        <v>8.25</v>
      </c>
      <c r="K347">
        <f>VLOOKUP(A347,'Short-term interest Rates daily'!$A:$E,4,FALSE)</f>
        <v>10.7</v>
      </c>
      <c r="L347">
        <f>VLOOKUP(A347,'Short-term interest Rates daily'!$A:$E,5,FALSE)</f>
        <v>5.49</v>
      </c>
    </row>
    <row r="348" spans="1:12" x14ac:dyDescent="0.3">
      <c r="A348" s="1">
        <v>31759</v>
      </c>
      <c r="B348" t="e">
        <f>VLOOKUP(A348,'STOCK DATA'!$A$2:$H$522,2,FALSE)</f>
        <v>#N/A</v>
      </c>
      <c r="C348" t="e">
        <f>VLOOKUP($A348,'STOCK DATA'!$A$2:H$521,3,FALSE)</f>
        <v>#N/A</v>
      </c>
      <c r="D348" t="e">
        <f>VLOOKUP($A348,'STOCK DATA'!$A$2:$H$521,3,FALSE)</f>
        <v>#N/A</v>
      </c>
      <c r="E348" t="e">
        <f>VLOOKUP($A348,'STOCK DATA'!$A$2:$H$521,3,FALSE)</f>
        <v>#N/A</v>
      </c>
      <c r="F348" t="e">
        <f>VLOOKUP($A348,'STOCK DATA'!$A$2:$H$521,3,FALSE)</f>
        <v>#N/A</v>
      </c>
      <c r="G348" t="e">
        <f>VLOOKUP($A348,'STOCK DATA'!$A$2:$H$521,3,FALSE)</f>
        <v>#N/A</v>
      </c>
      <c r="H348" t="e">
        <f>VLOOKUP($A348,'STOCK DATA'!$A$2:$H$521,3,FALSE)</f>
        <v>#N/A</v>
      </c>
      <c r="I348" t="e">
        <f>VLOOKUP(A348,'Short-term interest Rates daily'!$A:$E,2,FALSE)</f>
        <v>#N/A</v>
      </c>
      <c r="J348" t="e">
        <f>VLOOKUP(A348,'Short-term interest Rates daily'!$A:$E,3,FALSE)</f>
        <v>#N/A</v>
      </c>
      <c r="K348" t="e">
        <f>VLOOKUP(A348,'Short-term interest Rates daily'!$A:$E,4,FALSE)</f>
        <v>#N/A</v>
      </c>
      <c r="L348" t="e">
        <f>VLOOKUP(A348,'Short-term interest Rates daily'!$A:$E,5,FALSE)</f>
        <v>#N/A</v>
      </c>
    </row>
    <row r="349" spans="1:12" x14ac:dyDescent="0.3">
      <c r="A349" s="1">
        <v>31760</v>
      </c>
      <c r="B349" t="e">
        <f>VLOOKUP(A349,'STOCK DATA'!$A$2:$H$522,2,FALSE)</f>
        <v>#N/A</v>
      </c>
      <c r="C349" t="e">
        <f>VLOOKUP($A349,'STOCK DATA'!$A$2:H$521,3,FALSE)</f>
        <v>#N/A</v>
      </c>
      <c r="D349" t="e">
        <f>VLOOKUP($A349,'STOCK DATA'!$A$2:$H$521,3,FALSE)</f>
        <v>#N/A</v>
      </c>
      <c r="E349" t="e">
        <f>VLOOKUP($A349,'STOCK DATA'!$A$2:$H$521,3,FALSE)</f>
        <v>#N/A</v>
      </c>
      <c r="F349" t="e">
        <f>VLOOKUP($A349,'STOCK DATA'!$A$2:$H$521,3,FALSE)</f>
        <v>#N/A</v>
      </c>
      <c r="G349" t="e">
        <f>VLOOKUP($A349,'STOCK DATA'!$A$2:$H$521,3,FALSE)</f>
        <v>#N/A</v>
      </c>
      <c r="H349" t="e">
        <f>VLOOKUP($A349,'STOCK DATA'!$A$2:$H$521,3,FALSE)</f>
        <v>#N/A</v>
      </c>
      <c r="I349" t="e">
        <f>VLOOKUP(A349,'Short-term interest Rates daily'!$A:$E,2,FALSE)</f>
        <v>#N/A</v>
      </c>
      <c r="J349" t="e">
        <f>VLOOKUP(A349,'Short-term interest Rates daily'!$A:$E,3,FALSE)</f>
        <v>#N/A</v>
      </c>
      <c r="K349" t="e">
        <f>VLOOKUP(A349,'Short-term interest Rates daily'!$A:$E,4,FALSE)</f>
        <v>#N/A</v>
      </c>
      <c r="L349" t="e">
        <f>VLOOKUP(A349,'Short-term interest Rates daily'!$A:$E,5,FALSE)</f>
        <v>#N/A</v>
      </c>
    </row>
    <row r="350" spans="1:12" x14ac:dyDescent="0.3">
      <c r="A350" s="1">
        <v>31761</v>
      </c>
      <c r="B350">
        <f>VLOOKUP(A350,'STOCK DATA'!$A$2:$H$522,2,FALSE)</f>
        <v>117.22</v>
      </c>
      <c r="C350">
        <f>VLOOKUP($A350,'STOCK DATA'!$A$2:H$521,3,FALSE)</f>
        <v>1437.3</v>
      </c>
      <c r="D350">
        <f>VLOOKUP($A350,'STOCK DATA'!$A$2:$H$521,3,FALSE)</f>
        <v>1437.3</v>
      </c>
      <c r="E350">
        <f>VLOOKUP($A350,'STOCK DATA'!$A$2:$H$521,3,FALSE)</f>
        <v>1437.3</v>
      </c>
      <c r="F350">
        <f>VLOOKUP($A350,'STOCK DATA'!$A$2:$H$521,3,FALSE)</f>
        <v>1437.3</v>
      </c>
      <c r="G350">
        <f>VLOOKUP($A350,'STOCK DATA'!$A$2:$H$521,3,FALSE)</f>
        <v>1437.3</v>
      </c>
      <c r="H350">
        <f>VLOOKUP($A350,'STOCK DATA'!$A$2:$H$521,3,FALSE)</f>
        <v>1437.3</v>
      </c>
      <c r="I350">
        <f>VLOOKUP(A350,'Short-term interest Rates daily'!$A:$E,2,FALSE)</f>
        <v>15.88</v>
      </c>
      <c r="J350">
        <f>VLOOKUP(A350,'Short-term interest Rates daily'!$A:$E,3,FALSE)</f>
        <v>8.27</v>
      </c>
      <c r="K350">
        <f>VLOOKUP(A350,'Short-term interest Rates daily'!$A:$E,4,FALSE)</f>
        <v>10.68</v>
      </c>
      <c r="L350">
        <f>VLOOKUP(A350,'Short-term interest Rates daily'!$A:$E,5,FALSE)</f>
        <v>5.5</v>
      </c>
    </row>
    <row r="351" spans="1:12" x14ac:dyDescent="0.3">
      <c r="A351" s="1">
        <v>31762</v>
      </c>
      <c r="B351">
        <f>VLOOKUP(A351,'STOCK DATA'!$A$2:$H$522,2,FALSE)</f>
        <v>116.76</v>
      </c>
      <c r="C351">
        <f>VLOOKUP($A351,'STOCK DATA'!$A$2:H$521,3,FALSE)</f>
        <v>1446.7</v>
      </c>
      <c r="D351">
        <f>VLOOKUP($A351,'STOCK DATA'!$A$2:$H$521,3,FALSE)</f>
        <v>1446.7</v>
      </c>
      <c r="E351">
        <f>VLOOKUP($A351,'STOCK DATA'!$A$2:$H$521,3,FALSE)</f>
        <v>1446.7</v>
      </c>
      <c r="F351">
        <f>VLOOKUP($A351,'STOCK DATA'!$A$2:$H$521,3,FALSE)</f>
        <v>1446.7</v>
      </c>
      <c r="G351">
        <f>VLOOKUP($A351,'STOCK DATA'!$A$2:$H$521,3,FALSE)</f>
        <v>1446.7</v>
      </c>
      <c r="H351">
        <f>VLOOKUP($A351,'STOCK DATA'!$A$2:$H$521,3,FALSE)</f>
        <v>1446.7</v>
      </c>
      <c r="I351">
        <f>VLOOKUP(A351,'Short-term interest Rates daily'!$A:$E,2,FALSE)</f>
        <v>15.73</v>
      </c>
      <c r="J351">
        <f>VLOOKUP(A351,'Short-term interest Rates daily'!$A:$E,3,FALSE)</f>
        <v>8.2799999999999994</v>
      </c>
      <c r="K351">
        <f>VLOOKUP(A351,'Short-term interest Rates daily'!$A:$E,4,FALSE)</f>
        <v>10.68</v>
      </c>
      <c r="L351">
        <f>VLOOKUP(A351,'Short-term interest Rates daily'!$A:$E,5,FALSE)</f>
        <v>5.58</v>
      </c>
    </row>
    <row r="352" spans="1:12" x14ac:dyDescent="0.3">
      <c r="A352" s="1">
        <v>31763</v>
      </c>
      <c r="B352">
        <f>VLOOKUP(A352,'STOCK DATA'!$A$2:$H$522,2,FALSE)</f>
        <v>115.76</v>
      </c>
      <c r="C352">
        <f>VLOOKUP($A352,'STOCK DATA'!$A$2:H$521,3,FALSE)</f>
        <v>1453.8</v>
      </c>
      <c r="D352">
        <f>VLOOKUP($A352,'STOCK DATA'!$A$2:$H$521,3,FALSE)</f>
        <v>1453.8</v>
      </c>
      <c r="E352">
        <f>VLOOKUP($A352,'STOCK DATA'!$A$2:$H$521,3,FALSE)</f>
        <v>1453.8</v>
      </c>
      <c r="F352">
        <f>VLOOKUP($A352,'STOCK DATA'!$A$2:$H$521,3,FALSE)</f>
        <v>1453.8</v>
      </c>
      <c r="G352">
        <f>VLOOKUP($A352,'STOCK DATA'!$A$2:$H$521,3,FALSE)</f>
        <v>1453.8</v>
      </c>
      <c r="H352">
        <f>VLOOKUP($A352,'STOCK DATA'!$A$2:$H$521,3,FALSE)</f>
        <v>1453.8</v>
      </c>
      <c r="I352">
        <f>VLOOKUP(A352,'Short-term interest Rates daily'!$A:$E,2,FALSE)</f>
        <v>15.1</v>
      </c>
      <c r="J352">
        <f>VLOOKUP(A352,'Short-term interest Rates daily'!$A:$E,3,FALSE)</f>
        <v>8.27</v>
      </c>
      <c r="K352">
        <f>VLOOKUP(A352,'Short-term interest Rates daily'!$A:$E,4,FALSE)</f>
        <v>10.7</v>
      </c>
      <c r="L352">
        <f>VLOOKUP(A352,'Short-term interest Rates daily'!$A:$E,5,FALSE)</f>
        <v>5.64</v>
      </c>
    </row>
    <row r="353" spans="1:12" x14ac:dyDescent="0.3">
      <c r="A353" s="1">
        <v>31764</v>
      </c>
      <c r="B353">
        <f>VLOOKUP(A353,'STOCK DATA'!$A$2:$H$522,2,FALSE)</f>
        <v>115.46</v>
      </c>
      <c r="C353">
        <f>VLOOKUP($A353,'STOCK DATA'!$A$2:H$521,3,FALSE)</f>
        <v>1453.5</v>
      </c>
      <c r="D353">
        <f>VLOOKUP($A353,'STOCK DATA'!$A$2:$H$521,3,FALSE)</f>
        <v>1453.5</v>
      </c>
      <c r="E353">
        <f>VLOOKUP($A353,'STOCK DATA'!$A$2:$H$521,3,FALSE)</f>
        <v>1453.5</v>
      </c>
      <c r="F353">
        <f>VLOOKUP($A353,'STOCK DATA'!$A$2:$H$521,3,FALSE)</f>
        <v>1453.5</v>
      </c>
      <c r="G353">
        <f>VLOOKUP($A353,'STOCK DATA'!$A$2:$H$521,3,FALSE)</f>
        <v>1453.5</v>
      </c>
      <c r="H353">
        <f>VLOOKUP($A353,'STOCK DATA'!$A$2:$H$521,3,FALSE)</f>
        <v>1453.5</v>
      </c>
      <c r="I353">
        <f>VLOOKUP(A353,'Short-term interest Rates daily'!$A:$E,2,FALSE)</f>
        <v>15.23</v>
      </c>
      <c r="J353">
        <f>VLOOKUP(A353,'Short-term interest Rates daily'!$A:$E,3,FALSE)</f>
        <v>8.23</v>
      </c>
      <c r="K353">
        <f>VLOOKUP(A353,'Short-term interest Rates daily'!$A:$E,4,FALSE)</f>
        <v>10.7</v>
      </c>
      <c r="L353">
        <f>VLOOKUP(A353,'Short-term interest Rates daily'!$A:$E,5,FALSE)</f>
        <v>5.6</v>
      </c>
    </row>
    <row r="354" spans="1:12" x14ac:dyDescent="0.3">
      <c r="A354" s="1">
        <v>31765</v>
      </c>
      <c r="B354">
        <f>VLOOKUP(A354,'STOCK DATA'!$A$2:$H$522,2,FALSE)</f>
        <v>116.54</v>
      </c>
      <c r="C354">
        <f>VLOOKUP($A354,'STOCK DATA'!$A$2:H$521,3,FALSE)</f>
        <v>1455.9</v>
      </c>
      <c r="D354">
        <f>VLOOKUP($A354,'STOCK DATA'!$A$2:$H$521,3,FALSE)</f>
        <v>1455.9</v>
      </c>
      <c r="E354">
        <f>VLOOKUP($A354,'STOCK DATA'!$A$2:$H$521,3,FALSE)</f>
        <v>1455.9</v>
      </c>
      <c r="F354">
        <f>VLOOKUP($A354,'STOCK DATA'!$A$2:$H$521,3,FALSE)</f>
        <v>1455.9</v>
      </c>
      <c r="G354">
        <f>VLOOKUP($A354,'STOCK DATA'!$A$2:$H$521,3,FALSE)</f>
        <v>1455.9</v>
      </c>
      <c r="H354">
        <f>VLOOKUP($A354,'STOCK DATA'!$A$2:$H$521,3,FALSE)</f>
        <v>1455.9</v>
      </c>
      <c r="I354">
        <f>VLOOKUP(A354,'Short-term interest Rates daily'!$A:$E,2,FALSE)</f>
        <v>14.88</v>
      </c>
      <c r="J354">
        <f>VLOOKUP(A354,'Short-term interest Rates daily'!$A:$E,3,FALSE)</f>
        <v>8.24</v>
      </c>
      <c r="K354">
        <f>VLOOKUP(A354,'Short-term interest Rates daily'!$A:$E,4,FALSE)</f>
        <v>10.7</v>
      </c>
      <c r="L354">
        <f>VLOOKUP(A354,'Short-term interest Rates daily'!$A:$E,5,FALSE)</f>
        <v>5.51</v>
      </c>
    </row>
    <row r="355" spans="1:12" x14ac:dyDescent="0.3">
      <c r="A355" s="1">
        <v>31766</v>
      </c>
      <c r="B355" t="e">
        <f>VLOOKUP(A355,'STOCK DATA'!$A$2:$H$522,2,FALSE)</f>
        <v>#N/A</v>
      </c>
      <c r="C355" t="e">
        <f>VLOOKUP($A355,'STOCK DATA'!$A$2:H$521,3,FALSE)</f>
        <v>#N/A</v>
      </c>
      <c r="D355" t="e">
        <f>VLOOKUP($A355,'STOCK DATA'!$A$2:$H$521,3,FALSE)</f>
        <v>#N/A</v>
      </c>
      <c r="E355" t="e">
        <f>VLOOKUP($A355,'STOCK DATA'!$A$2:$H$521,3,FALSE)</f>
        <v>#N/A</v>
      </c>
      <c r="F355" t="e">
        <f>VLOOKUP($A355,'STOCK DATA'!$A$2:$H$521,3,FALSE)</f>
        <v>#N/A</v>
      </c>
      <c r="G355" t="e">
        <f>VLOOKUP($A355,'STOCK DATA'!$A$2:$H$521,3,FALSE)</f>
        <v>#N/A</v>
      </c>
      <c r="H355" t="e">
        <f>VLOOKUP($A355,'STOCK DATA'!$A$2:$H$521,3,FALSE)</f>
        <v>#N/A</v>
      </c>
      <c r="I355" t="e">
        <f>VLOOKUP(A355,'Short-term interest Rates daily'!$A:$E,2,FALSE)</f>
        <v>#N/A</v>
      </c>
      <c r="J355" t="e">
        <f>VLOOKUP(A355,'Short-term interest Rates daily'!$A:$E,3,FALSE)</f>
        <v>#N/A</v>
      </c>
      <c r="K355" t="e">
        <f>VLOOKUP(A355,'Short-term interest Rates daily'!$A:$E,4,FALSE)</f>
        <v>#N/A</v>
      </c>
      <c r="L355" t="e">
        <f>VLOOKUP(A355,'Short-term interest Rates daily'!$A:$E,5,FALSE)</f>
        <v>#N/A</v>
      </c>
    </row>
    <row r="356" spans="1:12" x14ac:dyDescent="0.3">
      <c r="A356" s="1">
        <v>31767</v>
      </c>
      <c r="B356" t="e">
        <f>VLOOKUP(A356,'STOCK DATA'!$A$2:$H$522,2,FALSE)</f>
        <v>#N/A</v>
      </c>
      <c r="C356" t="e">
        <f>VLOOKUP($A356,'STOCK DATA'!$A$2:H$521,3,FALSE)</f>
        <v>#N/A</v>
      </c>
      <c r="D356" t="e">
        <f>VLOOKUP($A356,'STOCK DATA'!$A$2:$H$521,3,FALSE)</f>
        <v>#N/A</v>
      </c>
      <c r="E356" t="e">
        <f>VLOOKUP($A356,'STOCK DATA'!$A$2:$H$521,3,FALSE)</f>
        <v>#N/A</v>
      </c>
      <c r="F356" t="e">
        <f>VLOOKUP($A356,'STOCK DATA'!$A$2:$H$521,3,FALSE)</f>
        <v>#N/A</v>
      </c>
      <c r="G356" t="e">
        <f>VLOOKUP($A356,'STOCK DATA'!$A$2:$H$521,3,FALSE)</f>
        <v>#N/A</v>
      </c>
      <c r="H356" t="e">
        <f>VLOOKUP($A356,'STOCK DATA'!$A$2:$H$521,3,FALSE)</f>
        <v>#N/A</v>
      </c>
      <c r="I356" t="e">
        <f>VLOOKUP(A356,'Short-term interest Rates daily'!$A:$E,2,FALSE)</f>
        <v>#N/A</v>
      </c>
      <c r="J356" t="e">
        <f>VLOOKUP(A356,'Short-term interest Rates daily'!$A:$E,3,FALSE)</f>
        <v>#N/A</v>
      </c>
      <c r="K356" t="e">
        <f>VLOOKUP(A356,'Short-term interest Rates daily'!$A:$E,4,FALSE)</f>
        <v>#N/A</v>
      </c>
      <c r="L356" t="e">
        <f>VLOOKUP(A356,'Short-term interest Rates daily'!$A:$E,5,FALSE)</f>
        <v>#N/A</v>
      </c>
    </row>
    <row r="357" spans="1:12" x14ac:dyDescent="0.3">
      <c r="A357" s="1">
        <v>31768</v>
      </c>
      <c r="B357">
        <f>VLOOKUP(A357,'STOCK DATA'!$A$2:$H$522,2,FALSE)</f>
        <v>116.84</v>
      </c>
      <c r="C357">
        <f>VLOOKUP($A357,'STOCK DATA'!$A$2:H$521,3,FALSE)</f>
        <v>1460.7</v>
      </c>
      <c r="D357">
        <f>VLOOKUP($A357,'STOCK DATA'!$A$2:$H$521,3,FALSE)</f>
        <v>1460.7</v>
      </c>
      <c r="E357">
        <f>VLOOKUP($A357,'STOCK DATA'!$A$2:$H$521,3,FALSE)</f>
        <v>1460.7</v>
      </c>
      <c r="F357">
        <f>VLOOKUP($A357,'STOCK DATA'!$A$2:$H$521,3,FALSE)</f>
        <v>1460.7</v>
      </c>
      <c r="G357">
        <f>VLOOKUP($A357,'STOCK DATA'!$A$2:$H$521,3,FALSE)</f>
        <v>1460.7</v>
      </c>
      <c r="H357">
        <f>VLOOKUP($A357,'STOCK DATA'!$A$2:$H$521,3,FALSE)</f>
        <v>1460.7</v>
      </c>
      <c r="I357">
        <f>VLOOKUP(A357,'Short-term interest Rates daily'!$A:$E,2,FALSE)</f>
        <v>15</v>
      </c>
      <c r="J357">
        <f>VLOOKUP(A357,'Short-term interest Rates daily'!$A:$E,3,FALSE)</f>
        <v>8.24</v>
      </c>
      <c r="K357">
        <f>VLOOKUP(A357,'Short-term interest Rates daily'!$A:$E,4,FALSE)</f>
        <v>10.68</v>
      </c>
      <c r="L357">
        <f>VLOOKUP(A357,'Short-term interest Rates daily'!$A:$E,5,FALSE)</f>
        <v>5.53</v>
      </c>
    </row>
    <row r="358" spans="1:12" x14ac:dyDescent="0.3">
      <c r="A358" s="1">
        <v>31769</v>
      </c>
      <c r="B358">
        <f>VLOOKUP(A358,'STOCK DATA'!$A$2:$H$522,2,FALSE)</f>
        <v>115.53</v>
      </c>
      <c r="C358">
        <f>VLOOKUP($A358,'STOCK DATA'!$A$2:H$521,3,FALSE)</f>
        <v>1464</v>
      </c>
      <c r="D358">
        <f>VLOOKUP($A358,'STOCK DATA'!$A$2:$H$521,3,FALSE)</f>
        <v>1464</v>
      </c>
      <c r="E358">
        <f>VLOOKUP($A358,'STOCK DATA'!$A$2:$H$521,3,FALSE)</f>
        <v>1464</v>
      </c>
      <c r="F358">
        <f>VLOOKUP($A358,'STOCK DATA'!$A$2:$H$521,3,FALSE)</f>
        <v>1464</v>
      </c>
      <c r="G358">
        <f>VLOOKUP($A358,'STOCK DATA'!$A$2:$H$521,3,FALSE)</f>
        <v>1464</v>
      </c>
      <c r="H358">
        <f>VLOOKUP($A358,'STOCK DATA'!$A$2:$H$521,3,FALSE)</f>
        <v>1464</v>
      </c>
      <c r="I358">
        <f>VLOOKUP(A358,'Short-term interest Rates daily'!$A:$E,2,FALSE)</f>
        <v>14.65</v>
      </c>
      <c r="J358">
        <f>VLOOKUP(A358,'Short-term interest Rates daily'!$A:$E,3,FALSE)</f>
        <v>8.23</v>
      </c>
      <c r="K358">
        <f>VLOOKUP(A358,'Short-term interest Rates daily'!$A:$E,4,FALSE)</f>
        <v>10.68</v>
      </c>
      <c r="L358">
        <f>VLOOKUP(A358,'Short-term interest Rates daily'!$A:$E,5,FALSE)</f>
        <v>5.55</v>
      </c>
    </row>
    <row r="359" spans="1:12" x14ac:dyDescent="0.3">
      <c r="A359" s="1">
        <v>31770</v>
      </c>
      <c r="B359">
        <f>VLOOKUP(A359,'STOCK DATA'!$A$2:$H$522,2,FALSE)</f>
        <v>115.43</v>
      </c>
      <c r="C359">
        <f>VLOOKUP($A359,'STOCK DATA'!$A$2:H$521,3,FALSE)</f>
        <v>1462.3</v>
      </c>
      <c r="D359">
        <f>VLOOKUP($A359,'STOCK DATA'!$A$2:$H$521,3,FALSE)</f>
        <v>1462.3</v>
      </c>
      <c r="E359">
        <f>VLOOKUP($A359,'STOCK DATA'!$A$2:$H$521,3,FALSE)</f>
        <v>1462.3</v>
      </c>
      <c r="F359">
        <f>VLOOKUP($A359,'STOCK DATA'!$A$2:$H$521,3,FALSE)</f>
        <v>1462.3</v>
      </c>
      <c r="G359">
        <f>VLOOKUP($A359,'STOCK DATA'!$A$2:$H$521,3,FALSE)</f>
        <v>1462.3</v>
      </c>
      <c r="H359">
        <f>VLOOKUP($A359,'STOCK DATA'!$A$2:$H$521,3,FALSE)</f>
        <v>1462.3</v>
      </c>
      <c r="I359">
        <f>VLOOKUP(A359,'Short-term interest Rates daily'!$A:$E,2,FALSE)</f>
        <v>14.65</v>
      </c>
      <c r="J359">
        <f>VLOOKUP(A359,'Short-term interest Rates daily'!$A:$E,3,FALSE)</f>
        <v>8.23</v>
      </c>
      <c r="K359">
        <f>VLOOKUP(A359,'Short-term interest Rates daily'!$A:$E,4,FALSE)</f>
        <v>10.68</v>
      </c>
      <c r="L359">
        <f>VLOOKUP(A359,'Short-term interest Rates daily'!$A:$E,5,FALSE)</f>
        <v>5.57</v>
      </c>
    </row>
    <row r="360" spans="1:12" x14ac:dyDescent="0.3">
      <c r="A360" s="1">
        <v>31771</v>
      </c>
      <c r="B360">
        <f>VLOOKUP(A360,'STOCK DATA'!$A$2:$H$522,2,FALSE)</f>
        <v>115.43</v>
      </c>
      <c r="C360">
        <f>VLOOKUP($A360,'STOCK DATA'!$A$2:H$521,3,FALSE)</f>
        <v>0</v>
      </c>
      <c r="D360">
        <f>VLOOKUP($A360,'STOCK DATA'!$A$2:$H$521,3,FALSE)</f>
        <v>0</v>
      </c>
      <c r="E360">
        <f>VLOOKUP($A360,'STOCK DATA'!$A$2:$H$521,3,FALSE)</f>
        <v>0</v>
      </c>
      <c r="F360">
        <f>VLOOKUP($A360,'STOCK DATA'!$A$2:$H$521,3,FALSE)</f>
        <v>0</v>
      </c>
      <c r="G360">
        <f>VLOOKUP($A360,'STOCK DATA'!$A$2:$H$521,3,FALSE)</f>
        <v>0</v>
      </c>
      <c r="H360">
        <f>VLOOKUP($A360,'STOCK DATA'!$A$2:$H$521,3,FALSE)</f>
        <v>0</v>
      </c>
      <c r="I360">
        <f>VLOOKUP(A360,'Short-term interest Rates daily'!$A:$E,2,FALSE)</f>
        <v>0</v>
      </c>
      <c r="J360">
        <f>VLOOKUP(A360,'Short-term interest Rates daily'!$A:$E,3,FALSE)</f>
        <v>0</v>
      </c>
      <c r="K360">
        <f>VLOOKUP(A360,'Short-term interest Rates daily'!$A:$E,4,FALSE)</f>
        <v>10.68</v>
      </c>
      <c r="L360">
        <f>VLOOKUP(A360,'Short-term interest Rates daily'!$A:$E,5,FALSE)</f>
        <v>0</v>
      </c>
    </row>
    <row r="361" spans="1:12" x14ac:dyDescent="0.3">
      <c r="A361" s="1">
        <v>31772</v>
      </c>
      <c r="B361">
        <f>VLOOKUP(A361,'STOCK DATA'!$A$2:$H$522,2,FALSE)</f>
        <v>115.43</v>
      </c>
      <c r="C361">
        <f>VLOOKUP($A361,'STOCK DATA'!$A$2:H$521,3,FALSE)</f>
        <v>0</v>
      </c>
      <c r="D361">
        <f>VLOOKUP($A361,'STOCK DATA'!$A$2:$H$521,3,FALSE)</f>
        <v>0</v>
      </c>
      <c r="E361">
        <f>VLOOKUP($A361,'STOCK DATA'!$A$2:$H$521,3,FALSE)</f>
        <v>0</v>
      </c>
      <c r="F361">
        <f>VLOOKUP($A361,'STOCK DATA'!$A$2:$H$521,3,FALSE)</f>
        <v>0</v>
      </c>
      <c r="G361">
        <f>VLOOKUP($A361,'STOCK DATA'!$A$2:$H$521,3,FALSE)</f>
        <v>0</v>
      </c>
      <c r="H361">
        <f>VLOOKUP($A361,'STOCK DATA'!$A$2:$H$521,3,FALSE)</f>
        <v>0</v>
      </c>
      <c r="I361">
        <f>VLOOKUP(A361,'Short-term interest Rates daily'!$A:$E,2,FALSE)</f>
        <v>0</v>
      </c>
      <c r="J361">
        <f>VLOOKUP(A361,'Short-term interest Rates daily'!$A:$E,3,FALSE)</f>
        <v>0</v>
      </c>
      <c r="K361">
        <f>VLOOKUP(A361,'Short-term interest Rates daily'!$A:$E,4,FALSE)</f>
        <v>10.68</v>
      </c>
      <c r="L361">
        <f>VLOOKUP(A361,'Short-term interest Rates daily'!$A:$E,5,FALSE)</f>
        <v>5.57</v>
      </c>
    </row>
    <row r="362" spans="1:12" x14ac:dyDescent="0.3">
      <c r="A362" s="1">
        <v>31773</v>
      </c>
      <c r="B362" t="e">
        <f>VLOOKUP(A362,'STOCK DATA'!$A$2:$H$522,2,FALSE)</f>
        <v>#N/A</v>
      </c>
      <c r="C362" t="e">
        <f>VLOOKUP($A362,'STOCK DATA'!$A$2:H$521,3,FALSE)</f>
        <v>#N/A</v>
      </c>
      <c r="D362" t="e">
        <f>VLOOKUP($A362,'STOCK DATA'!$A$2:$H$521,3,FALSE)</f>
        <v>#N/A</v>
      </c>
      <c r="E362" t="e">
        <f>VLOOKUP($A362,'STOCK DATA'!$A$2:$H$521,3,FALSE)</f>
        <v>#N/A</v>
      </c>
      <c r="F362" t="e">
        <f>VLOOKUP($A362,'STOCK DATA'!$A$2:$H$521,3,FALSE)</f>
        <v>#N/A</v>
      </c>
      <c r="G362" t="e">
        <f>VLOOKUP($A362,'STOCK DATA'!$A$2:$H$521,3,FALSE)</f>
        <v>#N/A</v>
      </c>
      <c r="H362" t="e">
        <f>VLOOKUP($A362,'STOCK DATA'!$A$2:$H$521,3,FALSE)</f>
        <v>#N/A</v>
      </c>
      <c r="I362" t="e">
        <f>VLOOKUP(A362,'Short-term interest Rates daily'!$A:$E,2,FALSE)</f>
        <v>#N/A</v>
      </c>
      <c r="J362" t="e">
        <f>VLOOKUP(A362,'Short-term interest Rates daily'!$A:$E,3,FALSE)</f>
        <v>#N/A</v>
      </c>
      <c r="K362" t="e">
        <f>VLOOKUP(A362,'Short-term interest Rates daily'!$A:$E,4,FALSE)</f>
        <v>#N/A</v>
      </c>
      <c r="L362" t="e">
        <f>VLOOKUP(A362,'Short-term interest Rates daily'!$A:$E,5,FALSE)</f>
        <v>#N/A</v>
      </c>
    </row>
    <row r="363" spans="1:12" x14ac:dyDescent="0.3">
      <c r="A363" s="1">
        <v>31774</v>
      </c>
      <c r="B363" t="e">
        <f>VLOOKUP(A363,'STOCK DATA'!$A$2:$H$522,2,FALSE)</f>
        <v>#N/A</v>
      </c>
      <c r="C363" t="e">
        <f>VLOOKUP($A363,'STOCK DATA'!$A$2:H$521,3,FALSE)</f>
        <v>#N/A</v>
      </c>
      <c r="D363" t="e">
        <f>VLOOKUP($A363,'STOCK DATA'!$A$2:$H$521,3,FALSE)</f>
        <v>#N/A</v>
      </c>
      <c r="E363" t="e">
        <f>VLOOKUP($A363,'STOCK DATA'!$A$2:$H$521,3,FALSE)</f>
        <v>#N/A</v>
      </c>
      <c r="F363" t="e">
        <f>VLOOKUP($A363,'STOCK DATA'!$A$2:$H$521,3,FALSE)</f>
        <v>#N/A</v>
      </c>
      <c r="G363" t="e">
        <f>VLOOKUP($A363,'STOCK DATA'!$A$2:$H$521,3,FALSE)</f>
        <v>#N/A</v>
      </c>
      <c r="H363" t="e">
        <f>VLOOKUP($A363,'STOCK DATA'!$A$2:$H$521,3,FALSE)</f>
        <v>#N/A</v>
      </c>
      <c r="I363" t="e">
        <f>VLOOKUP(A363,'Short-term interest Rates daily'!$A:$E,2,FALSE)</f>
        <v>#N/A</v>
      </c>
      <c r="J363" t="e">
        <f>VLOOKUP(A363,'Short-term interest Rates daily'!$A:$E,3,FALSE)</f>
        <v>#N/A</v>
      </c>
      <c r="K363" t="e">
        <f>VLOOKUP(A363,'Short-term interest Rates daily'!$A:$E,4,FALSE)</f>
        <v>#N/A</v>
      </c>
      <c r="L363" t="e">
        <f>VLOOKUP(A363,'Short-term interest Rates daily'!$A:$E,5,FALSE)</f>
        <v>#N/A</v>
      </c>
    </row>
    <row r="364" spans="1:12" x14ac:dyDescent="0.3">
      <c r="A364" s="1">
        <v>31775</v>
      </c>
      <c r="B364">
        <f>VLOOKUP(A364,'STOCK DATA'!$A$2:$H$522,2,FALSE)</f>
        <v>114.76</v>
      </c>
      <c r="C364">
        <f>VLOOKUP($A364,'STOCK DATA'!$A$2:H$521,3,FALSE)</f>
        <v>1467.4</v>
      </c>
      <c r="D364">
        <f>VLOOKUP($A364,'STOCK DATA'!$A$2:$H$521,3,FALSE)</f>
        <v>1467.4</v>
      </c>
      <c r="E364">
        <f>VLOOKUP($A364,'STOCK DATA'!$A$2:$H$521,3,FALSE)</f>
        <v>1467.4</v>
      </c>
      <c r="F364">
        <f>VLOOKUP($A364,'STOCK DATA'!$A$2:$H$521,3,FALSE)</f>
        <v>1467.4</v>
      </c>
      <c r="G364">
        <f>VLOOKUP($A364,'STOCK DATA'!$A$2:$H$521,3,FALSE)</f>
        <v>1467.4</v>
      </c>
      <c r="H364">
        <f>VLOOKUP($A364,'STOCK DATA'!$A$2:$H$521,3,FALSE)</f>
        <v>1467.4</v>
      </c>
      <c r="I364">
        <f>VLOOKUP(A364,'Short-term interest Rates daily'!$A:$E,2,FALSE)</f>
        <v>14.6</v>
      </c>
      <c r="J364">
        <f>VLOOKUP(A364,'Short-term interest Rates daily'!$A:$E,3,FALSE)</f>
        <v>8.25</v>
      </c>
      <c r="K364">
        <f>VLOOKUP(A364,'Short-term interest Rates daily'!$A:$E,4,FALSE)</f>
        <v>10.66</v>
      </c>
      <c r="L364">
        <f>VLOOKUP(A364,'Short-term interest Rates daily'!$A:$E,5,FALSE)</f>
        <v>5.67</v>
      </c>
    </row>
    <row r="365" spans="1:12" x14ac:dyDescent="0.3">
      <c r="A365" s="1">
        <v>31776</v>
      </c>
      <c r="B365">
        <f>VLOOKUP(A365,'STOCK DATA'!$A$2:$H$522,2,FALSE)</f>
        <v>114.69</v>
      </c>
      <c r="C365">
        <f>VLOOKUP($A365,'STOCK DATA'!$A$2:H$521,3,FALSE)</f>
        <v>1470.5</v>
      </c>
      <c r="D365">
        <f>VLOOKUP($A365,'STOCK DATA'!$A$2:$H$521,3,FALSE)</f>
        <v>1470.5</v>
      </c>
      <c r="E365">
        <f>VLOOKUP($A365,'STOCK DATA'!$A$2:$H$521,3,FALSE)</f>
        <v>1470.5</v>
      </c>
      <c r="F365">
        <f>VLOOKUP($A365,'STOCK DATA'!$A$2:$H$521,3,FALSE)</f>
        <v>1470.5</v>
      </c>
      <c r="G365">
        <f>VLOOKUP($A365,'STOCK DATA'!$A$2:$H$521,3,FALSE)</f>
        <v>1470.5</v>
      </c>
      <c r="H365">
        <f>VLOOKUP($A365,'STOCK DATA'!$A$2:$H$521,3,FALSE)</f>
        <v>1470.5</v>
      </c>
      <c r="I365">
        <f>VLOOKUP(A365,'Short-term interest Rates daily'!$A:$E,2,FALSE)</f>
        <v>14.7</v>
      </c>
      <c r="J365">
        <f>VLOOKUP(A365,'Short-term interest Rates daily'!$A:$E,3,FALSE)</f>
        <v>8.26</v>
      </c>
      <c r="K365">
        <f>VLOOKUP(A365,'Short-term interest Rates daily'!$A:$E,4,FALSE)</f>
        <v>10.68</v>
      </c>
      <c r="L365">
        <f>VLOOKUP(A365,'Short-term interest Rates daily'!$A:$E,5,FALSE)</f>
        <v>5.69</v>
      </c>
    </row>
    <row r="366" spans="1:12" x14ac:dyDescent="0.3">
      <c r="A366" s="1">
        <v>31777</v>
      </c>
      <c r="B366">
        <f>VLOOKUP(A366,'STOCK DATA'!$A$2:$H$522,2,FALSE)</f>
        <v>114.69</v>
      </c>
      <c r="C366">
        <f>VLOOKUP($A366,'STOCK DATA'!$A$2:H$521,3,FALSE)</f>
        <v>1473.1</v>
      </c>
      <c r="D366">
        <f>VLOOKUP($A366,'STOCK DATA'!$A$2:$H$521,3,FALSE)</f>
        <v>1473.1</v>
      </c>
      <c r="E366">
        <f>VLOOKUP($A366,'STOCK DATA'!$A$2:$H$521,3,FALSE)</f>
        <v>1473.1</v>
      </c>
      <c r="F366">
        <f>VLOOKUP($A366,'STOCK DATA'!$A$2:$H$521,3,FALSE)</f>
        <v>1473.1</v>
      </c>
      <c r="G366">
        <f>VLOOKUP($A366,'STOCK DATA'!$A$2:$H$521,3,FALSE)</f>
        <v>1473.1</v>
      </c>
      <c r="H366">
        <f>VLOOKUP($A366,'STOCK DATA'!$A$2:$H$521,3,FALSE)</f>
        <v>1473.1</v>
      </c>
      <c r="I366">
        <f>VLOOKUP(A366,'Short-term interest Rates daily'!$A:$E,2,FALSE)</f>
        <v>14.75</v>
      </c>
      <c r="J366">
        <f>VLOOKUP(A366,'Short-term interest Rates daily'!$A:$E,3,FALSE)</f>
        <v>8.25</v>
      </c>
      <c r="K366">
        <f>VLOOKUP(A366,'Short-term interest Rates daily'!$A:$E,4,FALSE)</f>
        <v>10.68</v>
      </c>
      <c r="L366">
        <f>VLOOKUP(A366,'Short-term interest Rates daily'!$A:$E,5,FALSE)</f>
        <v>5.67</v>
      </c>
    </row>
    <row r="367" spans="1:12" x14ac:dyDescent="0.3">
      <c r="A367" s="1">
        <v>31778</v>
      </c>
      <c r="B367" t="e">
        <f>VLOOKUP(A367,'STOCK DATA'!$A$2:$H$522,2,FALSE)</f>
        <v>#N/A</v>
      </c>
      <c r="C367" t="e">
        <f>VLOOKUP($A367,'STOCK DATA'!$A$2:H$521,3,FALSE)</f>
        <v>#N/A</v>
      </c>
      <c r="D367" t="e">
        <f>VLOOKUP($A367,'STOCK DATA'!$A$2:$H$521,3,FALSE)</f>
        <v>#N/A</v>
      </c>
      <c r="E367" t="e">
        <f>VLOOKUP($A367,'STOCK DATA'!$A$2:$H$521,3,FALSE)</f>
        <v>#N/A</v>
      </c>
      <c r="F367" t="e">
        <f>VLOOKUP($A367,'STOCK DATA'!$A$2:$H$521,3,FALSE)</f>
        <v>#N/A</v>
      </c>
      <c r="G367" t="e">
        <f>VLOOKUP($A367,'STOCK DATA'!$A$2:$H$521,3,FALSE)</f>
        <v>#N/A</v>
      </c>
      <c r="H367" t="e">
        <f>VLOOKUP($A367,'STOCK DATA'!$A$2:$H$521,3,FALSE)</f>
        <v>#N/A</v>
      </c>
      <c r="I367">
        <f>VLOOKUP(A367,'Short-term interest Rates daily'!$A:$E,2,FALSE)</f>
        <v>0</v>
      </c>
      <c r="J367">
        <f>VLOOKUP(A367,'Short-term interest Rates daily'!$A:$E,3,FALSE)</f>
        <v>0</v>
      </c>
      <c r="K367">
        <f>VLOOKUP(A367,'Short-term interest Rates daily'!$A:$E,4,FALSE)</f>
        <v>10.68</v>
      </c>
      <c r="L367">
        <f>VLOOKUP(A367,'Short-term interest Rates daily'!$A:$E,5,FALSE)</f>
        <v>0</v>
      </c>
    </row>
    <row r="368" spans="1:12" x14ac:dyDescent="0.3">
      <c r="A368" s="1">
        <v>31779</v>
      </c>
      <c r="B368">
        <f>VLOOKUP(A368,'STOCK DATA'!$A$2:$H$522,2,FALSE)</f>
        <v>114.66</v>
      </c>
      <c r="C368">
        <f>VLOOKUP($A368,'STOCK DATA'!$A$2:H$521,3,FALSE)</f>
        <v>1486.9</v>
      </c>
      <c r="D368">
        <f>VLOOKUP($A368,'STOCK DATA'!$A$2:$H$521,3,FALSE)</f>
        <v>1486.9</v>
      </c>
      <c r="E368">
        <f>VLOOKUP($A368,'STOCK DATA'!$A$2:$H$521,3,FALSE)</f>
        <v>1486.9</v>
      </c>
      <c r="F368">
        <f>VLOOKUP($A368,'STOCK DATA'!$A$2:$H$521,3,FALSE)</f>
        <v>1486.9</v>
      </c>
      <c r="G368">
        <f>VLOOKUP($A368,'STOCK DATA'!$A$2:$H$521,3,FALSE)</f>
        <v>1486.9</v>
      </c>
      <c r="H368">
        <f>VLOOKUP($A368,'STOCK DATA'!$A$2:$H$521,3,FALSE)</f>
        <v>1486.9</v>
      </c>
      <c r="I368">
        <f>VLOOKUP(A368,'Short-term interest Rates daily'!$A:$E,2,FALSE)</f>
        <v>14.73</v>
      </c>
      <c r="J368">
        <f>VLOOKUP(A368,'Short-term interest Rates daily'!$A:$E,3,FALSE)</f>
        <v>8.25</v>
      </c>
      <c r="K368">
        <f>VLOOKUP(A368,'Short-term interest Rates daily'!$A:$E,4,FALSE)</f>
        <v>10.68</v>
      </c>
      <c r="L368">
        <f>VLOOKUP(A368,'Short-term interest Rates daily'!$A:$E,5,FALSE)</f>
        <v>5.55</v>
      </c>
    </row>
    <row r="369" spans="1:12" x14ac:dyDescent="0.3">
      <c r="A369" s="1">
        <v>31780</v>
      </c>
      <c r="B369" t="e">
        <f>VLOOKUP(A369,'STOCK DATA'!$A$2:$H$522,2,FALSE)</f>
        <v>#N/A</v>
      </c>
      <c r="C369" t="e">
        <f>VLOOKUP($A369,'STOCK DATA'!$A$2:H$521,3,FALSE)</f>
        <v>#N/A</v>
      </c>
      <c r="D369" t="e">
        <f>VLOOKUP($A369,'STOCK DATA'!$A$2:$H$521,3,FALSE)</f>
        <v>#N/A</v>
      </c>
      <c r="E369" t="e">
        <f>VLOOKUP($A369,'STOCK DATA'!$A$2:$H$521,3,FALSE)</f>
        <v>#N/A</v>
      </c>
      <c r="F369" t="e">
        <f>VLOOKUP($A369,'STOCK DATA'!$A$2:$H$521,3,FALSE)</f>
        <v>#N/A</v>
      </c>
      <c r="G369" t="e">
        <f>VLOOKUP($A369,'STOCK DATA'!$A$2:$H$521,3,FALSE)</f>
        <v>#N/A</v>
      </c>
      <c r="H369" t="e">
        <f>VLOOKUP($A369,'STOCK DATA'!$A$2:$H$521,3,FALSE)</f>
        <v>#N/A</v>
      </c>
      <c r="I369" t="e">
        <f>VLOOKUP(A369,'Short-term interest Rates daily'!$A:$E,2,FALSE)</f>
        <v>#N/A</v>
      </c>
      <c r="J369" t="e">
        <f>VLOOKUP(A369,'Short-term interest Rates daily'!$A:$E,3,FALSE)</f>
        <v>#N/A</v>
      </c>
      <c r="K369" t="e">
        <f>VLOOKUP(A369,'Short-term interest Rates daily'!$A:$E,4,FALSE)</f>
        <v>#N/A</v>
      </c>
      <c r="L369" t="e">
        <f>VLOOKUP(A369,'Short-term interest Rates daily'!$A:$E,5,FALSE)</f>
        <v>#N/A</v>
      </c>
    </row>
    <row r="370" spans="1:12" x14ac:dyDescent="0.3">
      <c r="A370" s="1">
        <v>31781</v>
      </c>
      <c r="B370" t="e">
        <f>VLOOKUP(A370,'STOCK DATA'!$A$2:$H$522,2,FALSE)</f>
        <v>#N/A</v>
      </c>
      <c r="C370" t="e">
        <f>VLOOKUP($A370,'STOCK DATA'!$A$2:H$521,3,FALSE)</f>
        <v>#N/A</v>
      </c>
      <c r="D370" t="e">
        <f>VLOOKUP($A370,'STOCK DATA'!$A$2:$H$521,3,FALSE)</f>
        <v>#N/A</v>
      </c>
      <c r="E370" t="e">
        <f>VLOOKUP($A370,'STOCK DATA'!$A$2:$H$521,3,FALSE)</f>
        <v>#N/A</v>
      </c>
      <c r="F370" t="e">
        <f>VLOOKUP($A370,'STOCK DATA'!$A$2:$H$521,3,FALSE)</f>
        <v>#N/A</v>
      </c>
      <c r="G370" t="e">
        <f>VLOOKUP($A370,'STOCK DATA'!$A$2:$H$521,3,FALSE)</f>
        <v>#N/A</v>
      </c>
      <c r="H370" t="e">
        <f>VLOOKUP($A370,'STOCK DATA'!$A$2:$H$521,3,FALSE)</f>
        <v>#N/A</v>
      </c>
      <c r="I370" t="e">
        <f>VLOOKUP(A370,'Short-term interest Rates daily'!$A:$E,2,FALSE)</f>
        <v>#N/A</v>
      </c>
      <c r="J370" t="e">
        <f>VLOOKUP(A370,'Short-term interest Rates daily'!$A:$E,3,FALSE)</f>
        <v>#N/A</v>
      </c>
      <c r="K370" t="e">
        <f>VLOOKUP(A370,'Short-term interest Rates daily'!$A:$E,4,FALSE)</f>
        <v>#N/A</v>
      </c>
      <c r="L370" t="e">
        <f>VLOOKUP(A370,'Short-term interest Rates daily'!$A:$E,5,FALSE)</f>
        <v>#N/A</v>
      </c>
    </row>
    <row r="371" spans="1:12" x14ac:dyDescent="0.3">
      <c r="A371" s="1">
        <v>31782</v>
      </c>
      <c r="B371">
        <f>VLOOKUP(A371,'STOCK DATA'!$A$2:$H$522,2,FALSE)</f>
        <v>114.82</v>
      </c>
      <c r="C371">
        <f>VLOOKUP($A371,'STOCK DATA'!$A$2:H$521,3,FALSE)</f>
        <v>1503.1</v>
      </c>
      <c r="D371">
        <f>VLOOKUP($A371,'STOCK DATA'!$A$2:$H$521,3,FALSE)</f>
        <v>1503.1</v>
      </c>
      <c r="E371">
        <f>VLOOKUP($A371,'STOCK DATA'!$A$2:$H$521,3,FALSE)</f>
        <v>1503.1</v>
      </c>
      <c r="F371">
        <f>VLOOKUP($A371,'STOCK DATA'!$A$2:$H$521,3,FALSE)</f>
        <v>1503.1</v>
      </c>
      <c r="G371">
        <f>VLOOKUP($A371,'STOCK DATA'!$A$2:$H$521,3,FALSE)</f>
        <v>1503.1</v>
      </c>
      <c r="H371">
        <f>VLOOKUP($A371,'STOCK DATA'!$A$2:$H$521,3,FALSE)</f>
        <v>1503.1</v>
      </c>
      <c r="I371">
        <f>VLOOKUP(A371,'Short-term interest Rates daily'!$A:$E,2,FALSE)</f>
        <v>14.7</v>
      </c>
      <c r="J371">
        <f>VLOOKUP(A371,'Short-term interest Rates daily'!$A:$E,3,FALSE)</f>
        <v>8.23</v>
      </c>
      <c r="K371">
        <f>VLOOKUP(A371,'Short-term interest Rates daily'!$A:$E,4,FALSE)</f>
        <v>10.63</v>
      </c>
      <c r="L371">
        <f>VLOOKUP(A371,'Short-term interest Rates daily'!$A:$E,5,FALSE)</f>
        <v>5.55</v>
      </c>
    </row>
    <row r="372" spans="1:12" x14ac:dyDescent="0.3">
      <c r="A372" s="1">
        <v>31783</v>
      </c>
      <c r="B372">
        <f>VLOOKUP(A372,'STOCK DATA'!$A$2:$H$522,2,FALSE)</f>
        <v>113.98</v>
      </c>
      <c r="C372">
        <f>VLOOKUP($A372,'STOCK DATA'!$A$2:H$521,3,FALSE)</f>
        <v>1523.1</v>
      </c>
      <c r="D372">
        <f>VLOOKUP($A372,'STOCK DATA'!$A$2:$H$521,3,FALSE)</f>
        <v>1523.1</v>
      </c>
      <c r="E372">
        <f>VLOOKUP($A372,'STOCK DATA'!$A$2:$H$521,3,FALSE)</f>
        <v>1523.1</v>
      </c>
      <c r="F372">
        <f>VLOOKUP($A372,'STOCK DATA'!$A$2:$H$521,3,FALSE)</f>
        <v>1523.1</v>
      </c>
      <c r="G372">
        <f>VLOOKUP($A372,'STOCK DATA'!$A$2:$H$521,3,FALSE)</f>
        <v>1523.1</v>
      </c>
      <c r="H372">
        <f>VLOOKUP($A372,'STOCK DATA'!$A$2:$H$521,3,FALSE)</f>
        <v>1523.1</v>
      </c>
      <c r="I372">
        <f>VLOOKUP(A372,'Short-term interest Rates daily'!$A:$E,2,FALSE)</f>
        <v>14.78</v>
      </c>
      <c r="J372">
        <f>VLOOKUP(A372,'Short-term interest Rates daily'!$A:$E,3,FALSE)</f>
        <v>8.1999999999999993</v>
      </c>
      <c r="K372">
        <f>VLOOKUP(A372,'Short-term interest Rates daily'!$A:$E,4,FALSE)</f>
        <v>10.68</v>
      </c>
      <c r="L372">
        <f>VLOOKUP(A372,'Short-term interest Rates daily'!$A:$E,5,FALSE)</f>
        <v>5.51</v>
      </c>
    </row>
    <row r="373" spans="1:12" x14ac:dyDescent="0.3">
      <c r="A373" s="1">
        <v>31784</v>
      </c>
      <c r="B373">
        <f>VLOOKUP(A373,'STOCK DATA'!$A$2:$H$522,2,FALSE)</f>
        <v>114.33</v>
      </c>
      <c r="C373">
        <f>VLOOKUP($A373,'STOCK DATA'!$A$2:H$521,3,FALSE)</f>
        <v>1534.1</v>
      </c>
      <c r="D373">
        <f>VLOOKUP($A373,'STOCK DATA'!$A$2:$H$521,3,FALSE)</f>
        <v>1534.1</v>
      </c>
      <c r="E373">
        <f>VLOOKUP($A373,'STOCK DATA'!$A$2:$H$521,3,FALSE)</f>
        <v>1534.1</v>
      </c>
      <c r="F373">
        <f>VLOOKUP($A373,'STOCK DATA'!$A$2:$H$521,3,FALSE)</f>
        <v>1534.1</v>
      </c>
      <c r="G373">
        <f>VLOOKUP($A373,'STOCK DATA'!$A$2:$H$521,3,FALSE)</f>
        <v>1534.1</v>
      </c>
      <c r="H373">
        <f>VLOOKUP($A373,'STOCK DATA'!$A$2:$H$521,3,FALSE)</f>
        <v>1534.1</v>
      </c>
      <c r="I373">
        <f>VLOOKUP(A373,'Short-term interest Rates daily'!$A:$E,2,FALSE)</f>
        <v>14.95</v>
      </c>
      <c r="J373">
        <f>VLOOKUP(A373,'Short-term interest Rates daily'!$A:$E,3,FALSE)</f>
        <v>8.15</v>
      </c>
      <c r="K373">
        <f>VLOOKUP(A373,'Short-term interest Rates daily'!$A:$E,4,FALSE)</f>
        <v>10.68</v>
      </c>
      <c r="L373">
        <f>VLOOKUP(A373,'Short-term interest Rates daily'!$A:$E,5,FALSE)</f>
        <v>5.43</v>
      </c>
    </row>
    <row r="374" spans="1:12" x14ac:dyDescent="0.3">
      <c r="A374" s="1">
        <v>31785</v>
      </c>
      <c r="B374">
        <f>VLOOKUP(A374,'STOCK DATA'!$A$2:$H$522,2,FALSE)</f>
        <v>111.63</v>
      </c>
      <c r="C374">
        <f>VLOOKUP($A374,'STOCK DATA'!$A$2:H$521,3,FALSE)</f>
        <v>1529.6</v>
      </c>
      <c r="D374">
        <f>VLOOKUP($A374,'STOCK DATA'!$A$2:$H$521,3,FALSE)</f>
        <v>1529.6</v>
      </c>
      <c r="E374">
        <f>VLOOKUP($A374,'STOCK DATA'!$A$2:$H$521,3,FALSE)</f>
        <v>1529.6</v>
      </c>
      <c r="F374">
        <f>VLOOKUP($A374,'STOCK DATA'!$A$2:$H$521,3,FALSE)</f>
        <v>1529.6</v>
      </c>
      <c r="G374">
        <f>VLOOKUP($A374,'STOCK DATA'!$A$2:$H$521,3,FALSE)</f>
        <v>1529.6</v>
      </c>
      <c r="H374">
        <f>VLOOKUP($A374,'STOCK DATA'!$A$2:$H$521,3,FALSE)</f>
        <v>1529.6</v>
      </c>
      <c r="I374">
        <f>VLOOKUP(A374,'Short-term interest Rates daily'!$A:$E,2,FALSE)</f>
        <v>15.45</v>
      </c>
      <c r="J374">
        <f>VLOOKUP(A374,'Short-term interest Rates daily'!$A:$E,3,FALSE)</f>
        <v>8.1</v>
      </c>
      <c r="K374">
        <f>VLOOKUP(A374,'Short-term interest Rates daily'!$A:$E,4,FALSE)</f>
        <v>10.67</v>
      </c>
      <c r="L374">
        <f>VLOOKUP(A374,'Short-term interest Rates daily'!$A:$E,5,FALSE)</f>
        <v>5.43</v>
      </c>
    </row>
    <row r="375" spans="1:12" x14ac:dyDescent="0.3">
      <c r="A375" s="1">
        <v>31786</v>
      </c>
      <c r="B375">
        <f>VLOOKUP(A375,'STOCK DATA'!$A$2:$H$522,2,FALSE)</f>
        <v>109.71</v>
      </c>
      <c r="C375">
        <f>VLOOKUP($A375,'STOCK DATA'!$A$2:H$521,3,FALSE)</f>
        <v>1535.6</v>
      </c>
      <c r="D375">
        <f>VLOOKUP($A375,'STOCK DATA'!$A$2:$H$521,3,FALSE)</f>
        <v>1535.6</v>
      </c>
      <c r="E375">
        <f>VLOOKUP($A375,'STOCK DATA'!$A$2:$H$521,3,FALSE)</f>
        <v>1535.6</v>
      </c>
      <c r="F375">
        <f>VLOOKUP($A375,'STOCK DATA'!$A$2:$H$521,3,FALSE)</f>
        <v>1535.6</v>
      </c>
      <c r="G375">
        <f>VLOOKUP($A375,'STOCK DATA'!$A$2:$H$521,3,FALSE)</f>
        <v>1535.6</v>
      </c>
      <c r="H375">
        <f>VLOOKUP($A375,'STOCK DATA'!$A$2:$H$521,3,FALSE)</f>
        <v>1535.6</v>
      </c>
      <c r="I375">
        <f>VLOOKUP(A375,'Short-term interest Rates daily'!$A:$E,2,FALSE)</f>
        <v>15.88</v>
      </c>
      <c r="J375">
        <f>VLOOKUP(A375,'Short-term interest Rates daily'!$A:$E,3,FALSE)</f>
        <v>8.09</v>
      </c>
      <c r="K375">
        <f>VLOOKUP(A375,'Short-term interest Rates daily'!$A:$E,4,FALSE)</f>
        <v>10.64</v>
      </c>
      <c r="L375">
        <f>VLOOKUP(A375,'Short-term interest Rates daily'!$A:$E,5,FALSE)</f>
        <v>5.38</v>
      </c>
    </row>
    <row r="376" spans="1:12" x14ac:dyDescent="0.3">
      <c r="A376" s="1">
        <v>31787</v>
      </c>
      <c r="B376" t="e">
        <f>VLOOKUP(A376,'STOCK DATA'!$A$2:$H$522,2,FALSE)</f>
        <v>#N/A</v>
      </c>
      <c r="C376" t="e">
        <f>VLOOKUP($A376,'STOCK DATA'!$A$2:H$521,3,FALSE)</f>
        <v>#N/A</v>
      </c>
      <c r="D376" t="e">
        <f>VLOOKUP($A376,'STOCK DATA'!$A$2:$H$521,3,FALSE)</f>
        <v>#N/A</v>
      </c>
      <c r="E376" t="e">
        <f>VLOOKUP($A376,'STOCK DATA'!$A$2:$H$521,3,FALSE)</f>
        <v>#N/A</v>
      </c>
      <c r="F376" t="e">
        <f>VLOOKUP($A376,'STOCK DATA'!$A$2:$H$521,3,FALSE)</f>
        <v>#N/A</v>
      </c>
      <c r="G376" t="e">
        <f>VLOOKUP($A376,'STOCK DATA'!$A$2:$H$521,3,FALSE)</f>
        <v>#N/A</v>
      </c>
      <c r="H376" t="e">
        <f>VLOOKUP($A376,'STOCK DATA'!$A$2:$H$521,3,FALSE)</f>
        <v>#N/A</v>
      </c>
      <c r="I376" t="e">
        <f>VLOOKUP(A376,'Short-term interest Rates daily'!$A:$E,2,FALSE)</f>
        <v>#N/A</v>
      </c>
      <c r="J376" t="e">
        <f>VLOOKUP(A376,'Short-term interest Rates daily'!$A:$E,3,FALSE)</f>
        <v>#N/A</v>
      </c>
      <c r="K376" t="e">
        <f>VLOOKUP(A376,'Short-term interest Rates daily'!$A:$E,4,FALSE)</f>
        <v>#N/A</v>
      </c>
      <c r="L376" t="e">
        <f>VLOOKUP(A376,'Short-term interest Rates daily'!$A:$E,5,FALSE)</f>
        <v>#N/A</v>
      </c>
    </row>
    <row r="377" spans="1:12" x14ac:dyDescent="0.3">
      <c r="A377" s="1">
        <v>31788</v>
      </c>
      <c r="B377" t="e">
        <f>VLOOKUP(A377,'STOCK DATA'!$A$2:$H$522,2,FALSE)</f>
        <v>#N/A</v>
      </c>
      <c r="C377" t="e">
        <f>VLOOKUP($A377,'STOCK DATA'!$A$2:H$521,3,FALSE)</f>
        <v>#N/A</v>
      </c>
      <c r="D377" t="e">
        <f>VLOOKUP($A377,'STOCK DATA'!$A$2:$H$521,3,FALSE)</f>
        <v>#N/A</v>
      </c>
      <c r="E377" t="e">
        <f>VLOOKUP($A377,'STOCK DATA'!$A$2:$H$521,3,FALSE)</f>
        <v>#N/A</v>
      </c>
      <c r="F377" t="e">
        <f>VLOOKUP($A377,'STOCK DATA'!$A$2:$H$521,3,FALSE)</f>
        <v>#N/A</v>
      </c>
      <c r="G377" t="e">
        <f>VLOOKUP($A377,'STOCK DATA'!$A$2:$H$521,3,FALSE)</f>
        <v>#N/A</v>
      </c>
      <c r="H377" t="e">
        <f>VLOOKUP($A377,'STOCK DATA'!$A$2:$H$521,3,FALSE)</f>
        <v>#N/A</v>
      </c>
      <c r="I377" t="e">
        <f>VLOOKUP(A377,'Short-term interest Rates daily'!$A:$E,2,FALSE)</f>
        <v>#N/A</v>
      </c>
      <c r="J377" t="e">
        <f>VLOOKUP(A377,'Short-term interest Rates daily'!$A:$E,3,FALSE)</f>
        <v>#N/A</v>
      </c>
      <c r="K377" t="e">
        <f>VLOOKUP(A377,'Short-term interest Rates daily'!$A:$E,4,FALSE)</f>
        <v>#N/A</v>
      </c>
      <c r="L377" t="e">
        <f>VLOOKUP(A377,'Short-term interest Rates daily'!$A:$E,5,FALSE)</f>
        <v>#N/A</v>
      </c>
    </row>
    <row r="378" spans="1:12" x14ac:dyDescent="0.3">
      <c r="A378" s="1">
        <v>31789</v>
      </c>
      <c r="B378">
        <f>VLOOKUP(A378,'STOCK DATA'!$A$2:$H$522,2,FALSE)</f>
        <v>107.53</v>
      </c>
      <c r="C378">
        <f>VLOOKUP($A378,'STOCK DATA'!$A$2:H$521,3,FALSE)</f>
        <v>1549.7</v>
      </c>
      <c r="D378">
        <f>VLOOKUP($A378,'STOCK DATA'!$A$2:$H$521,3,FALSE)</f>
        <v>1549.7</v>
      </c>
      <c r="E378">
        <f>VLOOKUP($A378,'STOCK DATA'!$A$2:$H$521,3,FALSE)</f>
        <v>1549.7</v>
      </c>
      <c r="F378">
        <f>VLOOKUP($A378,'STOCK DATA'!$A$2:$H$521,3,FALSE)</f>
        <v>1549.7</v>
      </c>
      <c r="G378">
        <f>VLOOKUP($A378,'STOCK DATA'!$A$2:$H$521,3,FALSE)</f>
        <v>1549.7</v>
      </c>
      <c r="H378">
        <f>VLOOKUP($A378,'STOCK DATA'!$A$2:$H$521,3,FALSE)</f>
        <v>1549.7</v>
      </c>
      <c r="I378">
        <f>VLOOKUP(A378,'Short-term interest Rates daily'!$A:$E,2,FALSE)</f>
        <v>15.75</v>
      </c>
      <c r="J378">
        <f>VLOOKUP(A378,'Short-term interest Rates daily'!$A:$E,3,FALSE)</f>
        <v>8.0500000000000007</v>
      </c>
      <c r="K378">
        <f>VLOOKUP(A378,'Short-term interest Rates daily'!$A:$E,4,FALSE)</f>
        <v>10.64</v>
      </c>
      <c r="L378">
        <f>VLOOKUP(A378,'Short-term interest Rates daily'!$A:$E,5,FALSE)</f>
        <v>5.37</v>
      </c>
    </row>
    <row r="379" spans="1:12" x14ac:dyDescent="0.3">
      <c r="A379" s="1">
        <v>31790</v>
      </c>
      <c r="B379">
        <f>VLOOKUP(A379,'STOCK DATA'!$A$2:$H$522,2,FALSE)</f>
        <v>107.93</v>
      </c>
      <c r="C379">
        <f>VLOOKUP($A379,'STOCK DATA'!$A$2:H$521,3,FALSE)</f>
        <v>1553.6</v>
      </c>
      <c r="D379">
        <f>VLOOKUP($A379,'STOCK DATA'!$A$2:$H$521,3,FALSE)</f>
        <v>1553.6</v>
      </c>
      <c r="E379">
        <f>VLOOKUP($A379,'STOCK DATA'!$A$2:$H$521,3,FALSE)</f>
        <v>1553.6</v>
      </c>
      <c r="F379">
        <f>VLOOKUP($A379,'STOCK DATA'!$A$2:$H$521,3,FALSE)</f>
        <v>1553.6</v>
      </c>
      <c r="G379">
        <f>VLOOKUP($A379,'STOCK DATA'!$A$2:$H$521,3,FALSE)</f>
        <v>1553.6</v>
      </c>
      <c r="H379">
        <f>VLOOKUP($A379,'STOCK DATA'!$A$2:$H$521,3,FALSE)</f>
        <v>1553.6</v>
      </c>
      <c r="I379">
        <f>VLOOKUP(A379,'Short-term interest Rates daily'!$A:$E,2,FALSE)</f>
        <v>15.63</v>
      </c>
      <c r="J379">
        <f>VLOOKUP(A379,'Short-term interest Rates daily'!$A:$E,3,FALSE)</f>
        <v>8.02</v>
      </c>
      <c r="K379">
        <f>VLOOKUP(A379,'Short-term interest Rates daily'!$A:$E,4,FALSE)</f>
        <v>10.64</v>
      </c>
      <c r="L379">
        <f>VLOOKUP(A379,'Short-term interest Rates daily'!$A:$E,5,FALSE)</f>
        <v>5.36</v>
      </c>
    </row>
    <row r="380" spans="1:12" x14ac:dyDescent="0.3">
      <c r="A380" s="1">
        <v>31791</v>
      </c>
      <c r="B380">
        <f>VLOOKUP(A380,'STOCK DATA'!$A$2:$H$522,2,FALSE)</f>
        <v>108.9</v>
      </c>
      <c r="C380">
        <f>VLOOKUP($A380,'STOCK DATA'!$A$2:H$521,3,FALSE)</f>
        <v>1526</v>
      </c>
      <c r="D380">
        <f>VLOOKUP($A380,'STOCK DATA'!$A$2:$H$521,3,FALSE)</f>
        <v>1526</v>
      </c>
      <c r="E380">
        <f>VLOOKUP($A380,'STOCK DATA'!$A$2:$H$521,3,FALSE)</f>
        <v>1526</v>
      </c>
      <c r="F380">
        <f>VLOOKUP($A380,'STOCK DATA'!$A$2:$H$521,3,FALSE)</f>
        <v>1526</v>
      </c>
      <c r="G380">
        <f>VLOOKUP($A380,'STOCK DATA'!$A$2:$H$521,3,FALSE)</f>
        <v>1526</v>
      </c>
      <c r="H380">
        <f>VLOOKUP($A380,'STOCK DATA'!$A$2:$H$521,3,FALSE)</f>
        <v>1526</v>
      </c>
      <c r="I380">
        <f>VLOOKUP(A380,'Short-term interest Rates daily'!$A:$E,2,FALSE)</f>
        <v>16.75</v>
      </c>
      <c r="J380">
        <f>VLOOKUP(A380,'Short-term interest Rates daily'!$A:$E,3,FALSE)</f>
        <v>8.02</v>
      </c>
      <c r="K380">
        <f>VLOOKUP(A380,'Short-term interest Rates daily'!$A:$E,4,FALSE)</f>
        <v>10.68</v>
      </c>
      <c r="L380">
        <f>VLOOKUP(A380,'Short-term interest Rates daily'!$A:$E,5,FALSE)</f>
        <v>5.35</v>
      </c>
    </row>
    <row r="381" spans="1:12" x14ac:dyDescent="0.3">
      <c r="A381" s="1">
        <v>31792</v>
      </c>
      <c r="B381">
        <f>VLOOKUP(A381,'STOCK DATA'!$A$2:$H$522,2,FALSE)</f>
        <v>110.25</v>
      </c>
      <c r="C381">
        <f>VLOOKUP($A381,'STOCK DATA'!$A$2:H$521,3,FALSE)</f>
        <v>1540.2</v>
      </c>
      <c r="D381">
        <f>VLOOKUP($A381,'STOCK DATA'!$A$2:$H$521,3,FALSE)</f>
        <v>1540.2</v>
      </c>
      <c r="E381">
        <f>VLOOKUP($A381,'STOCK DATA'!$A$2:$H$521,3,FALSE)</f>
        <v>1540.2</v>
      </c>
      <c r="F381">
        <f>VLOOKUP($A381,'STOCK DATA'!$A$2:$H$521,3,FALSE)</f>
        <v>1540.2</v>
      </c>
      <c r="G381">
        <f>VLOOKUP($A381,'STOCK DATA'!$A$2:$H$521,3,FALSE)</f>
        <v>1540.2</v>
      </c>
      <c r="H381">
        <f>VLOOKUP($A381,'STOCK DATA'!$A$2:$H$521,3,FALSE)</f>
        <v>1540.2</v>
      </c>
      <c r="I381">
        <f>VLOOKUP(A381,'Short-term interest Rates daily'!$A:$E,2,FALSE)</f>
        <v>23</v>
      </c>
      <c r="J381">
        <f>VLOOKUP(A381,'Short-term interest Rates daily'!$A:$E,3,FALSE)</f>
        <v>7.93</v>
      </c>
      <c r="K381">
        <f>VLOOKUP(A381,'Short-term interest Rates daily'!$A:$E,4,FALSE)</f>
        <v>10.67</v>
      </c>
      <c r="L381">
        <f>VLOOKUP(A381,'Short-term interest Rates daily'!$A:$E,5,FALSE)</f>
        <v>5.36</v>
      </c>
    </row>
    <row r="382" spans="1:12" x14ac:dyDescent="0.3">
      <c r="A382" s="1">
        <v>31793</v>
      </c>
      <c r="B382">
        <f>VLOOKUP(A382,'STOCK DATA'!$A$2:$H$522,2,FALSE)</f>
        <v>110.92</v>
      </c>
      <c r="C382">
        <f>VLOOKUP($A382,'STOCK DATA'!$A$2:H$521,3,FALSE)</f>
        <v>1531.7</v>
      </c>
      <c r="D382">
        <f>VLOOKUP($A382,'STOCK DATA'!$A$2:$H$521,3,FALSE)</f>
        <v>1531.7</v>
      </c>
      <c r="E382">
        <f>VLOOKUP($A382,'STOCK DATA'!$A$2:$H$521,3,FALSE)</f>
        <v>1531.7</v>
      </c>
      <c r="F382">
        <f>VLOOKUP($A382,'STOCK DATA'!$A$2:$H$521,3,FALSE)</f>
        <v>1531.7</v>
      </c>
      <c r="G382">
        <f>VLOOKUP($A382,'STOCK DATA'!$A$2:$H$521,3,FALSE)</f>
        <v>1531.7</v>
      </c>
      <c r="H382">
        <f>VLOOKUP($A382,'STOCK DATA'!$A$2:$H$521,3,FALSE)</f>
        <v>1531.7</v>
      </c>
      <c r="I382">
        <f>VLOOKUP(A382,'Short-term interest Rates daily'!$A:$E,2,FALSE)</f>
        <v>17.63</v>
      </c>
      <c r="J382">
        <f>VLOOKUP(A382,'Short-term interest Rates daily'!$A:$E,3,FALSE)</f>
        <v>7.88</v>
      </c>
      <c r="K382">
        <f>VLOOKUP(A382,'Short-term interest Rates daily'!$A:$E,4,FALSE)</f>
        <v>10.64</v>
      </c>
      <c r="L382">
        <f>VLOOKUP(A382,'Short-term interest Rates daily'!$A:$E,5,FALSE)</f>
        <v>5.33</v>
      </c>
    </row>
    <row r="383" spans="1:12" x14ac:dyDescent="0.3">
      <c r="A383" s="1">
        <v>31794</v>
      </c>
      <c r="B383" t="e">
        <f>VLOOKUP(A383,'STOCK DATA'!$A$2:$H$522,2,FALSE)</f>
        <v>#N/A</v>
      </c>
      <c r="C383" t="e">
        <f>VLOOKUP($A383,'STOCK DATA'!$A$2:H$521,3,FALSE)</f>
        <v>#N/A</v>
      </c>
      <c r="D383" t="e">
        <f>VLOOKUP($A383,'STOCK DATA'!$A$2:$H$521,3,FALSE)</f>
        <v>#N/A</v>
      </c>
      <c r="E383" t="e">
        <f>VLOOKUP($A383,'STOCK DATA'!$A$2:$H$521,3,FALSE)</f>
        <v>#N/A</v>
      </c>
      <c r="F383" t="e">
        <f>VLOOKUP($A383,'STOCK DATA'!$A$2:$H$521,3,FALSE)</f>
        <v>#N/A</v>
      </c>
      <c r="G383" t="e">
        <f>VLOOKUP($A383,'STOCK DATA'!$A$2:$H$521,3,FALSE)</f>
        <v>#N/A</v>
      </c>
      <c r="H383" t="e">
        <f>VLOOKUP($A383,'STOCK DATA'!$A$2:$H$521,3,FALSE)</f>
        <v>#N/A</v>
      </c>
      <c r="I383" t="e">
        <f>VLOOKUP(A383,'Short-term interest Rates daily'!$A:$E,2,FALSE)</f>
        <v>#N/A</v>
      </c>
      <c r="J383" t="e">
        <f>VLOOKUP(A383,'Short-term interest Rates daily'!$A:$E,3,FALSE)</f>
        <v>#N/A</v>
      </c>
      <c r="K383" t="e">
        <f>VLOOKUP(A383,'Short-term interest Rates daily'!$A:$E,4,FALSE)</f>
        <v>#N/A</v>
      </c>
      <c r="L383" t="e">
        <f>VLOOKUP(A383,'Short-term interest Rates daily'!$A:$E,5,FALSE)</f>
        <v>#N/A</v>
      </c>
    </row>
    <row r="384" spans="1:12" x14ac:dyDescent="0.3">
      <c r="A384" s="1">
        <v>31795</v>
      </c>
      <c r="B384" t="e">
        <f>VLOOKUP(A384,'STOCK DATA'!$A$2:$H$522,2,FALSE)</f>
        <v>#N/A</v>
      </c>
      <c r="C384" t="e">
        <f>VLOOKUP($A384,'STOCK DATA'!$A$2:H$521,3,FALSE)</f>
        <v>#N/A</v>
      </c>
      <c r="D384" t="e">
        <f>VLOOKUP($A384,'STOCK DATA'!$A$2:$H$521,3,FALSE)</f>
        <v>#N/A</v>
      </c>
      <c r="E384" t="e">
        <f>VLOOKUP($A384,'STOCK DATA'!$A$2:$H$521,3,FALSE)</f>
        <v>#N/A</v>
      </c>
      <c r="F384" t="e">
        <f>VLOOKUP($A384,'STOCK DATA'!$A$2:$H$521,3,FALSE)</f>
        <v>#N/A</v>
      </c>
      <c r="G384" t="e">
        <f>VLOOKUP($A384,'STOCK DATA'!$A$2:$H$521,3,FALSE)</f>
        <v>#N/A</v>
      </c>
      <c r="H384" t="e">
        <f>VLOOKUP($A384,'STOCK DATA'!$A$2:$H$521,3,FALSE)</f>
        <v>#N/A</v>
      </c>
      <c r="I384" t="e">
        <f>VLOOKUP(A384,'Short-term interest Rates daily'!$A:$E,2,FALSE)</f>
        <v>#N/A</v>
      </c>
      <c r="J384" t="e">
        <f>VLOOKUP(A384,'Short-term interest Rates daily'!$A:$E,3,FALSE)</f>
        <v>#N/A</v>
      </c>
      <c r="K384" t="e">
        <f>VLOOKUP(A384,'Short-term interest Rates daily'!$A:$E,4,FALSE)</f>
        <v>#N/A</v>
      </c>
      <c r="L384" t="e">
        <f>VLOOKUP(A384,'Short-term interest Rates daily'!$A:$E,5,FALSE)</f>
        <v>#N/A</v>
      </c>
    </row>
    <row r="385" spans="1:12" x14ac:dyDescent="0.3">
      <c r="A385" s="1">
        <v>31796</v>
      </c>
      <c r="B385">
        <f>VLOOKUP(A385,'STOCK DATA'!$A$2:$H$522,2,FALSE)</f>
        <v>109.08</v>
      </c>
      <c r="C385">
        <f>VLOOKUP($A385,'STOCK DATA'!$A$2:H$521,3,FALSE)</f>
        <v>1528.5</v>
      </c>
      <c r="D385">
        <f>VLOOKUP($A385,'STOCK DATA'!$A$2:$H$521,3,FALSE)</f>
        <v>1528.5</v>
      </c>
      <c r="E385">
        <f>VLOOKUP($A385,'STOCK DATA'!$A$2:$H$521,3,FALSE)</f>
        <v>1528.5</v>
      </c>
      <c r="F385">
        <f>VLOOKUP($A385,'STOCK DATA'!$A$2:$H$521,3,FALSE)</f>
        <v>1528.5</v>
      </c>
      <c r="G385">
        <f>VLOOKUP($A385,'STOCK DATA'!$A$2:$H$521,3,FALSE)</f>
        <v>1528.5</v>
      </c>
      <c r="H385">
        <f>VLOOKUP($A385,'STOCK DATA'!$A$2:$H$521,3,FALSE)</f>
        <v>1528.5</v>
      </c>
      <c r="I385">
        <f>VLOOKUP(A385,'Short-term interest Rates daily'!$A:$E,2,FALSE)</f>
        <v>17.75</v>
      </c>
      <c r="J385">
        <f>VLOOKUP(A385,'Short-term interest Rates daily'!$A:$E,3,FALSE)</f>
        <v>7.82</v>
      </c>
      <c r="K385">
        <f>VLOOKUP(A385,'Short-term interest Rates daily'!$A:$E,4,FALSE)</f>
        <v>10.6</v>
      </c>
      <c r="L385">
        <f>VLOOKUP(A385,'Short-term interest Rates daily'!$A:$E,5,FALSE)</f>
        <v>0</v>
      </c>
    </row>
    <row r="386" spans="1:12" x14ac:dyDescent="0.3">
      <c r="A386" s="1">
        <v>31797</v>
      </c>
      <c r="B386">
        <f>VLOOKUP(A386,'STOCK DATA'!$A$2:$H$522,2,FALSE)</f>
        <v>109.32</v>
      </c>
      <c r="C386">
        <f>VLOOKUP($A386,'STOCK DATA'!$A$2:H$521,3,FALSE)</f>
        <v>1534.1</v>
      </c>
      <c r="D386">
        <f>VLOOKUP($A386,'STOCK DATA'!$A$2:$H$521,3,FALSE)</f>
        <v>1534.1</v>
      </c>
      <c r="E386">
        <f>VLOOKUP($A386,'STOCK DATA'!$A$2:$H$521,3,FALSE)</f>
        <v>1534.1</v>
      </c>
      <c r="F386">
        <f>VLOOKUP($A386,'STOCK DATA'!$A$2:$H$521,3,FALSE)</f>
        <v>1534.1</v>
      </c>
      <c r="G386">
        <f>VLOOKUP($A386,'STOCK DATA'!$A$2:$H$521,3,FALSE)</f>
        <v>1534.1</v>
      </c>
      <c r="H386">
        <f>VLOOKUP($A386,'STOCK DATA'!$A$2:$H$521,3,FALSE)</f>
        <v>1534.1</v>
      </c>
      <c r="I386">
        <f>VLOOKUP(A386,'Short-term interest Rates daily'!$A:$E,2,FALSE)</f>
        <v>18</v>
      </c>
      <c r="J386">
        <f>VLOOKUP(A386,'Short-term interest Rates daily'!$A:$E,3,FALSE)</f>
        <v>7.82</v>
      </c>
      <c r="K386">
        <f>VLOOKUP(A386,'Short-term interest Rates daily'!$A:$E,4,FALSE)</f>
        <v>10.61</v>
      </c>
      <c r="L386">
        <f>VLOOKUP(A386,'Short-term interest Rates daily'!$A:$E,5,FALSE)</f>
        <v>5.3</v>
      </c>
    </row>
    <row r="387" spans="1:12" x14ac:dyDescent="0.3">
      <c r="A387" s="1">
        <v>31798</v>
      </c>
      <c r="B387">
        <f>VLOOKUP(A387,'STOCK DATA'!$A$2:$H$522,2,FALSE)</f>
        <v>108.88</v>
      </c>
      <c r="C387">
        <f>VLOOKUP($A387,'STOCK DATA'!$A$2:H$521,3,FALSE)</f>
        <v>1528.2</v>
      </c>
      <c r="D387">
        <f>VLOOKUP($A387,'STOCK DATA'!$A$2:$H$521,3,FALSE)</f>
        <v>1528.2</v>
      </c>
      <c r="E387">
        <f>VLOOKUP($A387,'STOCK DATA'!$A$2:$H$521,3,FALSE)</f>
        <v>1528.2</v>
      </c>
      <c r="F387">
        <f>VLOOKUP($A387,'STOCK DATA'!$A$2:$H$521,3,FALSE)</f>
        <v>1528.2</v>
      </c>
      <c r="G387">
        <f>VLOOKUP($A387,'STOCK DATA'!$A$2:$H$521,3,FALSE)</f>
        <v>1528.2</v>
      </c>
      <c r="H387">
        <f>VLOOKUP($A387,'STOCK DATA'!$A$2:$H$521,3,FALSE)</f>
        <v>1528.2</v>
      </c>
      <c r="I387">
        <f>VLOOKUP(A387,'Short-term interest Rates daily'!$A:$E,2,FALSE)</f>
        <v>17</v>
      </c>
      <c r="J387">
        <f>VLOOKUP(A387,'Short-term interest Rates daily'!$A:$E,3,FALSE)</f>
        <v>7.64</v>
      </c>
      <c r="K387">
        <f>VLOOKUP(A387,'Short-term interest Rates daily'!$A:$E,4,FALSE)</f>
        <v>10.62</v>
      </c>
      <c r="L387">
        <f>VLOOKUP(A387,'Short-term interest Rates daily'!$A:$E,5,FALSE)</f>
        <v>5.31</v>
      </c>
    </row>
    <row r="388" spans="1:12" x14ac:dyDescent="0.3">
      <c r="A388" s="1">
        <v>31799</v>
      </c>
      <c r="B388">
        <f>VLOOKUP(A388,'STOCK DATA'!$A$2:$H$522,2,FALSE)</f>
        <v>108.72</v>
      </c>
      <c r="C388">
        <f>VLOOKUP($A388,'STOCK DATA'!$A$2:H$521,3,FALSE)</f>
        <v>1534.7</v>
      </c>
      <c r="D388">
        <f>VLOOKUP($A388,'STOCK DATA'!$A$2:$H$521,3,FALSE)</f>
        <v>1534.7</v>
      </c>
      <c r="E388">
        <f>VLOOKUP($A388,'STOCK DATA'!$A$2:$H$521,3,FALSE)</f>
        <v>1534.7</v>
      </c>
      <c r="F388">
        <f>VLOOKUP($A388,'STOCK DATA'!$A$2:$H$521,3,FALSE)</f>
        <v>1534.7</v>
      </c>
      <c r="G388">
        <f>VLOOKUP($A388,'STOCK DATA'!$A$2:$H$521,3,FALSE)</f>
        <v>1534.7</v>
      </c>
      <c r="H388">
        <f>VLOOKUP($A388,'STOCK DATA'!$A$2:$H$521,3,FALSE)</f>
        <v>1534.7</v>
      </c>
      <c r="I388">
        <f>VLOOKUP(A388,'Short-term interest Rates daily'!$A:$E,2,FALSE)</f>
        <v>16.75</v>
      </c>
      <c r="J388">
        <f>VLOOKUP(A388,'Short-term interest Rates daily'!$A:$E,3,FALSE)</f>
        <v>7.5</v>
      </c>
      <c r="K388">
        <f>VLOOKUP(A388,'Short-term interest Rates daily'!$A:$E,4,FALSE)</f>
        <v>10.57</v>
      </c>
      <c r="L388">
        <f>VLOOKUP(A388,'Short-term interest Rates daily'!$A:$E,5,FALSE)</f>
        <v>5.38</v>
      </c>
    </row>
    <row r="389" spans="1:12" x14ac:dyDescent="0.3">
      <c r="A389" s="1">
        <v>31800</v>
      </c>
      <c r="B389">
        <f>VLOOKUP(A389,'STOCK DATA'!$A$2:$H$522,2,FALSE)</f>
        <v>108.67</v>
      </c>
      <c r="C389">
        <f>VLOOKUP($A389,'STOCK DATA'!$A$2:H$521,3,FALSE)</f>
        <v>1539.6</v>
      </c>
      <c r="D389">
        <f>VLOOKUP($A389,'STOCK DATA'!$A$2:$H$521,3,FALSE)</f>
        <v>1539.6</v>
      </c>
      <c r="E389">
        <f>VLOOKUP($A389,'STOCK DATA'!$A$2:$H$521,3,FALSE)</f>
        <v>1539.6</v>
      </c>
      <c r="F389">
        <f>VLOOKUP($A389,'STOCK DATA'!$A$2:$H$521,3,FALSE)</f>
        <v>1539.6</v>
      </c>
      <c r="G389">
        <f>VLOOKUP($A389,'STOCK DATA'!$A$2:$H$521,3,FALSE)</f>
        <v>1539.6</v>
      </c>
      <c r="H389">
        <f>VLOOKUP($A389,'STOCK DATA'!$A$2:$H$521,3,FALSE)</f>
        <v>1539.6</v>
      </c>
      <c r="I389">
        <f>VLOOKUP(A389,'Short-term interest Rates daily'!$A:$E,2,FALSE)</f>
        <v>16.5</v>
      </c>
      <c r="J389">
        <f>VLOOKUP(A389,'Short-term interest Rates daily'!$A:$E,3,FALSE)</f>
        <v>7.51</v>
      </c>
      <c r="K389">
        <f>VLOOKUP(A389,'Short-term interest Rates daily'!$A:$E,4,FALSE)</f>
        <v>10.58</v>
      </c>
      <c r="L389">
        <f>VLOOKUP(A389,'Short-term interest Rates daily'!$A:$E,5,FALSE)</f>
        <v>5.4</v>
      </c>
    </row>
    <row r="390" spans="1:12" x14ac:dyDescent="0.3">
      <c r="A390" s="1">
        <v>31801</v>
      </c>
      <c r="B390" t="e">
        <f>VLOOKUP(A390,'STOCK DATA'!$A$2:$H$522,2,FALSE)</f>
        <v>#N/A</v>
      </c>
      <c r="C390" t="e">
        <f>VLOOKUP($A390,'STOCK DATA'!$A$2:H$521,3,FALSE)</f>
        <v>#N/A</v>
      </c>
      <c r="D390" t="e">
        <f>VLOOKUP($A390,'STOCK DATA'!$A$2:$H$521,3,FALSE)</f>
        <v>#N/A</v>
      </c>
      <c r="E390" t="e">
        <f>VLOOKUP($A390,'STOCK DATA'!$A$2:$H$521,3,FALSE)</f>
        <v>#N/A</v>
      </c>
      <c r="F390" t="e">
        <f>VLOOKUP($A390,'STOCK DATA'!$A$2:$H$521,3,FALSE)</f>
        <v>#N/A</v>
      </c>
      <c r="G390" t="e">
        <f>VLOOKUP($A390,'STOCK DATA'!$A$2:$H$521,3,FALSE)</f>
        <v>#N/A</v>
      </c>
      <c r="H390" t="e">
        <f>VLOOKUP($A390,'STOCK DATA'!$A$2:$H$521,3,FALSE)</f>
        <v>#N/A</v>
      </c>
      <c r="I390" t="e">
        <f>VLOOKUP(A390,'Short-term interest Rates daily'!$A:$E,2,FALSE)</f>
        <v>#N/A</v>
      </c>
      <c r="J390" t="e">
        <f>VLOOKUP(A390,'Short-term interest Rates daily'!$A:$E,3,FALSE)</f>
        <v>#N/A</v>
      </c>
      <c r="K390" t="e">
        <f>VLOOKUP(A390,'Short-term interest Rates daily'!$A:$E,4,FALSE)</f>
        <v>#N/A</v>
      </c>
      <c r="L390" t="e">
        <f>VLOOKUP(A390,'Short-term interest Rates daily'!$A:$E,5,FALSE)</f>
        <v>#N/A</v>
      </c>
    </row>
    <row r="391" spans="1:12" x14ac:dyDescent="0.3">
      <c r="A391" s="1">
        <v>31802</v>
      </c>
      <c r="B391" t="e">
        <f>VLOOKUP(A391,'STOCK DATA'!$A$2:$H$522,2,FALSE)</f>
        <v>#N/A</v>
      </c>
      <c r="C391" t="e">
        <f>VLOOKUP($A391,'STOCK DATA'!$A$2:H$521,3,FALSE)</f>
        <v>#N/A</v>
      </c>
      <c r="D391" t="e">
        <f>VLOOKUP($A391,'STOCK DATA'!$A$2:$H$521,3,FALSE)</f>
        <v>#N/A</v>
      </c>
      <c r="E391" t="e">
        <f>VLOOKUP($A391,'STOCK DATA'!$A$2:$H$521,3,FALSE)</f>
        <v>#N/A</v>
      </c>
      <c r="F391" t="e">
        <f>VLOOKUP($A391,'STOCK DATA'!$A$2:$H$521,3,FALSE)</f>
        <v>#N/A</v>
      </c>
      <c r="G391" t="e">
        <f>VLOOKUP($A391,'STOCK DATA'!$A$2:$H$521,3,FALSE)</f>
        <v>#N/A</v>
      </c>
      <c r="H391" t="e">
        <f>VLOOKUP($A391,'STOCK DATA'!$A$2:$H$521,3,FALSE)</f>
        <v>#N/A</v>
      </c>
      <c r="I391" t="e">
        <f>VLOOKUP(A391,'Short-term interest Rates daily'!$A:$E,2,FALSE)</f>
        <v>#N/A</v>
      </c>
      <c r="J391" t="e">
        <f>VLOOKUP(A391,'Short-term interest Rates daily'!$A:$E,3,FALSE)</f>
        <v>#N/A</v>
      </c>
      <c r="K391" t="e">
        <f>VLOOKUP(A391,'Short-term interest Rates daily'!$A:$E,4,FALSE)</f>
        <v>#N/A</v>
      </c>
      <c r="L391" t="e">
        <f>VLOOKUP(A391,'Short-term interest Rates daily'!$A:$E,5,FALSE)</f>
        <v>#N/A</v>
      </c>
    </row>
    <row r="392" spans="1:12" x14ac:dyDescent="0.3">
      <c r="A392" s="1">
        <v>31803</v>
      </c>
      <c r="B392">
        <f>VLOOKUP(A392,'STOCK DATA'!$A$2:$H$522,2,FALSE)</f>
        <v>105.93</v>
      </c>
      <c r="C392">
        <f>VLOOKUP($A392,'STOCK DATA'!$A$2:H$521,3,FALSE)</f>
        <v>0</v>
      </c>
      <c r="D392">
        <f>VLOOKUP($A392,'STOCK DATA'!$A$2:$H$521,3,FALSE)</f>
        <v>0</v>
      </c>
      <c r="E392">
        <f>VLOOKUP($A392,'STOCK DATA'!$A$2:$H$521,3,FALSE)</f>
        <v>0</v>
      </c>
      <c r="F392">
        <f>VLOOKUP($A392,'STOCK DATA'!$A$2:$H$521,3,FALSE)</f>
        <v>0</v>
      </c>
      <c r="G392">
        <f>VLOOKUP($A392,'STOCK DATA'!$A$2:$H$521,3,FALSE)</f>
        <v>0</v>
      </c>
      <c r="H392">
        <f>VLOOKUP($A392,'STOCK DATA'!$A$2:$H$521,3,FALSE)</f>
        <v>0</v>
      </c>
      <c r="I392">
        <f>VLOOKUP(A392,'Short-term interest Rates daily'!$A:$E,2,FALSE)</f>
        <v>0</v>
      </c>
      <c r="J392">
        <f>VLOOKUP(A392,'Short-term interest Rates daily'!$A:$E,3,FALSE)</f>
        <v>7.53</v>
      </c>
      <c r="K392">
        <f>VLOOKUP(A392,'Short-term interest Rates daily'!$A:$E,4,FALSE)</f>
        <v>10.6</v>
      </c>
      <c r="L392">
        <f>VLOOKUP(A392,'Short-term interest Rates daily'!$A:$E,5,FALSE)</f>
        <v>5.49</v>
      </c>
    </row>
    <row r="393" spans="1:12" x14ac:dyDescent="0.3">
      <c r="A393" s="1">
        <v>31804</v>
      </c>
      <c r="B393">
        <f>VLOOKUP(A393,'STOCK DATA'!$A$2:$H$522,2,FALSE)</f>
        <v>105.61</v>
      </c>
      <c r="C393">
        <f>VLOOKUP($A393,'STOCK DATA'!$A$2:H$521,3,FALSE)</f>
        <v>1533.5</v>
      </c>
      <c r="D393">
        <f>VLOOKUP($A393,'STOCK DATA'!$A$2:$H$521,3,FALSE)</f>
        <v>1533.5</v>
      </c>
      <c r="E393">
        <f>VLOOKUP($A393,'STOCK DATA'!$A$2:$H$521,3,FALSE)</f>
        <v>1533.5</v>
      </c>
      <c r="F393">
        <f>VLOOKUP($A393,'STOCK DATA'!$A$2:$H$521,3,FALSE)</f>
        <v>1533.5</v>
      </c>
      <c r="G393">
        <f>VLOOKUP($A393,'STOCK DATA'!$A$2:$H$521,3,FALSE)</f>
        <v>1533.5</v>
      </c>
      <c r="H393">
        <f>VLOOKUP($A393,'STOCK DATA'!$A$2:$H$521,3,FALSE)</f>
        <v>1533.5</v>
      </c>
      <c r="I393">
        <f>VLOOKUP(A393,'Short-term interest Rates daily'!$A:$E,2,FALSE)</f>
        <v>16.8</v>
      </c>
      <c r="J393">
        <f>VLOOKUP(A393,'Short-term interest Rates daily'!$A:$E,3,FALSE)</f>
        <v>7.44</v>
      </c>
      <c r="K393">
        <f>VLOOKUP(A393,'Short-term interest Rates daily'!$A:$E,4,FALSE)</f>
        <v>10.61</v>
      </c>
      <c r="L393">
        <f>VLOOKUP(A393,'Short-term interest Rates daily'!$A:$E,5,FALSE)</f>
        <v>5.49</v>
      </c>
    </row>
    <row r="394" spans="1:12" x14ac:dyDescent="0.3">
      <c r="A394" s="1">
        <v>31805</v>
      </c>
      <c r="B394">
        <f>VLOOKUP(A394,'STOCK DATA'!$A$2:$H$522,2,FALSE)</f>
        <v>103.1</v>
      </c>
      <c r="C394">
        <f>VLOOKUP($A394,'STOCK DATA'!$A$2:H$521,3,FALSE)</f>
        <v>1527.5</v>
      </c>
      <c r="D394">
        <f>VLOOKUP($A394,'STOCK DATA'!$A$2:$H$521,3,FALSE)</f>
        <v>1527.5</v>
      </c>
      <c r="E394">
        <f>VLOOKUP($A394,'STOCK DATA'!$A$2:$H$521,3,FALSE)</f>
        <v>1527.5</v>
      </c>
      <c r="F394">
        <f>VLOOKUP($A394,'STOCK DATA'!$A$2:$H$521,3,FALSE)</f>
        <v>1527.5</v>
      </c>
      <c r="G394">
        <f>VLOOKUP($A394,'STOCK DATA'!$A$2:$H$521,3,FALSE)</f>
        <v>1527.5</v>
      </c>
      <c r="H394">
        <f>VLOOKUP($A394,'STOCK DATA'!$A$2:$H$521,3,FALSE)</f>
        <v>1527.5</v>
      </c>
      <c r="I394">
        <f>VLOOKUP(A394,'Short-term interest Rates daily'!$A:$E,2,FALSE)</f>
        <v>16.829999999999998</v>
      </c>
      <c r="J394">
        <f>VLOOKUP(A394,'Short-term interest Rates daily'!$A:$E,3,FALSE)</f>
        <v>7.32</v>
      </c>
      <c r="K394">
        <f>VLOOKUP(A394,'Short-term interest Rates daily'!$A:$E,4,FALSE)</f>
        <v>10.62</v>
      </c>
      <c r="L394">
        <f>VLOOKUP(A394,'Short-term interest Rates daily'!$A:$E,5,FALSE)</f>
        <v>5.47</v>
      </c>
    </row>
    <row r="395" spans="1:12" x14ac:dyDescent="0.3">
      <c r="A395" s="1">
        <v>31806</v>
      </c>
      <c r="B395">
        <f>VLOOKUP(A395,'STOCK DATA'!$A$2:$H$522,2,FALSE)</f>
        <v>104.91</v>
      </c>
      <c r="C395">
        <f>VLOOKUP($A395,'STOCK DATA'!$A$2:H$521,3,FALSE)</f>
        <v>1513.9</v>
      </c>
      <c r="D395">
        <f>VLOOKUP($A395,'STOCK DATA'!$A$2:$H$521,3,FALSE)</f>
        <v>1513.9</v>
      </c>
      <c r="E395">
        <f>VLOOKUP($A395,'STOCK DATA'!$A$2:$H$521,3,FALSE)</f>
        <v>1513.9</v>
      </c>
      <c r="F395">
        <f>VLOOKUP($A395,'STOCK DATA'!$A$2:$H$521,3,FALSE)</f>
        <v>1513.9</v>
      </c>
      <c r="G395">
        <f>VLOOKUP($A395,'STOCK DATA'!$A$2:$H$521,3,FALSE)</f>
        <v>1513.9</v>
      </c>
      <c r="H395">
        <f>VLOOKUP($A395,'STOCK DATA'!$A$2:$H$521,3,FALSE)</f>
        <v>1513.9</v>
      </c>
      <c r="I395">
        <f>VLOOKUP(A395,'Short-term interest Rates daily'!$A:$E,2,FALSE)</f>
        <v>16.850000000000001</v>
      </c>
      <c r="J395">
        <f>VLOOKUP(A395,'Short-term interest Rates daily'!$A:$E,3,FALSE)</f>
        <v>7.27</v>
      </c>
      <c r="K395">
        <f>VLOOKUP(A395,'Short-term interest Rates daily'!$A:$E,4,FALSE)</f>
        <v>10.64</v>
      </c>
      <c r="L395">
        <f>VLOOKUP(A395,'Short-term interest Rates daily'!$A:$E,5,FALSE)</f>
        <v>5.48</v>
      </c>
    </row>
    <row r="396" spans="1:12" x14ac:dyDescent="0.3">
      <c r="A396" s="1">
        <v>31807</v>
      </c>
      <c r="B396">
        <f>VLOOKUP(A396,'STOCK DATA'!$A$2:$H$522,2,FALSE)</f>
        <v>106.75</v>
      </c>
      <c r="C396">
        <f>VLOOKUP($A396,'STOCK DATA'!$A$2:H$521,3,FALSE)</f>
        <v>1496.3</v>
      </c>
      <c r="D396">
        <f>VLOOKUP($A396,'STOCK DATA'!$A$2:$H$521,3,FALSE)</f>
        <v>1496.3</v>
      </c>
      <c r="E396">
        <f>VLOOKUP($A396,'STOCK DATA'!$A$2:$H$521,3,FALSE)</f>
        <v>1496.3</v>
      </c>
      <c r="F396">
        <f>VLOOKUP($A396,'STOCK DATA'!$A$2:$H$521,3,FALSE)</f>
        <v>1496.3</v>
      </c>
      <c r="G396">
        <f>VLOOKUP($A396,'STOCK DATA'!$A$2:$H$521,3,FALSE)</f>
        <v>1496.3</v>
      </c>
      <c r="H396">
        <f>VLOOKUP($A396,'STOCK DATA'!$A$2:$H$521,3,FALSE)</f>
        <v>1496.3</v>
      </c>
      <c r="I396">
        <f>VLOOKUP(A396,'Short-term interest Rates daily'!$A:$E,2,FALSE)</f>
        <v>16.7</v>
      </c>
      <c r="J396">
        <f>VLOOKUP(A396,'Short-term interest Rates daily'!$A:$E,3,FALSE)</f>
        <v>7.28</v>
      </c>
      <c r="K396">
        <f>VLOOKUP(A396,'Short-term interest Rates daily'!$A:$E,4,FALSE)</f>
        <v>10.65</v>
      </c>
      <c r="L396">
        <f>VLOOKUP(A396,'Short-term interest Rates daily'!$A:$E,5,FALSE)</f>
        <v>5.6</v>
      </c>
    </row>
    <row r="397" spans="1:12" x14ac:dyDescent="0.3">
      <c r="A397" s="1">
        <v>31808</v>
      </c>
      <c r="B397" t="e">
        <f>VLOOKUP(A397,'STOCK DATA'!$A$2:$H$522,2,FALSE)</f>
        <v>#N/A</v>
      </c>
      <c r="C397" t="e">
        <f>VLOOKUP($A397,'STOCK DATA'!$A$2:H$521,3,FALSE)</f>
        <v>#N/A</v>
      </c>
      <c r="D397" t="e">
        <f>VLOOKUP($A397,'STOCK DATA'!$A$2:$H$521,3,FALSE)</f>
        <v>#N/A</v>
      </c>
      <c r="E397" t="e">
        <f>VLOOKUP($A397,'STOCK DATA'!$A$2:$H$521,3,FALSE)</f>
        <v>#N/A</v>
      </c>
      <c r="F397" t="e">
        <f>VLOOKUP($A397,'STOCK DATA'!$A$2:$H$521,3,FALSE)</f>
        <v>#N/A</v>
      </c>
      <c r="G397" t="e">
        <f>VLOOKUP($A397,'STOCK DATA'!$A$2:$H$521,3,FALSE)</f>
        <v>#N/A</v>
      </c>
      <c r="H397" t="e">
        <f>VLOOKUP($A397,'STOCK DATA'!$A$2:$H$521,3,FALSE)</f>
        <v>#N/A</v>
      </c>
      <c r="I397" t="e">
        <f>VLOOKUP(A397,'Short-term interest Rates daily'!$A:$E,2,FALSE)</f>
        <v>#N/A</v>
      </c>
      <c r="J397" t="e">
        <f>VLOOKUP(A397,'Short-term interest Rates daily'!$A:$E,3,FALSE)</f>
        <v>#N/A</v>
      </c>
      <c r="K397" t="e">
        <f>VLOOKUP(A397,'Short-term interest Rates daily'!$A:$E,4,FALSE)</f>
        <v>#N/A</v>
      </c>
      <c r="L397" t="e">
        <f>VLOOKUP(A397,'Short-term interest Rates daily'!$A:$E,5,FALSE)</f>
        <v>#N/A</v>
      </c>
    </row>
    <row r="398" spans="1:12" x14ac:dyDescent="0.3">
      <c r="A398" s="1">
        <v>31809</v>
      </c>
      <c r="B398" t="e">
        <f>VLOOKUP(A398,'STOCK DATA'!$A$2:$H$522,2,FALSE)</f>
        <v>#N/A</v>
      </c>
      <c r="C398" t="e">
        <f>VLOOKUP($A398,'STOCK DATA'!$A$2:H$521,3,FALSE)</f>
        <v>#N/A</v>
      </c>
      <c r="D398" t="e">
        <f>VLOOKUP($A398,'STOCK DATA'!$A$2:$H$521,3,FALSE)</f>
        <v>#N/A</v>
      </c>
      <c r="E398" t="e">
        <f>VLOOKUP($A398,'STOCK DATA'!$A$2:$H$521,3,FALSE)</f>
        <v>#N/A</v>
      </c>
      <c r="F398" t="e">
        <f>VLOOKUP($A398,'STOCK DATA'!$A$2:$H$521,3,FALSE)</f>
        <v>#N/A</v>
      </c>
      <c r="G398" t="e">
        <f>VLOOKUP($A398,'STOCK DATA'!$A$2:$H$521,3,FALSE)</f>
        <v>#N/A</v>
      </c>
      <c r="H398" t="e">
        <f>VLOOKUP($A398,'STOCK DATA'!$A$2:$H$521,3,FALSE)</f>
        <v>#N/A</v>
      </c>
      <c r="I398" t="e">
        <f>VLOOKUP(A398,'Short-term interest Rates daily'!$A:$E,2,FALSE)</f>
        <v>#N/A</v>
      </c>
      <c r="J398" t="e">
        <f>VLOOKUP(A398,'Short-term interest Rates daily'!$A:$E,3,FALSE)</f>
        <v>#N/A</v>
      </c>
      <c r="K398" t="e">
        <f>VLOOKUP(A398,'Short-term interest Rates daily'!$A:$E,4,FALSE)</f>
        <v>#N/A</v>
      </c>
      <c r="L398" t="e">
        <f>VLOOKUP(A398,'Short-term interest Rates daily'!$A:$E,5,FALSE)</f>
        <v>#N/A</v>
      </c>
    </row>
    <row r="399" spans="1:12" x14ac:dyDescent="0.3">
      <c r="A399" s="1">
        <v>31810</v>
      </c>
      <c r="B399">
        <f>VLOOKUP(A399,'STOCK DATA'!$A$2:$H$522,2,FALSE)</f>
        <v>105.74</v>
      </c>
      <c r="C399">
        <f>VLOOKUP($A399,'STOCK DATA'!$A$2:H$521,3,FALSE)</f>
        <v>1486.7</v>
      </c>
      <c r="D399">
        <f>VLOOKUP($A399,'STOCK DATA'!$A$2:$H$521,3,FALSE)</f>
        <v>1486.7</v>
      </c>
      <c r="E399">
        <f>VLOOKUP($A399,'STOCK DATA'!$A$2:$H$521,3,FALSE)</f>
        <v>1486.7</v>
      </c>
      <c r="F399">
        <f>VLOOKUP($A399,'STOCK DATA'!$A$2:$H$521,3,FALSE)</f>
        <v>1486.7</v>
      </c>
      <c r="G399">
        <f>VLOOKUP($A399,'STOCK DATA'!$A$2:$H$521,3,FALSE)</f>
        <v>1486.7</v>
      </c>
      <c r="H399">
        <f>VLOOKUP($A399,'STOCK DATA'!$A$2:$H$521,3,FALSE)</f>
        <v>1486.7</v>
      </c>
      <c r="I399">
        <f>VLOOKUP(A399,'Short-term interest Rates daily'!$A:$E,2,FALSE)</f>
        <v>16.75</v>
      </c>
      <c r="J399">
        <f>VLOOKUP(A399,'Short-term interest Rates daily'!$A:$E,3,FALSE)</f>
        <v>7.3</v>
      </c>
      <c r="K399">
        <f>VLOOKUP(A399,'Short-term interest Rates daily'!$A:$E,4,FALSE)</f>
        <v>10.65</v>
      </c>
      <c r="L399">
        <f>VLOOKUP(A399,'Short-term interest Rates daily'!$A:$E,5,FALSE)</f>
        <v>5.61</v>
      </c>
    </row>
    <row r="400" spans="1:12" x14ac:dyDescent="0.3">
      <c r="A400" s="1">
        <v>31811</v>
      </c>
      <c r="B400">
        <f>VLOOKUP(A400,'STOCK DATA'!$A$2:$H$522,2,FALSE)</f>
        <v>104.66</v>
      </c>
      <c r="C400">
        <f>VLOOKUP($A400,'STOCK DATA'!$A$2:H$521,3,FALSE)</f>
        <v>1502.5</v>
      </c>
      <c r="D400">
        <f>VLOOKUP($A400,'STOCK DATA'!$A$2:$H$521,3,FALSE)</f>
        <v>1502.5</v>
      </c>
      <c r="E400">
        <f>VLOOKUP($A400,'STOCK DATA'!$A$2:$H$521,3,FALSE)</f>
        <v>1502.5</v>
      </c>
      <c r="F400">
        <f>VLOOKUP($A400,'STOCK DATA'!$A$2:$H$521,3,FALSE)</f>
        <v>1502.5</v>
      </c>
      <c r="G400">
        <f>VLOOKUP($A400,'STOCK DATA'!$A$2:$H$521,3,FALSE)</f>
        <v>1502.5</v>
      </c>
      <c r="H400">
        <f>VLOOKUP($A400,'STOCK DATA'!$A$2:$H$521,3,FALSE)</f>
        <v>1502.5</v>
      </c>
      <c r="I400">
        <f>VLOOKUP(A400,'Short-term interest Rates daily'!$A:$E,2,FALSE)</f>
        <v>16.850000000000001</v>
      </c>
      <c r="J400">
        <f>VLOOKUP(A400,'Short-term interest Rates daily'!$A:$E,3,FALSE)</f>
        <v>7.35</v>
      </c>
      <c r="K400">
        <f>VLOOKUP(A400,'Short-term interest Rates daily'!$A:$E,4,FALSE)</f>
        <v>10.64</v>
      </c>
      <c r="L400">
        <f>VLOOKUP(A400,'Short-term interest Rates daily'!$A:$E,5,FALSE)</f>
        <v>5.59</v>
      </c>
    </row>
    <row r="401" spans="1:12" x14ac:dyDescent="0.3">
      <c r="A401" s="1">
        <v>31812</v>
      </c>
      <c r="B401">
        <f>VLOOKUP(A401,'STOCK DATA'!$A$2:$H$522,2,FALSE)</f>
        <v>104.38</v>
      </c>
      <c r="C401">
        <f>VLOOKUP($A401,'STOCK DATA'!$A$2:H$521,3,FALSE)</f>
        <v>1512.9</v>
      </c>
      <c r="D401">
        <f>VLOOKUP($A401,'STOCK DATA'!$A$2:$H$521,3,FALSE)</f>
        <v>1512.9</v>
      </c>
      <c r="E401">
        <f>VLOOKUP($A401,'STOCK DATA'!$A$2:$H$521,3,FALSE)</f>
        <v>1512.9</v>
      </c>
      <c r="F401">
        <f>VLOOKUP($A401,'STOCK DATA'!$A$2:$H$521,3,FALSE)</f>
        <v>1512.9</v>
      </c>
      <c r="G401">
        <f>VLOOKUP($A401,'STOCK DATA'!$A$2:$H$521,3,FALSE)</f>
        <v>1512.9</v>
      </c>
      <c r="H401">
        <f>VLOOKUP($A401,'STOCK DATA'!$A$2:$H$521,3,FALSE)</f>
        <v>1512.9</v>
      </c>
      <c r="I401">
        <f>VLOOKUP(A401,'Short-term interest Rates daily'!$A:$E,2,FALSE)</f>
        <v>16.829999999999998</v>
      </c>
      <c r="J401">
        <f>VLOOKUP(A401,'Short-term interest Rates daily'!$A:$E,3,FALSE)</f>
        <v>7.28</v>
      </c>
      <c r="K401">
        <f>VLOOKUP(A401,'Short-term interest Rates daily'!$A:$E,4,FALSE)</f>
        <v>10.62</v>
      </c>
      <c r="L401">
        <f>VLOOKUP(A401,'Short-term interest Rates daily'!$A:$E,5,FALSE)</f>
        <v>5.63</v>
      </c>
    </row>
    <row r="402" spans="1:12" x14ac:dyDescent="0.3">
      <c r="A402" s="1">
        <v>31813</v>
      </c>
      <c r="B402">
        <f>VLOOKUP(A402,'STOCK DATA'!$A$2:$H$522,2,FALSE)</f>
        <v>105.04</v>
      </c>
      <c r="C402">
        <f>VLOOKUP($A402,'STOCK DATA'!$A$2:H$521,3,FALSE)</f>
        <v>1533.4</v>
      </c>
      <c r="D402">
        <f>VLOOKUP($A402,'STOCK DATA'!$A$2:$H$521,3,FALSE)</f>
        <v>1533.4</v>
      </c>
      <c r="E402">
        <f>VLOOKUP($A402,'STOCK DATA'!$A$2:$H$521,3,FALSE)</f>
        <v>1533.4</v>
      </c>
      <c r="F402">
        <f>VLOOKUP($A402,'STOCK DATA'!$A$2:$H$521,3,FALSE)</f>
        <v>1533.4</v>
      </c>
      <c r="G402">
        <f>VLOOKUP($A402,'STOCK DATA'!$A$2:$H$521,3,FALSE)</f>
        <v>1533.4</v>
      </c>
      <c r="H402">
        <f>VLOOKUP($A402,'STOCK DATA'!$A$2:$H$521,3,FALSE)</f>
        <v>1533.4</v>
      </c>
      <c r="I402">
        <f>VLOOKUP(A402,'Short-term interest Rates daily'!$A:$E,2,FALSE)</f>
        <v>16.579999999999998</v>
      </c>
      <c r="J402">
        <f>VLOOKUP(A402,'Short-term interest Rates daily'!$A:$E,3,FALSE)</f>
        <v>7.29</v>
      </c>
      <c r="K402">
        <f>VLOOKUP(A402,'Short-term interest Rates daily'!$A:$E,4,FALSE)</f>
        <v>10.6</v>
      </c>
      <c r="L402">
        <f>VLOOKUP(A402,'Short-term interest Rates daily'!$A:$E,5,FALSE)</f>
        <v>5.59</v>
      </c>
    </row>
    <row r="403" spans="1:12" x14ac:dyDescent="0.3">
      <c r="A403" s="1">
        <v>31814</v>
      </c>
      <c r="B403">
        <f>VLOOKUP(A403,'STOCK DATA'!$A$2:$H$522,2,FALSE)</f>
        <v>105.14</v>
      </c>
      <c r="C403">
        <f>VLOOKUP($A403,'STOCK DATA'!$A$2:H$521,3,FALSE)</f>
        <v>1539.2</v>
      </c>
      <c r="D403">
        <f>VLOOKUP($A403,'STOCK DATA'!$A$2:$H$521,3,FALSE)</f>
        <v>1539.2</v>
      </c>
      <c r="E403">
        <f>VLOOKUP($A403,'STOCK DATA'!$A$2:$H$521,3,FALSE)</f>
        <v>1539.2</v>
      </c>
      <c r="F403">
        <f>VLOOKUP($A403,'STOCK DATA'!$A$2:$H$521,3,FALSE)</f>
        <v>1539.2</v>
      </c>
      <c r="G403">
        <f>VLOOKUP($A403,'STOCK DATA'!$A$2:$H$521,3,FALSE)</f>
        <v>1539.2</v>
      </c>
      <c r="H403">
        <f>VLOOKUP($A403,'STOCK DATA'!$A$2:$H$521,3,FALSE)</f>
        <v>1539.2</v>
      </c>
      <c r="I403">
        <f>VLOOKUP(A403,'Short-term interest Rates daily'!$A:$E,2,FALSE)</f>
        <v>16.38</v>
      </c>
      <c r="J403">
        <f>VLOOKUP(A403,'Short-term interest Rates daily'!$A:$E,3,FALSE)</f>
        <v>7.29</v>
      </c>
      <c r="K403">
        <f>VLOOKUP(A403,'Short-term interest Rates daily'!$A:$E,4,FALSE)</f>
        <v>10.5</v>
      </c>
      <c r="L403">
        <f>VLOOKUP(A403,'Short-term interest Rates daily'!$A:$E,5,FALSE)</f>
        <v>5.66</v>
      </c>
    </row>
    <row r="404" spans="1:12" x14ac:dyDescent="0.3">
      <c r="A404" s="1">
        <v>31815</v>
      </c>
      <c r="B404" t="e">
        <f>VLOOKUP(A404,'STOCK DATA'!$A$2:$H$522,2,FALSE)</f>
        <v>#N/A</v>
      </c>
      <c r="C404" t="e">
        <f>VLOOKUP($A404,'STOCK DATA'!$A$2:H$521,3,FALSE)</f>
        <v>#N/A</v>
      </c>
      <c r="D404" t="e">
        <f>VLOOKUP($A404,'STOCK DATA'!$A$2:$H$521,3,FALSE)</f>
        <v>#N/A</v>
      </c>
      <c r="E404" t="e">
        <f>VLOOKUP($A404,'STOCK DATA'!$A$2:$H$521,3,FALSE)</f>
        <v>#N/A</v>
      </c>
      <c r="F404" t="e">
        <f>VLOOKUP($A404,'STOCK DATA'!$A$2:$H$521,3,FALSE)</f>
        <v>#N/A</v>
      </c>
      <c r="G404" t="e">
        <f>VLOOKUP($A404,'STOCK DATA'!$A$2:$H$521,3,FALSE)</f>
        <v>#N/A</v>
      </c>
      <c r="H404" t="e">
        <f>VLOOKUP($A404,'STOCK DATA'!$A$2:$H$521,3,FALSE)</f>
        <v>#N/A</v>
      </c>
      <c r="I404" t="e">
        <f>VLOOKUP(A404,'Short-term interest Rates daily'!$A:$E,2,FALSE)</f>
        <v>#N/A</v>
      </c>
      <c r="J404" t="e">
        <f>VLOOKUP(A404,'Short-term interest Rates daily'!$A:$E,3,FALSE)</f>
        <v>#N/A</v>
      </c>
      <c r="K404" t="e">
        <f>VLOOKUP(A404,'Short-term interest Rates daily'!$A:$E,4,FALSE)</f>
        <v>#N/A</v>
      </c>
      <c r="L404" t="e">
        <f>VLOOKUP(A404,'Short-term interest Rates daily'!$A:$E,5,FALSE)</f>
        <v>#N/A</v>
      </c>
    </row>
    <row r="405" spans="1:12" x14ac:dyDescent="0.3">
      <c r="A405" s="1">
        <v>31816</v>
      </c>
      <c r="B405" t="e">
        <f>VLOOKUP(A405,'STOCK DATA'!$A$2:$H$522,2,FALSE)</f>
        <v>#N/A</v>
      </c>
      <c r="C405" t="e">
        <f>VLOOKUP($A405,'STOCK DATA'!$A$2:H$521,3,FALSE)</f>
        <v>#N/A</v>
      </c>
      <c r="D405" t="e">
        <f>VLOOKUP($A405,'STOCK DATA'!$A$2:$H$521,3,FALSE)</f>
        <v>#N/A</v>
      </c>
      <c r="E405" t="e">
        <f>VLOOKUP($A405,'STOCK DATA'!$A$2:$H$521,3,FALSE)</f>
        <v>#N/A</v>
      </c>
      <c r="F405" t="e">
        <f>VLOOKUP($A405,'STOCK DATA'!$A$2:$H$521,3,FALSE)</f>
        <v>#N/A</v>
      </c>
      <c r="G405" t="e">
        <f>VLOOKUP($A405,'STOCK DATA'!$A$2:$H$521,3,FALSE)</f>
        <v>#N/A</v>
      </c>
      <c r="H405" t="e">
        <f>VLOOKUP($A405,'STOCK DATA'!$A$2:$H$521,3,FALSE)</f>
        <v>#N/A</v>
      </c>
      <c r="I405" t="e">
        <f>VLOOKUP(A405,'Short-term interest Rates daily'!$A:$E,2,FALSE)</f>
        <v>#N/A</v>
      </c>
      <c r="J405" t="e">
        <f>VLOOKUP(A405,'Short-term interest Rates daily'!$A:$E,3,FALSE)</f>
        <v>#N/A</v>
      </c>
      <c r="K405" t="e">
        <f>VLOOKUP(A405,'Short-term interest Rates daily'!$A:$E,4,FALSE)</f>
        <v>#N/A</v>
      </c>
      <c r="L405" t="e">
        <f>VLOOKUP(A405,'Short-term interest Rates daily'!$A:$E,5,FALSE)</f>
        <v>#N/A</v>
      </c>
    </row>
    <row r="406" spans="1:12" x14ac:dyDescent="0.3">
      <c r="A406" s="1">
        <v>31817</v>
      </c>
      <c r="B406">
        <f>VLOOKUP(A406,'STOCK DATA'!$A$2:$H$522,2,FALSE)</f>
        <v>103.85</v>
      </c>
      <c r="C406">
        <f>VLOOKUP($A406,'STOCK DATA'!$A$2:H$521,3,FALSE)</f>
        <v>1554.7</v>
      </c>
      <c r="D406">
        <f>VLOOKUP($A406,'STOCK DATA'!$A$2:$H$521,3,FALSE)</f>
        <v>1554.7</v>
      </c>
      <c r="E406">
        <f>VLOOKUP($A406,'STOCK DATA'!$A$2:$H$521,3,FALSE)</f>
        <v>1554.7</v>
      </c>
      <c r="F406">
        <f>VLOOKUP($A406,'STOCK DATA'!$A$2:$H$521,3,FALSE)</f>
        <v>1554.7</v>
      </c>
      <c r="G406">
        <f>VLOOKUP($A406,'STOCK DATA'!$A$2:$H$521,3,FALSE)</f>
        <v>1554.7</v>
      </c>
      <c r="H406">
        <f>VLOOKUP($A406,'STOCK DATA'!$A$2:$H$521,3,FALSE)</f>
        <v>1554.7</v>
      </c>
      <c r="I406">
        <f>VLOOKUP(A406,'Short-term interest Rates daily'!$A:$E,2,FALSE)</f>
        <v>16.8</v>
      </c>
      <c r="J406">
        <f>VLOOKUP(A406,'Short-term interest Rates daily'!$A:$E,3,FALSE)</f>
        <v>7.32</v>
      </c>
      <c r="K406">
        <f>VLOOKUP(A406,'Short-term interest Rates daily'!$A:$E,4,FALSE)</f>
        <v>10.56</v>
      </c>
      <c r="L406">
        <f>VLOOKUP(A406,'Short-term interest Rates daily'!$A:$E,5,FALSE)</f>
        <v>5.72</v>
      </c>
    </row>
    <row r="407" spans="1:12" x14ac:dyDescent="0.3">
      <c r="A407" s="1">
        <v>31818</v>
      </c>
      <c r="B407">
        <f>VLOOKUP(A407,'STOCK DATA'!$A$2:$H$522,2,FALSE)</f>
        <v>103.82</v>
      </c>
      <c r="C407">
        <f>VLOOKUP($A407,'STOCK DATA'!$A$2:H$521,3,FALSE)</f>
        <v>1553.7</v>
      </c>
      <c r="D407">
        <f>VLOOKUP($A407,'STOCK DATA'!$A$2:$H$521,3,FALSE)</f>
        <v>1553.7</v>
      </c>
      <c r="E407">
        <f>VLOOKUP($A407,'STOCK DATA'!$A$2:$H$521,3,FALSE)</f>
        <v>1553.7</v>
      </c>
      <c r="F407">
        <f>VLOOKUP($A407,'STOCK DATA'!$A$2:$H$521,3,FALSE)</f>
        <v>1553.7</v>
      </c>
      <c r="G407">
        <f>VLOOKUP($A407,'STOCK DATA'!$A$2:$H$521,3,FALSE)</f>
        <v>1553.7</v>
      </c>
      <c r="H407">
        <f>VLOOKUP($A407,'STOCK DATA'!$A$2:$H$521,3,FALSE)</f>
        <v>1553.7</v>
      </c>
      <c r="I407">
        <f>VLOOKUP(A407,'Short-term interest Rates daily'!$A:$E,2,FALSE)</f>
        <v>16.850000000000001</v>
      </c>
      <c r="J407">
        <f>VLOOKUP(A407,'Short-term interest Rates daily'!$A:$E,3,FALSE)</f>
        <v>7.36</v>
      </c>
      <c r="K407">
        <f>VLOOKUP(A407,'Short-term interest Rates daily'!$A:$E,4,FALSE)</f>
        <v>10.58</v>
      </c>
      <c r="L407">
        <f>VLOOKUP(A407,'Short-term interest Rates daily'!$A:$E,5,FALSE)</f>
        <v>5.82</v>
      </c>
    </row>
    <row r="408" spans="1:12" x14ac:dyDescent="0.3">
      <c r="A408" s="1">
        <v>31819</v>
      </c>
      <c r="B408">
        <f>VLOOKUP(A408,'STOCK DATA'!$A$2:$H$522,2,FALSE)</f>
        <v>104.74</v>
      </c>
      <c r="C408">
        <f>VLOOKUP($A408,'STOCK DATA'!$A$2:H$521,3,FALSE)</f>
        <v>1559.9</v>
      </c>
      <c r="D408">
        <f>VLOOKUP($A408,'STOCK DATA'!$A$2:$H$521,3,FALSE)</f>
        <v>1559.9</v>
      </c>
      <c r="E408">
        <f>VLOOKUP($A408,'STOCK DATA'!$A$2:$H$521,3,FALSE)</f>
        <v>1559.9</v>
      </c>
      <c r="F408">
        <f>VLOOKUP($A408,'STOCK DATA'!$A$2:$H$521,3,FALSE)</f>
        <v>1559.9</v>
      </c>
      <c r="G408">
        <f>VLOOKUP($A408,'STOCK DATA'!$A$2:$H$521,3,FALSE)</f>
        <v>1559.9</v>
      </c>
      <c r="H408">
        <f>VLOOKUP($A408,'STOCK DATA'!$A$2:$H$521,3,FALSE)</f>
        <v>1559.9</v>
      </c>
      <c r="I408">
        <f>VLOOKUP(A408,'Short-term interest Rates daily'!$A:$E,2,FALSE)</f>
        <v>16.350000000000001</v>
      </c>
      <c r="J408">
        <f>VLOOKUP(A408,'Short-term interest Rates daily'!$A:$E,3,FALSE)</f>
        <v>7.37</v>
      </c>
      <c r="K408">
        <f>VLOOKUP(A408,'Short-term interest Rates daily'!$A:$E,4,FALSE)</f>
        <v>10.58</v>
      </c>
      <c r="L408">
        <f>VLOOKUP(A408,'Short-term interest Rates daily'!$A:$E,5,FALSE)</f>
        <v>5.86</v>
      </c>
    </row>
    <row r="409" spans="1:12" x14ac:dyDescent="0.3">
      <c r="A409" s="1">
        <v>31820</v>
      </c>
      <c r="B409">
        <f>VLOOKUP(A409,'STOCK DATA'!$A$2:$H$522,2,FALSE)</f>
        <v>105.92</v>
      </c>
      <c r="C409">
        <f>VLOOKUP($A409,'STOCK DATA'!$A$2:H$521,3,FALSE)</f>
        <v>1574.8</v>
      </c>
      <c r="D409">
        <f>VLOOKUP($A409,'STOCK DATA'!$A$2:$H$521,3,FALSE)</f>
        <v>1574.8</v>
      </c>
      <c r="E409">
        <f>VLOOKUP($A409,'STOCK DATA'!$A$2:$H$521,3,FALSE)</f>
        <v>1574.8</v>
      </c>
      <c r="F409">
        <f>VLOOKUP($A409,'STOCK DATA'!$A$2:$H$521,3,FALSE)</f>
        <v>1574.8</v>
      </c>
      <c r="G409">
        <f>VLOOKUP($A409,'STOCK DATA'!$A$2:$H$521,3,FALSE)</f>
        <v>1574.8</v>
      </c>
      <c r="H409">
        <f>VLOOKUP($A409,'STOCK DATA'!$A$2:$H$521,3,FALSE)</f>
        <v>1574.8</v>
      </c>
      <c r="I409">
        <f>VLOOKUP(A409,'Short-term interest Rates daily'!$A:$E,2,FALSE)</f>
        <v>16.13</v>
      </c>
      <c r="J409">
        <f>VLOOKUP(A409,'Short-term interest Rates daily'!$A:$E,3,FALSE)</f>
        <v>7.52</v>
      </c>
      <c r="K409">
        <f>VLOOKUP(A409,'Short-term interest Rates daily'!$A:$E,4,FALSE)</f>
        <v>10.59</v>
      </c>
      <c r="L409">
        <f>VLOOKUP(A409,'Short-term interest Rates daily'!$A:$E,5,FALSE)</f>
        <v>5.72</v>
      </c>
    </row>
    <row r="410" spans="1:12" x14ac:dyDescent="0.3">
      <c r="A410" s="1">
        <v>31821</v>
      </c>
      <c r="B410">
        <f>VLOOKUP(A410,'STOCK DATA'!$A$2:$H$522,2,FALSE)</f>
        <v>105.68</v>
      </c>
      <c r="C410">
        <f>VLOOKUP($A410,'STOCK DATA'!$A$2:H$521,3,FALSE)</f>
        <v>1575.8</v>
      </c>
      <c r="D410">
        <f>VLOOKUP($A410,'STOCK DATA'!$A$2:$H$521,3,FALSE)</f>
        <v>1575.8</v>
      </c>
      <c r="E410">
        <f>VLOOKUP($A410,'STOCK DATA'!$A$2:$H$521,3,FALSE)</f>
        <v>1575.8</v>
      </c>
      <c r="F410">
        <f>VLOOKUP($A410,'STOCK DATA'!$A$2:$H$521,3,FALSE)</f>
        <v>1575.8</v>
      </c>
      <c r="G410">
        <f>VLOOKUP($A410,'STOCK DATA'!$A$2:$H$521,3,FALSE)</f>
        <v>1575.8</v>
      </c>
      <c r="H410">
        <f>VLOOKUP($A410,'STOCK DATA'!$A$2:$H$521,3,FALSE)</f>
        <v>1575.8</v>
      </c>
      <c r="I410">
        <f>VLOOKUP(A410,'Short-term interest Rates daily'!$A:$E,2,FALSE)</f>
        <v>15.85</v>
      </c>
      <c r="J410">
        <f>VLOOKUP(A410,'Short-term interest Rates daily'!$A:$E,3,FALSE)</f>
        <v>7.42</v>
      </c>
      <c r="K410">
        <f>VLOOKUP(A410,'Short-term interest Rates daily'!$A:$E,4,FALSE)</f>
        <v>10.59</v>
      </c>
      <c r="L410">
        <f>VLOOKUP(A410,'Short-term interest Rates daily'!$A:$E,5,FALSE)</f>
        <v>5.65</v>
      </c>
    </row>
    <row r="411" spans="1:12" x14ac:dyDescent="0.3">
      <c r="A411" s="1">
        <v>31822</v>
      </c>
      <c r="B411" t="e">
        <f>VLOOKUP(A411,'STOCK DATA'!$A$2:$H$522,2,FALSE)</f>
        <v>#N/A</v>
      </c>
      <c r="C411" t="e">
        <f>VLOOKUP($A411,'STOCK DATA'!$A$2:H$521,3,FALSE)</f>
        <v>#N/A</v>
      </c>
      <c r="D411" t="e">
        <f>VLOOKUP($A411,'STOCK DATA'!$A$2:$H$521,3,FALSE)</f>
        <v>#N/A</v>
      </c>
      <c r="E411" t="e">
        <f>VLOOKUP($A411,'STOCK DATA'!$A$2:$H$521,3,FALSE)</f>
        <v>#N/A</v>
      </c>
      <c r="F411" t="e">
        <f>VLOOKUP($A411,'STOCK DATA'!$A$2:$H$521,3,FALSE)</f>
        <v>#N/A</v>
      </c>
      <c r="G411" t="e">
        <f>VLOOKUP($A411,'STOCK DATA'!$A$2:$H$521,3,FALSE)</f>
        <v>#N/A</v>
      </c>
      <c r="H411" t="e">
        <f>VLOOKUP($A411,'STOCK DATA'!$A$2:$H$521,3,FALSE)</f>
        <v>#N/A</v>
      </c>
      <c r="I411" t="e">
        <f>VLOOKUP(A411,'Short-term interest Rates daily'!$A:$E,2,FALSE)</f>
        <v>#N/A</v>
      </c>
      <c r="J411" t="e">
        <f>VLOOKUP(A411,'Short-term interest Rates daily'!$A:$E,3,FALSE)</f>
        <v>#N/A</v>
      </c>
      <c r="K411" t="e">
        <f>VLOOKUP(A411,'Short-term interest Rates daily'!$A:$E,4,FALSE)</f>
        <v>#N/A</v>
      </c>
      <c r="L411" t="e">
        <f>VLOOKUP(A411,'Short-term interest Rates daily'!$A:$E,5,FALSE)</f>
        <v>#N/A</v>
      </c>
    </row>
    <row r="412" spans="1:12" x14ac:dyDescent="0.3">
      <c r="A412" s="1">
        <v>31823</v>
      </c>
      <c r="B412" t="e">
        <f>VLOOKUP(A412,'STOCK DATA'!$A$2:$H$522,2,FALSE)</f>
        <v>#N/A</v>
      </c>
      <c r="C412" t="e">
        <f>VLOOKUP($A412,'STOCK DATA'!$A$2:H$521,3,FALSE)</f>
        <v>#N/A</v>
      </c>
      <c r="D412" t="e">
        <f>VLOOKUP($A412,'STOCK DATA'!$A$2:$H$521,3,FALSE)</f>
        <v>#N/A</v>
      </c>
      <c r="E412" t="e">
        <f>VLOOKUP($A412,'STOCK DATA'!$A$2:$H$521,3,FALSE)</f>
        <v>#N/A</v>
      </c>
      <c r="F412" t="e">
        <f>VLOOKUP($A412,'STOCK DATA'!$A$2:$H$521,3,FALSE)</f>
        <v>#N/A</v>
      </c>
      <c r="G412" t="e">
        <f>VLOOKUP($A412,'STOCK DATA'!$A$2:$H$521,3,FALSE)</f>
        <v>#N/A</v>
      </c>
      <c r="H412" t="e">
        <f>VLOOKUP($A412,'STOCK DATA'!$A$2:$H$521,3,FALSE)</f>
        <v>#N/A</v>
      </c>
      <c r="I412" t="e">
        <f>VLOOKUP(A412,'Short-term interest Rates daily'!$A:$E,2,FALSE)</f>
        <v>#N/A</v>
      </c>
      <c r="J412" t="e">
        <f>VLOOKUP(A412,'Short-term interest Rates daily'!$A:$E,3,FALSE)</f>
        <v>#N/A</v>
      </c>
      <c r="K412" t="e">
        <f>VLOOKUP(A412,'Short-term interest Rates daily'!$A:$E,4,FALSE)</f>
        <v>#N/A</v>
      </c>
      <c r="L412" t="e">
        <f>VLOOKUP(A412,'Short-term interest Rates daily'!$A:$E,5,FALSE)</f>
        <v>#N/A</v>
      </c>
    </row>
    <row r="413" spans="1:12" x14ac:dyDescent="0.3">
      <c r="A413" s="1">
        <v>31824</v>
      </c>
      <c r="B413">
        <f>VLOOKUP(A413,'STOCK DATA'!$A$2:$H$522,2,FALSE)</f>
        <v>105.35</v>
      </c>
      <c r="C413">
        <f>VLOOKUP($A413,'STOCK DATA'!$A$2:H$521,3,FALSE)</f>
        <v>1573.9</v>
      </c>
      <c r="D413">
        <f>VLOOKUP($A413,'STOCK DATA'!$A$2:$H$521,3,FALSE)</f>
        <v>1573.9</v>
      </c>
      <c r="E413">
        <f>VLOOKUP($A413,'STOCK DATA'!$A$2:$H$521,3,FALSE)</f>
        <v>1573.9</v>
      </c>
      <c r="F413">
        <f>VLOOKUP($A413,'STOCK DATA'!$A$2:$H$521,3,FALSE)</f>
        <v>1573.9</v>
      </c>
      <c r="G413">
        <f>VLOOKUP($A413,'STOCK DATA'!$A$2:$H$521,3,FALSE)</f>
        <v>1573.9</v>
      </c>
      <c r="H413">
        <f>VLOOKUP($A413,'STOCK DATA'!$A$2:$H$521,3,FALSE)</f>
        <v>1573.9</v>
      </c>
      <c r="I413">
        <f>VLOOKUP(A413,'Short-term interest Rates daily'!$A:$E,2,FALSE)</f>
        <v>16.149999999999999</v>
      </c>
      <c r="J413">
        <f>VLOOKUP(A413,'Short-term interest Rates daily'!$A:$E,3,FALSE)</f>
        <v>7.44</v>
      </c>
      <c r="K413">
        <f>VLOOKUP(A413,'Short-term interest Rates daily'!$A:$E,4,FALSE)</f>
        <v>10.55</v>
      </c>
      <c r="L413">
        <f>VLOOKUP(A413,'Short-term interest Rates daily'!$A:$E,5,FALSE)</f>
        <v>0</v>
      </c>
    </row>
    <row r="414" spans="1:12" x14ac:dyDescent="0.3">
      <c r="A414" s="1">
        <v>31825</v>
      </c>
      <c r="B414">
        <f>VLOOKUP(A414,'STOCK DATA'!$A$2:$H$522,2,FALSE)</f>
        <v>106.08</v>
      </c>
      <c r="C414">
        <f>VLOOKUP($A414,'STOCK DATA'!$A$2:H$521,3,FALSE)</f>
        <v>1573.2</v>
      </c>
      <c r="D414">
        <f>VLOOKUP($A414,'STOCK DATA'!$A$2:$H$521,3,FALSE)</f>
        <v>1573.2</v>
      </c>
      <c r="E414">
        <f>VLOOKUP($A414,'STOCK DATA'!$A$2:$H$521,3,FALSE)</f>
        <v>1573.2</v>
      </c>
      <c r="F414">
        <f>VLOOKUP($A414,'STOCK DATA'!$A$2:$H$521,3,FALSE)</f>
        <v>1573.2</v>
      </c>
      <c r="G414">
        <f>VLOOKUP($A414,'STOCK DATA'!$A$2:$H$521,3,FALSE)</f>
        <v>1573.2</v>
      </c>
      <c r="H414">
        <f>VLOOKUP($A414,'STOCK DATA'!$A$2:$H$521,3,FALSE)</f>
        <v>1573.2</v>
      </c>
      <c r="I414">
        <f>VLOOKUP(A414,'Short-term interest Rates daily'!$A:$E,2,FALSE)</f>
        <v>16.75</v>
      </c>
      <c r="J414">
        <f>VLOOKUP(A414,'Short-term interest Rates daily'!$A:$E,3,FALSE)</f>
        <v>7.39</v>
      </c>
      <c r="K414">
        <f>VLOOKUP(A414,'Short-term interest Rates daily'!$A:$E,4,FALSE)</f>
        <v>10.56</v>
      </c>
      <c r="L414">
        <f>VLOOKUP(A414,'Short-term interest Rates daily'!$A:$E,5,FALSE)</f>
        <v>5.72</v>
      </c>
    </row>
    <row r="415" spans="1:12" x14ac:dyDescent="0.3">
      <c r="A415" s="1">
        <v>31826</v>
      </c>
      <c r="B415">
        <f>VLOOKUP(A415,'STOCK DATA'!$A$2:$H$522,2,FALSE)</f>
        <v>106.8</v>
      </c>
      <c r="C415">
        <f>VLOOKUP($A415,'STOCK DATA'!$A$2:H$521,3,FALSE)</f>
        <v>1578.7</v>
      </c>
      <c r="D415">
        <f>VLOOKUP($A415,'STOCK DATA'!$A$2:$H$521,3,FALSE)</f>
        <v>1578.7</v>
      </c>
      <c r="E415">
        <f>VLOOKUP($A415,'STOCK DATA'!$A$2:$H$521,3,FALSE)</f>
        <v>1578.7</v>
      </c>
      <c r="F415">
        <f>VLOOKUP($A415,'STOCK DATA'!$A$2:$H$521,3,FALSE)</f>
        <v>1578.7</v>
      </c>
      <c r="G415">
        <f>VLOOKUP($A415,'STOCK DATA'!$A$2:$H$521,3,FALSE)</f>
        <v>1578.7</v>
      </c>
      <c r="H415">
        <f>VLOOKUP($A415,'STOCK DATA'!$A$2:$H$521,3,FALSE)</f>
        <v>1578.7</v>
      </c>
      <c r="I415">
        <f>VLOOKUP(A415,'Short-term interest Rates daily'!$A:$E,2,FALSE)</f>
        <v>16.8</v>
      </c>
      <c r="J415">
        <f>VLOOKUP(A415,'Short-term interest Rates daily'!$A:$E,3,FALSE)</f>
        <v>7.37</v>
      </c>
      <c r="K415">
        <f>VLOOKUP(A415,'Short-term interest Rates daily'!$A:$E,4,FALSE)</f>
        <v>10.31</v>
      </c>
      <c r="L415">
        <f>VLOOKUP(A415,'Short-term interest Rates daily'!$A:$E,5,FALSE)</f>
        <v>5.6</v>
      </c>
    </row>
    <row r="416" spans="1:12" x14ac:dyDescent="0.3">
      <c r="A416" s="1">
        <v>31827</v>
      </c>
      <c r="B416">
        <f>VLOOKUP(A416,'STOCK DATA'!$A$2:$H$522,2,FALSE)</f>
        <v>107.31</v>
      </c>
      <c r="C416">
        <f>VLOOKUP($A416,'STOCK DATA'!$A$2:H$521,3,FALSE)</f>
        <v>1589.6</v>
      </c>
      <c r="D416">
        <f>VLOOKUP($A416,'STOCK DATA'!$A$2:$H$521,3,FALSE)</f>
        <v>1589.6</v>
      </c>
      <c r="E416">
        <f>VLOOKUP($A416,'STOCK DATA'!$A$2:$H$521,3,FALSE)</f>
        <v>1589.6</v>
      </c>
      <c r="F416">
        <f>VLOOKUP($A416,'STOCK DATA'!$A$2:$H$521,3,FALSE)</f>
        <v>1589.6</v>
      </c>
      <c r="G416">
        <f>VLOOKUP($A416,'STOCK DATA'!$A$2:$H$521,3,FALSE)</f>
        <v>1589.6</v>
      </c>
      <c r="H416">
        <f>VLOOKUP($A416,'STOCK DATA'!$A$2:$H$521,3,FALSE)</f>
        <v>1589.6</v>
      </c>
      <c r="I416">
        <f>VLOOKUP(A416,'Short-term interest Rates daily'!$A:$E,2,FALSE)</f>
        <v>16.3</v>
      </c>
      <c r="J416">
        <f>VLOOKUP(A416,'Short-term interest Rates daily'!$A:$E,3,FALSE)</f>
        <v>7.36</v>
      </c>
      <c r="K416">
        <f>VLOOKUP(A416,'Short-term interest Rates daily'!$A:$E,4,FALSE)</f>
        <v>10.130000000000001</v>
      </c>
      <c r="L416">
        <f>VLOOKUP(A416,'Short-term interest Rates daily'!$A:$E,5,FALSE)</f>
        <v>5.45</v>
      </c>
    </row>
    <row r="417" spans="1:12" x14ac:dyDescent="0.3">
      <c r="A417" s="1">
        <v>31828</v>
      </c>
      <c r="B417">
        <f>VLOOKUP(A417,'STOCK DATA'!$A$2:$H$522,2,FALSE)</f>
        <v>107.99</v>
      </c>
      <c r="C417">
        <f>VLOOKUP($A417,'STOCK DATA'!$A$2:H$521,3,FALSE)</f>
        <v>1605.3</v>
      </c>
      <c r="D417">
        <f>VLOOKUP($A417,'STOCK DATA'!$A$2:$H$521,3,FALSE)</f>
        <v>1605.3</v>
      </c>
      <c r="E417">
        <f>VLOOKUP($A417,'STOCK DATA'!$A$2:$H$521,3,FALSE)</f>
        <v>1605.3</v>
      </c>
      <c r="F417">
        <f>VLOOKUP($A417,'STOCK DATA'!$A$2:$H$521,3,FALSE)</f>
        <v>1605.3</v>
      </c>
      <c r="G417">
        <f>VLOOKUP($A417,'STOCK DATA'!$A$2:$H$521,3,FALSE)</f>
        <v>1605.3</v>
      </c>
      <c r="H417">
        <f>VLOOKUP($A417,'STOCK DATA'!$A$2:$H$521,3,FALSE)</f>
        <v>1605.3</v>
      </c>
      <c r="I417">
        <f>VLOOKUP(A417,'Short-term interest Rates daily'!$A:$E,2,FALSE)</f>
        <v>16.25</v>
      </c>
      <c r="J417">
        <f>VLOOKUP(A417,'Short-term interest Rates daily'!$A:$E,3,FALSE)</f>
        <v>7.31</v>
      </c>
      <c r="K417">
        <f>VLOOKUP(A417,'Short-term interest Rates daily'!$A:$E,4,FALSE)</f>
        <v>10.28</v>
      </c>
      <c r="L417">
        <f>VLOOKUP(A417,'Short-term interest Rates daily'!$A:$E,5,FALSE)</f>
        <v>5.43</v>
      </c>
    </row>
    <row r="418" spans="1:12" x14ac:dyDescent="0.3">
      <c r="A418" s="1">
        <v>31829</v>
      </c>
      <c r="B418" t="e">
        <f>VLOOKUP(A418,'STOCK DATA'!$A$2:$H$522,2,FALSE)</f>
        <v>#N/A</v>
      </c>
      <c r="C418" t="e">
        <f>VLOOKUP($A418,'STOCK DATA'!$A$2:H$521,3,FALSE)</f>
        <v>#N/A</v>
      </c>
      <c r="D418" t="e">
        <f>VLOOKUP($A418,'STOCK DATA'!$A$2:$H$521,3,FALSE)</f>
        <v>#N/A</v>
      </c>
      <c r="E418" t="e">
        <f>VLOOKUP($A418,'STOCK DATA'!$A$2:$H$521,3,FALSE)</f>
        <v>#N/A</v>
      </c>
      <c r="F418" t="e">
        <f>VLOOKUP($A418,'STOCK DATA'!$A$2:$H$521,3,FALSE)</f>
        <v>#N/A</v>
      </c>
      <c r="G418" t="e">
        <f>VLOOKUP($A418,'STOCK DATA'!$A$2:$H$521,3,FALSE)</f>
        <v>#N/A</v>
      </c>
      <c r="H418" t="e">
        <f>VLOOKUP($A418,'STOCK DATA'!$A$2:$H$521,3,FALSE)</f>
        <v>#N/A</v>
      </c>
      <c r="I418" t="e">
        <f>VLOOKUP(A418,'Short-term interest Rates daily'!$A:$E,2,FALSE)</f>
        <v>#N/A</v>
      </c>
      <c r="J418" t="e">
        <f>VLOOKUP(A418,'Short-term interest Rates daily'!$A:$E,3,FALSE)</f>
        <v>#N/A</v>
      </c>
      <c r="K418" t="e">
        <f>VLOOKUP(A418,'Short-term interest Rates daily'!$A:$E,4,FALSE)</f>
        <v>#N/A</v>
      </c>
      <c r="L418" t="e">
        <f>VLOOKUP(A418,'Short-term interest Rates daily'!$A:$E,5,FALSE)</f>
        <v>#N/A</v>
      </c>
    </row>
    <row r="419" spans="1:12" x14ac:dyDescent="0.3">
      <c r="A419" s="1">
        <v>31830</v>
      </c>
      <c r="B419" t="e">
        <f>VLOOKUP(A419,'STOCK DATA'!$A$2:$H$522,2,FALSE)</f>
        <v>#N/A</v>
      </c>
      <c r="C419" t="e">
        <f>VLOOKUP($A419,'STOCK DATA'!$A$2:H$521,3,FALSE)</f>
        <v>#N/A</v>
      </c>
      <c r="D419" t="e">
        <f>VLOOKUP($A419,'STOCK DATA'!$A$2:$H$521,3,FALSE)</f>
        <v>#N/A</v>
      </c>
      <c r="E419" t="e">
        <f>VLOOKUP($A419,'STOCK DATA'!$A$2:$H$521,3,FALSE)</f>
        <v>#N/A</v>
      </c>
      <c r="F419" t="e">
        <f>VLOOKUP($A419,'STOCK DATA'!$A$2:$H$521,3,FALSE)</f>
        <v>#N/A</v>
      </c>
      <c r="G419" t="e">
        <f>VLOOKUP($A419,'STOCK DATA'!$A$2:$H$521,3,FALSE)</f>
        <v>#N/A</v>
      </c>
      <c r="H419" t="e">
        <f>VLOOKUP($A419,'STOCK DATA'!$A$2:$H$521,3,FALSE)</f>
        <v>#N/A</v>
      </c>
      <c r="I419" t="e">
        <f>VLOOKUP(A419,'Short-term interest Rates daily'!$A:$E,2,FALSE)</f>
        <v>#N/A</v>
      </c>
      <c r="J419" t="e">
        <f>VLOOKUP(A419,'Short-term interest Rates daily'!$A:$E,3,FALSE)</f>
        <v>#N/A</v>
      </c>
      <c r="K419" t="e">
        <f>VLOOKUP(A419,'Short-term interest Rates daily'!$A:$E,4,FALSE)</f>
        <v>#N/A</v>
      </c>
      <c r="L419" t="e">
        <f>VLOOKUP(A419,'Short-term interest Rates daily'!$A:$E,5,FALSE)</f>
        <v>#N/A</v>
      </c>
    </row>
    <row r="420" spans="1:12" x14ac:dyDescent="0.3">
      <c r="A420" s="1">
        <v>31831</v>
      </c>
      <c r="B420">
        <f>VLOOKUP(A420,'STOCK DATA'!$A$2:$H$522,2,FALSE)</f>
        <v>106.76</v>
      </c>
      <c r="C420">
        <f>VLOOKUP($A420,'STOCK DATA'!$A$2:H$521,3,FALSE)</f>
        <v>1606.3</v>
      </c>
      <c r="D420">
        <f>VLOOKUP($A420,'STOCK DATA'!$A$2:$H$521,3,FALSE)</f>
        <v>1606.3</v>
      </c>
      <c r="E420">
        <f>VLOOKUP($A420,'STOCK DATA'!$A$2:$H$521,3,FALSE)</f>
        <v>1606.3</v>
      </c>
      <c r="F420">
        <f>VLOOKUP($A420,'STOCK DATA'!$A$2:$H$521,3,FALSE)</f>
        <v>1606.3</v>
      </c>
      <c r="G420">
        <f>VLOOKUP($A420,'STOCK DATA'!$A$2:$H$521,3,FALSE)</f>
        <v>1606.3</v>
      </c>
      <c r="H420">
        <f>VLOOKUP($A420,'STOCK DATA'!$A$2:$H$521,3,FALSE)</f>
        <v>1606.3</v>
      </c>
      <c r="I420">
        <f>VLOOKUP(A420,'Short-term interest Rates daily'!$A:$E,2,FALSE)</f>
        <v>16.23</v>
      </c>
      <c r="J420">
        <f>VLOOKUP(A420,'Short-term interest Rates daily'!$A:$E,3,FALSE)</f>
        <v>7.32</v>
      </c>
      <c r="K420">
        <f>VLOOKUP(A420,'Short-term interest Rates daily'!$A:$E,4,FALSE)</f>
        <v>10.3</v>
      </c>
      <c r="L420">
        <f>VLOOKUP(A420,'Short-term interest Rates daily'!$A:$E,5,FALSE)</f>
        <v>5.44</v>
      </c>
    </row>
    <row r="421" spans="1:12" x14ac:dyDescent="0.3">
      <c r="A421" s="1">
        <v>31832</v>
      </c>
      <c r="B421">
        <f>VLOOKUP(A421,'STOCK DATA'!$A$2:$H$522,2,FALSE)</f>
        <v>106.88</v>
      </c>
      <c r="C421">
        <f>VLOOKUP($A421,'STOCK DATA'!$A$2:H$521,3,FALSE)</f>
        <v>1597.9</v>
      </c>
      <c r="D421">
        <f>VLOOKUP($A421,'STOCK DATA'!$A$2:$H$521,3,FALSE)</f>
        <v>1597.9</v>
      </c>
      <c r="E421">
        <f>VLOOKUP($A421,'STOCK DATA'!$A$2:$H$521,3,FALSE)</f>
        <v>1597.9</v>
      </c>
      <c r="F421">
        <f>VLOOKUP($A421,'STOCK DATA'!$A$2:$H$521,3,FALSE)</f>
        <v>1597.9</v>
      </c>
      <c r="G421">
        <f>VLOOKUP($A421,'STOCK DATA'!$A$2:$H$521,3,FALSE)</f>
        <v>1597.9</v>
      </c>
      <c r="H421">
        <f>VLOOKUP($A421,'STOCK DATA'!$A$2:$H$521,3,FALSE)</f>
        <v>1597.9</v>
      </c>
      <c r="I421">
        <f>VLOOKUP(A421,'Short-term interest Rates daily'!$A:$E,2,FALSE)</f>
        <v>16.100000000000001</v>
      </c>
      <c r="J421">
        <f>VLOOKUP(A421,'Short-term interest Rates daily'!$A:$E,3,FALSE)</f>
        <v>7.32</v>
      </c>
      <c r="K421">
        <f>VLOOKUP(A421,'Short-term interest Rates daily'!$A:$E,4,FALSE)</f>
        <v>10.25</v>
      </c>
      <c r="L421">
        <f>VLOOKUP(A421,'Short-term interest Rates daily'!$A:$E,5,FALSE)</f>
        <v>5.44</v>
      </c>
    </row>
    <row r="422" spans="1:12" x14ac:dyDescent="0.3">
      <c r="A422" s="1">
        <v>31833</v>
      </c>
      <c r="B422">
        <f>VLOOKUP(A422,'STOCK DATA'!$A$2:$H$522,2,FALSE)</f>
        <v>107.2</v>
      </c>
      <c r="C422">
        <f>VLOOKUP($A422,'STOCK DATA'!$A$2:H$521,3,FALSE)</f>
        <v>1584</v>
      </c>
      <c r="D422">
        <f>VLOOKUP($A422,'STOCK DATA'!$A$2:$H$521,3,FALSE)</f>
        <v>1584</v>
      </c>
      <c r="E422">
        <f>VLOOKUP($A422,'STOCK DATA'!$A$2:$H$521,3,FALSE)</f>
        <v>1584</v>
      </c>
      <c r="F422">
        <f>VLOOKUP($A422,'STOCK DATA'!$A$2:$H$521,3,FALSE)</f>
        <v>1584</v>
      </c>
      <c r="G422">
        <f>VLOOKUP($A422,'STOCK DATA'!$A$2:$H$521,3,FALSE)</f>
        <v>1584</v>
      </c>
      <c r="H422">
        <f>VLOOKUP($A422,'STOCK DATA'!$A$2:$H$521,3,FALSE)</f>
        <v>1584</v>
      </c>
      <c r="I422">
        <f>VLOOKUP(A422,'Short-term interest Rates daily'!$A:$E,2,FALSE)</f>
        <v>16.05</v>
      </c>
      <c r="J422">
        <f>VLOOKUP(A422,'Short-term interest Rates daily'!$A:$E,3,FALSE)</f>
        <v>7.29</v>
      </c>
      <c r="K422">
        <f>VLOOKUP(A422,'Short-term interest Rates daily'!$A:$E,4,FALSE)</f>
        <v>10.31</v>
      </c>
      <c r="L422">
        <f>VLOOKUP(A422,'Short-term interest Rates daily'!$A:$E,5,FALSE)</f>
        <v>5.45</v>
      </c>
    </row>
    <row r="423" spans="1:12" x14ac:dyDescent="0.3">
      <c r="A423" s="1">
        <v>31834</v>
      </c>
      <c r="B423">
        <f>VLOOKUP(A423,'STOCK DATA'!$A$2:$H$522,2,FALSE)</f>
        <v>106.76</v>
      </c>
      <c r="C423">
        <f>VLOOKUP($A423,'STOCK DATA'!$A$2:H$521,3,FALSE)</f>
        <v>1593</v>
      </c>
      <c r="D423">
        <f>VLOOKUP($A423,'STOCK DATA'!$A$2:$H$521,3,FALSE)</f>
        <v>1593</v>
      </c>
      <c r="E423">
        <f>VLOOKUP($A423,'STOCK DATA'!$A$2:$H$521,3,FALSE)</f>
        <v>1593</v>
      </c>
      <c r="F423">
        <f>VLOOKUP($A423,'STOCK DATA'!$A$2:$H$521,3,FALSE)</f>
        <v>1593</v>
      </c>
      <c r="G423">
        <f>VLOOKUP($A423,'STOCK DATA'!$A$2:$H$521,3,FALSE)</f>
        <v>1593</v>
      </c>
      <c r="H423">
        <f>VLOOKUP($A423,'STOCK DATA'!$A$2:$H$521,3,FALSE)</f>
        <v>1593</v>
      </c>
      <c r="I423">
        <f>VLOOKUP(A423,'Short-term interest Rates daily'!$A:$E,2,FALSE)</f>
        <v>16.23</v>
      </c>
      <c r="J423">
        <f>VLOOKUP(A423,'Short-term interest Rates daily'!$A:$E,3,FALSE)</f>
        <v>7.3</v>
      </c>
      <c r="K423">
        <f>VLOOKUP(A423,'Short-term interest Rates daily'!$A:$E,4,FALSE)</f>
        <v>10.35</v>
      </c>
      <c r="L423">
        <f>VLOOKUP(A423,'Short-term interest Rates daily'!$A:$E,5,FALSE)</f>
        <v>5.45</v>
      </c>
    </row>
    <row r="424" spans="1:12" x14ac:dyDescent="0.3">
      <c r="A424" s="1">
        <v>31835</v>
      </c>
      <c r="B424">
        <f>VLOOKUP(A424,'STOCK DATA'!$A$2:$H$522,2,FALSE)</f>
        <v>106.16</v>
      </c>
      <c r="C424">
        <f>VLOOKUP($A424,'STOCK DATA'!$A$2:H$521,3,FALSE)</f>
        <v>1614.1</v>
      </c>
      <c r="D424">
        <f>VLOOKUP($A424,'STOCK DATA'!$A$2:$H$521,3,FALSE)</f>
        <v>1614.1</v>
      </c>
      <c r="E424">
        <f>VLOOKUP($A424,'STOCK DATA'!$A$2:$H$521,3,FALSE)</f>
        <v>1614.1</v>
      </c>
      <c r="F424">
        <f>VLOOKUP($A424,'STOCK DATA'!$A$2:$H$521,3,FALSE)</f>
        <v>1614.1</v>
      </c>
      <c r="G424">
        <f>VLOOKUP($A424,'STOCK DATA'!$A$2:$H$521,3,FALSE)</f>
        <v>1614.1</v>
      </c>
      <c r="H424">
        <f>VLOOKUP($A424,'STOCK DATA'!$A$2:$H$521,3,FALSE)</f>
        <v>1614.1</v>
      </c>
      <c r="I424">
        <f>VLOOKUP(A424,'Short-term interest Rates daily'!$A:$E,2,FALSE)</f>
        <v>16.43</v>
      </c>
      <c r="J424">
        <f>VLOOKUP(A424,'Short-term interest Rates daily'!$A:$E,3,FALSE)</f>
        <v>7.32</v>
      </c>
      <c r="K424">
        <f>VLOOKUP(A424,'Short-term interest Rates daily'!$A:$E,4,FALSE)</f>
        <v>10.34</v>
      </c>
      <c r="L424">
        <f>VLOOKUP(A424,'Short-term interest Rates daily'!$A:$E,5,FALSE)</f>
        <v>5.45</v>
      </c>
    </row>
    <row r="425" spans="1:12" x14ac:dyDescent="0.3">
      <c r="A425" s="1">
        <v>31836</v>
      </c>
      <c r="B425" t="e">
        <f>VLOOKUP(A425,'STOCK DATA'!$A$2:$H$522,2,FALSE)</f>
        <v>#N/A</v>
      </c>
      <c r="C425" t="e">
        <f>VLOOKUP($A425,'STOCK DATA'!$A$2:H$521,3,FALSE)</f>
        <v>#N/A</v>
      </c>
      <c r="D425" t="e">
        <f>VLOOKUP($A425,'STOCK DATA'!$A$2:$H$521,3,FALSE)</f>
        <v>#N/A</v>
      </c>
      <c r="E425" t="e">
        <f>VLOOKUP($A425,'STOCK DATA'!$A$2:$H$521,3,FALSE)</f>
        <v>#N/A</v>
      </c>
      <c r="F425" t="e">
        <f>VLOOKUP($A425,'STOCK DATA'!$A$2:$H$521,3,FALSE)</f>
        <v>#N/A</v>
      </c>
      <c r="G425" t="e">
        <f>VLOOKUP($A425,'STOCK DATA'!$A$2:$H$521,3,FALSE)</f>
        <v>#N/A</v>
      </c>
      <c r="H425" t="e">
        <f>VLOOKUP($A425,'STOCK DATA'!$A$2:$H$521,3,FALSE)</f>
        <v>#N/A</v>
      </c>
      <c r="I425" t="e">
        <f>VLOOKUP(A425,'Short-term interest Rates daily'!$A:$E,2,FALSE)</f>
        <v>#N/A</v>
      </c>
      <c r="J425" t="e">
        <f>VLOOKUP(A425,'Short-term interest Rates daily'!$A:$E,3,FALSE)</f>
        <v>#N/A</v>
      </c>
      <c r="K425" t="e">
        <f>VLOOKUP(A425,'Short-term interest Rates daily'!$A:$E,4,FALSE)</f>
        <v>#N/A</v>
      </c>
      <c r="L425" t="e">
        <f>VLOOKUP(A425,'Short-term interest Rates daily'!$A:$E,5,FALSE)</f>
        <v>#N/A</v>
      </c>
    </row>
    <row r="426" spans="1:12" x14ac:dyDescent="0.3">
      <c r="A426" s="1">
        <v>31837</v>
      </c>
      <c r="B426" t="e">
        <f>VLOOKUP(A426,'STOCK DATA'!$A$2:$H$522,2,FALSE)</f>
        <v>#N/A</v>
      </c>
      <c r="C426" t="e">
        <f>VLOOKUP($A426,'STOCK DATA'!$A$2:H$521,3,FALSE)</f>
        <v>#N/A</v>
      </c>
      <c r="D426" t="e">
        <f>VLOOKUP($A426,'STOCK DATA'!$A$2:$H$521,3,FALSE)</f>
        <v>#N/A</v>
      </c>
      <c r="E426" t="e">
        <f>VLOOKUP($A426,'STOCK DATA'!$A$2:$H$521,3,FALSE)</f>
        <v>#N/A</v>
      </c>
      <c r="F426" t="e">
        <f>VLOOKUP($A426,'STOCK DATA'!$A$2:$H$521,3,FALSE)</f>
        <v>#N/A</v>
      </c>
      <c r="G426" t="e">
        <f>VLOOKUP($A426,'STOCK DATA'!$A$2:$H$521,3,FALSE)</f>
        <v>#N/A</v>
      </c>
      <c r="H426" t="e">
        <f>VLOOKUP($A426,'STOCK DATA'!$A$2:$H$521,3,FALSE)</f>
        <v>#N/A</v>
      </c>
      <c r="I426" t="e">
        <f>VLOOKUP(A426,'Short-term interest Rates daily'!$A:$E,2,FALSE)</f>
        <v>#N/A</v>
      </c>
      <c r="J426" t="e">
        <f>VLOOKUP(A426,'Short-term interest Rates daily'!$A:$E,3,FALSE)</f>
        <v>#N/A</v>
      </c>
      <c r="K426" t="e">
        <f>VLOOKUP(A426,'Short-term interest Rates daily'!$A:$E,4,FALSE)</f>
        <v>#N/A</v>
      </c>
      <c r="L426" t="e">
        <f>VLOOKUP(A426,'Short-term interest Rates daily'!$A:$E,5,FALSE)</f>
        <v>#N/A</v>
      </c>
    </row>
    <row r="427" spans="1:12" x14ac:dyDescent="0.3">
      <c r="A427" s="1">
        <v>31838</v>
      </c>
      <c r="B427">
        <f>VLOOKUP(A427,'STOCK DATA'!$A$2:$H$522,2,FALSE)</f>
        <v>106.76</v>
      </c>
      <c r="C427">
        <f>VLOOKUP($A427,'STOCK DATA'!$A$2:H$521,3,FALSE)</f>
        <v>1622.9</v>
      </c>
      <c r="D427">
        <f>VLOOKUP($A427,'STOCK DATA'!$A$2:$H$521,3,FALSE)</f>
        <v>1622.9</v>
      </c>
      <c r="E427">
        <f>VLOOKUP($A427,'STOCK DATA'!$A$2:$H$521,3,FALSE)</f>
        <v>1622.9</v>
      </c>
      <c r="F427">
        <f>VLOOKUP($A427,'STOCK DATA'!$A$2:$H$521,3,FALSE)</f>
        <v>1622.9</v>
      </c>
      <c r="G427">
        <f>VLOOKUP($A427,'STOCK DATA'!$A$2:$H$521,3,FALSE)</f>
        <v>1622.9</v>
      </c>
      <c r="H427">
        <f>VLOOKUP($A427,'STOCK DATA'!$A$2:$H$521,3,FALSE)</f>
        <v>1622.9</v>
      </c>
      <c r="I427">
        <f>VLOOKUP(A427,'Short-term interest Rates daily'!$A:$E,2,FALSE)</f>
        <v>16.38</v>
      </c>
      <c r="J427">
        <f>VLOOKUP(A427,'Short-term interest Rates daily'!$A:$E,3,FALSE)</f>
        <v>7.31</v>
      </c>
      <c r="K427">
        <f>VLOOKUP(A427,'Short-term interest Rates daily'!$A:$E,4,FALSE)</f>
        <v>10.210000000000001</v>
      </c>
      <c r="L427">
        <f>VLOOKUP(A427,'Short-term interest Rates daily'!$A:$E,5,FALSE)</f>
        <v>5.48</v>
      </c>
    </row>
    <row r="428" spans="1:12" x14ac:dyDescent="0.3">
      <c r="A428" s="1">
        <v>31839</v>
      </c>
      <c r="B428">
        <f>VLOOKUP(A428,'STOCK DATA'!$A$2:$H$522,2,FALSE)</f>
        <v>104.9</v>
      </c>
      <c r="C428">
        <f>VLOOKUP($A428,'STOCK DATA'!$A$2:H$521,3,FALSE)</f>
        <v>1615.6</v>
      </c>
      <c r="D428">
        <f>VLOOKUP($A428,'STOCK DATA'!$A$2:$H$521,3,FALSE)</f>
        <v>1615.6</v>
      </c>
      <c r="E428">
        <f>VLOOKUP($A428,'STOCK DATA'!$A$2:$H$521,3,FALSE)</f>
        <v>1615.6</v>
      </c>
      <c r="F428">
        <f>VLOOKUP($A428,'STOCK DATA'!$A$2:$H$521,3,FALSE)</f>
        <v>1615.6</v>
      </c>
      <c r="G428">
        <f>VLOOKUP($A428,'STOCK DATA'!$A$2:$H$521,3,FALSE)</f>
        <v>1615.6</v>
      </c>
      <c r="H428">
        <f>VLOOKUP($A428,'STOCK DATA'!$A$2:$H$521,3,FALSE)</f>
        <v>1615.6</v>
      </c>
      <c r="I428">
        <f>VLOOKUP(A428,'Short-term interest Rates daily'!$A:$E,2,FALSE)</f>
        <v>16.329999999999998</v>
      </c>
      <c r="J428">
        <f>VLOOKUP(A428,'Short-term interest Rates daily'!$A:$E,3,FALSE)</f>
        <v>7.33</v>
      </c>
      <c r="K428">
        <f>VLOOKUP(A428,'Short-term interest Rates daily'!$A:$E,4,FALSE)</f>
        <v>10.14</v>
      </c>
      <c r="L428">
        <f>VLOOKUP(A428,'Short-term interest Rates daily'!$A:$E,5,FALSE)</f>
        <v>5.54</v>
      </c>
    </row>
    <row r="429" spans="1:12" x14ac:dyDescent="0.3">
      <c r="A429" s="1">
        <v>31840</v>
      </c>
      <c r="B429">
        <f>VLOOKUP(A429,'STOCK DATA'!$A$2:$H$522,2,FALSE)</f>
        <v>106.22</v>
      </c>
      <c r="C429">
        <f>VLOOKUP($A429,'STOCK DATA'!$A$2:H$521,3,FALSE)</f>
        <v>1624.3</v>
      </c>
      <c r="D429">
        <f>VLOOKUP($A429,'STOCK DATA'!$A$2:$H$521,3,FALSE)</f>
        <v>1624.3</v>
      </c>
      <c r="E429">
        <f>VLOOKUP($A429,'STOCK DATA'!$A$2:$H$521,3,FALSE)</f>
        <v>1624.3</v>
      </c>
      <c r="F429">
        <f>VLOOKUP($A429,'STOCK DATA'!$A$2:$H$521,3,FALSE)</f>
        <v>1624.3</v>
      </c>
      <c r="G429">
        <f>VLOOKUP($A429,'STOCK DATA'!$A$2:$H$521,3,FALSE)</f>
        <v>1624.3</v>
      </c>
      <c r="H429">
        <f>VLOOKUP($A429,'STOCK DATA'!$A$2:$H$521,3,FALSE)</f>
        <v>1624.3</v>
      </c>
      <c r="I429">
        <f>VLOOKUP(A429,'Short-term interest Rates daily'!$A:$E,2,FALSE)</f>
        <v>16.38</v>
      </c>
      <c r="J429">
        <f>VLOOKUP(A429,'Short-term interest Rates daily'!$A:$E,3,FALSE)</f>
        <v>7.3</v>
      </c>
      <c r="K429">
        <f>VLOOKUP(A429,'Short-term interest Rates daily'!$A:$E,4,FALSE)</f>
        <v>10.050000000000001</v>
      </c>
      <c r="L429">
        <f>VLOOKUP(A429,'Short-term interest Rates daily'!$A:$E,5,FALSE)</f>
        <v>5.51</v>
      </c>
    </row>
    <row r="430" spans="1:12" x14ac:dyDescent="0.3">
      <c r="A430" s="1">
        <v>31841</v>
      </c>
      <c r="B430">
        <f>VLOOKUP(A430,'STOCK DATA'!$A$2:$H$522,2,FALSE)</f>
        <v>107.44</v>
      </c>
      <c r="C430">
        <f>VLOOKUP($A430,'STOCK DATA'!$A$2:H$521,3,FALSE)</f>
        <v>1636.5</v>
      </c>
      <c r="D430">
        <f>VLOOKUP($A430,'STOCK DATA'!$A$2:$H$521,3,FALSE)</f>
        <v>1636.5</v>
      </c>
      <c r="E430">
        <f>VLOOKUP($A430,'STOCK DATA'!$A$2:$H$521,3,FALSE)</f>
        <v>1636.5</v>
      </c>
      <c r="F430">
        <f>VLOOKUP($A430,'STOCK DATA'!$A$2:$H$521,3,FALSE)</f>
        <v>1636.5</v>
      </c>
      <c r="G430">
        <f>VLOOKUP($A430,'STOCK DATA'!$A$2:$H$521,3,FALSE)</f>
        <v>1636.5</v>
      </c>
      <c r="H430">
        <f>VLOOKUP($A430,'STOCK DATA'!$A$2:$H$521,3,FALSE)</f>
        <v>1636.5</v>
      </c>
      <c r="I430">
        <f>VLOOKUP(A430,'Short-term interest Rates daily'!$A:$E,2,FALSE)</f>
        <v>16.3</v>
      </c>
      <c r="J430">
        <f>VLOOKUP(A430,'Short-term interest Rates daily'!$A:$E,3,FALSE)</f>
        <v>7.3</v>
      </c>
      <c r="K430">
        <f>VLOOKUP(A430,'Short-term interest Rates daily'!$A:$E,4,FALSE)</f>
        <v>9.91</v>
      </c>
      <c r="L430">
        <f>VLOOKUP(A430,'Short-term interest Rates daily'!$A:$E,5,FALSE)</f>
        <v>5.52</v>
      </c>
    </row>
    <row r="431" spans="1:12" x14ac:dyDescent="0.3">
      <c r="A431" s="1">
        <v>31842</v>
      </c>
      <c r="B431">
        <f>VLOOKUP(A431,'STOCK DATA'!$A$2:$H$522,2,FALSE)</f>
        <v>107.31</v>
      </c>
      <c r="C431">
        <f>VLOOKUP($A431,'STOCK DATA'!$A$2:H$521,3,FALSE)</f>
        <v>1646.6</v>
      </c>
      <c r="D431">
        <f>VLOOKUP($A431,'STOCK DATA'!$A$2:$H$521,3,FALSE)</f>
        <v>1646.6</v>
      </c>
      <c r="E431">
        <f>VLOOKUP($A431,'STOCK DATA'!$A$2:$H$521,3,FALSE)</f>
        <v>1646.6</v>
      </c>
      <c r="F431">
        <f>VLOOKUP($A431,'STOCK DATA'!$A$2:$H$521,3,FALSE)</f>
        <v>1646.6</v>
      </c>
      <c r="G431">
        <f>VLOOKUP($A431,'STOCK DATA'!$A$2:$H$521,3,FALSE)</f>
        <v>1646.6</v>
      </c>
      <c r="H431">
        <f>VLOOKUP($A431,'STOCK DATA'!$A$2:$H$521,3,FALSE)</f>
        <v>1646.6</v>
      </c>
      <c r="I431">
        <f>VLOOKUP(A431,'Short-term interest Rates daily'!$A:$E,2,FALSE)</f>
        <v>16.25</v>
      </c>
      <c r="J431">
        <f>VLOOKUP(A431,'Short-term interest Rates daily'!$A:$E,3,FALSE)</f>
        <v>7.29</v>
      </c>
      <c r="K431">
        <f>VLOOKUP(A431,'Short-term interest Rates daily'!$A:$E,4,FALSE)</f>
        <v>10</v>
      </c>
      <c r="L431">
        <f>VLOOKUP(A431,'Short-term interest Rates daily'!$A:$E,5,FALSE)</f>
        <v>5.64</v>
      </c>
    </row>
    <row r="432" spans="1:12" x14ac:dyDescent="0.3">
      <c r="A432" s="1">
        <v>31843</v>
      </c>
      <c r="B432" t="e">
        <f>VLOOKUP(A432,'STOCK DATA'!$A$2:$H$522,2,FALSE)</f>
        <v>#N/A</v>
      </c>
      <c r="C432" t="e">
        <f>VLOOKUP($A432,'STOCK DATA'!$A$2:H$521,3,FALSE)</f>
        <v>#N/A</v>
      </c>
      <c r="D432" t="e">
        <f>VLOOKUP($A432,'STOCK DATA'!$A$2:$H$521,3,FALSE)</f>
        <v>#N/A</v>
      </c>
      <c r="E432" t="e">
        <f>VLOOKUP($A432,'STOCK DATA'!$A$2:$H$521,3,FALSE)</f>
        <v>#N/A</v>
      </c>
      <c r="F432" t="e">
        <f>VLOOKUP($A432,'STOCK DATA'!$A$2:$H$521,3,FALSE)</f>
        <v>#N/A</v>
      </c>
      <c r="G432" t="e">
        <f>VLOOKUP($A432,'STOCK DATA'!$A$2:$H$521,3,FALSE)</f>
        <v>#N/A</v>
      </c>
      <c r="H432" t="e">
        <f>VLOOKUP($A432,'STOCK DATA'!$A$2:$H$521,3,FALSE)</f>
        <v>#N/A</v>
      </c>
      <c r="I432" t="e">
        <f>VLOOKUP(A432,'Short-term interest Rates daily'!$A:$E,2,FALSE)</f>
        <v>#N/A</v>
      </c>
      <c r="J432" t="e">
        <f>VLOOKUP(A432,'Short-term interest Rates daily'!$A:$E,3,FALSE)</f>
        <v>#N/A</v>
      </c>
      <c r="K432" t="e">
        <f>VLOOKUP(A432,'Short-term interest Rates daily'!$A:$E,4,FALSE)</f>
        <v>#N/A</v>
      </c>
      <c r="L432" t="e">
        <f>VLOOKUP(A432,'Short-term interest Rates daily'!$A:$E,5,FALSE)</f>
        <v>#N/A</v>
      </c>
    </row>
    <row r="433" spans="1:12" x14ac:dyDescent="0.3">
      <c r="A433" s="1">
        <v>31844</v>
      </c>
      <c r="B433" t="e">
        <f>VLOOKUP(A433,'STOCK DATA'!$A$2:$H$522,2,FALSE)</f>
        <v>#N/A</v>
      </c>
      <c r="C433" t="e">
        <f>VLOOKUP($A433,'STOCK DATA'!$A$2:H$521,3,FALSE)</f>
        <v>#N/A</v>
      </c>
      <c r="D433" t="e">
        <f>VLOOKUP($A433,'STOCK DATA'!$A$2:$H$521,3,FALSE)</f>
        <v>#N/A</v>
      </c>
      <c r="E433" t="e">
        <f>VLOOKUP($A433,'STOCK DATA'!$A$2:$H$521,3,FALSE)</f>
        <v>#N/A</v>
      </c>
      <c r="F433" t="e">
        <f>VLOOKUP($A433,'STOCK DATA'!$A$2:$H$521,3,FALSE)</f>
        <v>#N/A</v>
      </c>
      <c r="G433" t="e">
        <f>VLOOKUP($A433,'STOCK DATA'!$A$2:$H$521,3,FALSE)</f>
        <v>#N/A</v>
      </c>
      <c r="H433" t="e">
        <f>VLOOKUP($A433,'STOCK DATA'!$A$2:$H$521,3,FALSE)</f>
        <v>#N/A</v>
      </c>
      <c r="I433" t="e">
        <f>VLOOKUP(A433,'Short-term interest Rates daily'!$A:$E,2,FALSE)</f>
        <v>#N/A</v>
      </c>
      <c r="J433" t="e">
        <f>VLOOKUP(A433,'Short-term interest Rates daily'!$A:$E,3,FALSE)</f>
        <v>#N/A</v>
      </c>
      <c r="K433" t="e">
        <f>VLOOKUP(A433,'Short-term interest Rates daily'!$A:$E,4,FALSE)</f>
        <v>#N/A</v>
      </c>
      <c r="L433" t="e">
        <f>VLOOKUP(A433,'Short-term interest Rates daily'!$A:$E,5,FALSE)</f>
        <v>#N/A</v>
      </c>
    </row>
    <row r="434" spans="1:12" x14ac:dyDescent="0.3">
      <c r="A434" s="1">
        <v>31845</v>
      </c>
      <c r="B434">
        <f>VLOOKUP(A434,'STOCK DATA'!$A$2:$H$522,2,FALSE)</f>
        <v>107.35</v>
      </c>
      <c r="C434">
        <f>VLOOKUP($A434,'STOCK DATA'!$A$2:H$521,3,FALSE)</f>
        <v>1652</v>
      </c>
      <c r="D434">
        <f>VLOOKUP($A434,'STOCK DATA'!$A$2:$H$521,3,FALSE)</f>
        <v>1652</v>
      </c>
      <c r="E434">
        <f>VLOOKUP($A434,'STOCK DATA'!$A$2:$H$521,3,FALSE)</f>
        <v>1652</v>
      </c>
      <c r="F434">
        <f>VLOOKUP($A434,'STOCK DATA'!$A$2:$H$521,3,FALSE)</f>
        <v>1652</v>
      </c>
      <c r="G434">
        <f>VLOOKUP($A434,'STOCK DATA'!$A$2:$H$521,3,FALSE)</f>
        <v>1652</v>
      </c>
      <c r="H434">
        <f>VLOOKUP($A434,'STOCK DATA'!$A$2:$H$521,3,FALSE)</f>
        <v>1652</v>
      </c>
      <c r="I434">
        <f>VLOOKUP(A434,'Short-term interest Rates daily'!$A:$E,2,FALSE)</f>
        <v>16.38</v>
      </c>
      <c r="J434">
        <f>VLOOKUP(A434,'Short-term interest Rates daily'!$A:$E,3,FALSE)</f>
        <v>7.31</v>
      </c>
      <c r="K434">
        <f>VLOOKUP(A434,'Short-term interest Rates daily'!$A:$E,4,FALSE)</f>
        <v>9.86</v>
      </c>
      <c r="L434">
        <f>VLOOKUP(A434,'Short-term interest Rates daily'!$A:$E,5,FALSE)</f>
        <v>5.64</v>
      </c>
    </row>
    <row r="435" spans="1:12" x14ac:dyDescent="0.3">
      <c r="A435" s="1">
        <v>31846</v>
      </c>
      <c r="B435">
        <f>VLOOKUP(A435,'STOCK DATA'!$A$2:$H$522,2,FALSE)</f>
        <v>107.64</v>
      </c>
      <c r="C435">
        <f>VLOOKUP($A435,'STOCK DATA'!$A$2:H$521,3,FALSE)</f>
        <v>1635.3</v>
      </c>
      <c r="D435">
        <f>VLOOKUP($A435,'STOCK DATA'!$A$2:$H$521,3,FALSE)</f>
        <v>1635.3</v>
      </c>
      <c r="E435">
        <f>VLOOKUP($A435,'STOCK DATA'!$A$2:$H$521,3,FALSE)</f>
        <v>1635.3</v>
      </c>
      <c r="F435">
        <f>VLOOKUP($A435,'STOCK DATA'!$A$2:$H$521,3,FALSE)</f>
        <v>1635.3</v>
      </c>
      <c r="G435">
        <f>VLOOKUP($A435,'STOCK DATA'!$A$2:$H$521,3,FALSE)</f>
        <v>1635.3</v>
      </c>
      <c r="H435">
        <f>VLOOKUP($A435,'STOCK DATA'!$A$2:$H$521,3,FALSE)</f>
        <v>1635.3</v>
      </c>
      <c r="I435">
        <f>VLOOKUP(A435,'Short-term interest Rates daily'!$A:$E,2,FALSE)</f>
        <v>16.88</v>
      </c>
      <c r="J435">
        <f>VLOOKUP(A435,'Short-term interest Rates daily'!$A:$E,3,FALSE)</f>
        <v>7.28</v>
      </c>
      <c r="K435">
        <f>VLOOKUP(A435,'Short-term interest Rates daily'!$A:$E,4,FALSE)</f>
        <v>9.77</v>
      </c>
      <c r="L435">
        <f>VLOOKUP(A435,'Short-term interest Rates daily'!$A:$E,5,FALSE)</f>
        <v>5.68</v>
      </c>
    </row>
    <row r="436" spans="1:12" x14ac:dyDescent="0.3">
      <c r="A436" s="1">
        <v>31847</v>
      </c>
      <c r="B436">
        <f>VLOOKUP(A436,'STOCK DATA'!$A$2:$H$522,2,FALSE)</f>
        <v>109.19</v>
      </c>
      <c r="C436">
        <f>VLOOKUP($A436,'STOCK DATA'!$A$2:H$521,3,FALSE)</f>
        <v>1634.2</v>
      </c>
      <c r="D436">
        <f>VLOOKUP($A436,'STOCK DATA'!$A$2:$H$521,3,FALSE)</f>
        <v>1634.2</v>
      </c>
      <c r="E436">
        <f>VLOOKUP($A436,'STOCK DATA'!$A$2:$H$521,3,FALSE)</f>
        <v>1634.2</v>
      </c>
      <c r="F436">
        <f>VLOOKUP($A436,'STOCK DATA'!$A$2:$H$521,3,FALSE)</f>
        <v>1634.2</v>
      </c>
      <c r="G436">
        <f>VLOOKUP($A436,'STOCK DATA'!$A$2:$H$521,3,FALSE)</f>
        <v>1634.2</v>
      </c>
      <c r="H436">
        <f>VLOOKUP($A436,'STOCK DATA'!$A$2:$H$521,3,FALSE)</f>
        <v>1634.2</v>
      </c>
      <c r="I436">
        <f>VLOOKUP(A436,'Short-term interest Rates daily'!$A:$E,2,FALSE)</f>
        <v>16.5</v>
      </c>
      <c r="J436">
        <f>VLOOKUP(A436,'Short-term interest Rates daily'!$A:$E,3,FALSE)</f>
        <v>7.23</v>
      </c>
      <c r="K436">
        <f>VLOOKUP(A436,'Short-term interest Rates daily'!$A:$E,4,FALSE)</f>
        <v>9.59</v>
      </c>
      <c r="L436">
        <f>VLOOKUP(A436,'Short-term interest Rates daily'!$A:$E,5,FALSE)</f>
        <v>5.69</v>
      </c>
    </row>
    <row r="437" spans="1:12" x14ac:dyDescent="0.3">
      <c r="A437" s="1">
        <v>31848</v>
      </c>
      <c r="B437">
        <f>VLOOKUP(A437,'STOCK DATA'!$A$2:$H$522,2,FALSE)</f>
        <v>109.85</v>
      </c>
      <c r="C437">
        <f>VLOOKUP($A437,'STOCK DATA'!$A$2:H$521,3,FALSE)</f>
        <v>1625.7</v>
      </c>
      <c r="D437">
        <f>VLOOKUP($A437,'STOCK DATA'!$A$2:$H$521,3,FALSE)</f>
        <v>1625.7</v>
      </c>
      <c r="E437">
        <f>VLOOKUP($A437,'STOCK DATA'!$A$2:$H$521,3,FALSE)</f>
        <v>1625.7</v>
      </c>
      <c r="F437">
        <f>VLOOKUP($A437,'STOCK DATA'!$A$2:$H$521,3,FALSE)</f>
        <v>1625.7</v>
      </c>
      <c r="G437">
        <f>VLOOKUP($A437,'STOCK DATA'!$A$2:$H$521,3,FALSE)</f>
        <v>1625.7</v>
      </c>
      <c r="H437">
        <f>VLOOKUP($A437,'STOCK DATA'!$A$2:$H$521,3,FALSE)</f>
        <v>1625.7</v>
      </c>
      <c r="I437">
        <f>VLOOKUP(A437,'Short-term interest Rates daily'!$A:$E,2,FALSE)</f>
        <v>16.25</v>
      </c>
      <c r="J437">
        <f>VLOOKUP(A437,'Short-term interest Rates daily'!$A:$E,3,FALSE)</f>
        <v>6.99</v>
      </c>
      <c r="K437">
        <f>VLOOKUP(A437,'Short-term interest Rates daily'!$A:$E,4,FALSE)</f>
        <v>9.5500000000000007</v>
      </c>
      <c r="L437">
        <f>VLOOKUP(A437,'Short-term interest Rates daily'!$A:$E,5,FALSE)</f>
        <v>5.67</v>
      </c>
    </row>
    <row r="438" spans="1:12" x14ac:dyDescent="0.3">
      <c r="A438" s="1">
        <v>31849</v>
      </c>
      <c r="B438">
        <f>VLOOKUP(A438,'STOCK DATA'!$A$2:$H$522,2,FALSE)</f>
        <v>110.62</v>
      </c>
      <c r="C438">
        <f>VLOOKUP($A438,'STOCK DATA'!$A$2:H$521,3,FALSE)</f>
        <v>1636.3</v>
      </c>
      <c r="D438">
        <f>VLOOKUP($A438,'STOCK DATA'!$A$2:$H$521,3,FALSE)</f>
        <v>1636.3</v>
      </c>
      <c r="E438">
        <f>VLOOKUP($A438,'STOCK DATA'!$A$2:$H$521,3,FALSE)</f>
        <v>1636.3</v>
      </c>
      <c r="F438">
        <f>VLOOKUP($A438,'STOCK DATA'!$A$2:$H$521,3,FALSE)</f>
        <v>1636.3</v>
      </c>
      <c r="G438">
        <f>VLOOKUP($A438,'STOCK DATA'!$A$2:$H$521,3,FALSE)</f>
        <v>1636.3</v>
      </c>
      <c r="H438">
        <f>VLOOKUP($A438,'STOCK DATA'!$A$2:$H$521,3,FALSE)</f>
        <v>1636.3</v>
      </c>
      <c r="I438">
        <f>VLOOKUP(A438,'Short-term interest Rates daily'!$A:$E,2,FALSE)</f>
        <v>16.05</v>
      </c>
      <c r="J438">
        <f>VLOOKUP(A438,'Short-term interest Rates daily'!$A:$E,3,FALSE)</f>
        <v>7.02</v>
      </c>
      <c r="K438">
        <f>VLOOKUP(A438,'Short-term interest Rates daily'!$A:$E,4,FALSE)</f>
        <v>9.58</v>
      </c>
      <c r="L438">
        <f>VLOOKUP(A438,'Short-term interest Rates daily'!$A:$E,5,FALSE)</f>
        <v>5.62</v>
      </c>
    </row>
    <row r="439" spans="1:12" x14ac:dyDescent="0.3">
      <c r="A439" s="1">
        <v>31850</v>
      </c>
      <c r="B439" t="e">
        <f>VLOOKUP(A439,'STOCK DATA'!$A$2:$H$522,2,FALSE)</f>
        <v>#N/A</v>
      </c>
      <c r="C439" t="e">
        <f>VLOOKUP($A439,'STOCK DATA'!$A$2:H$521,3,FALSE)</f>
        <v>#N/A</v>
      </c>
      <c r="D439" t="e">
        <f>VLOOKUP($A439,'STOCK DATA'!$A$2:$H$521,3,FALSE)</f>
        <v>#N/A</v>
      </c>
      <c r="E439" t="e">
        <f>VLOOKUP($A439,'STOCK DATA'!$A$2:$H$521,3,FALSE)</f>
        <v>#N/A</v>
      </c>
      <c r="F439" t="e">
        <f>VLOOKUP($A439,'STOCK DATA'!$A$2:$H$521,3,FALSE)</f>
        <v>#N/A</v>
      </c>
      <c r="G439" t="e">
        <f>VLOOKUP($A439,'STOCK DATA'!$A$2:$H$521,3,FALSE)</f>
        <v>#N/A</v>
      </c>
      <c r="H439" t="e">
        <f>VLOOKUP($A439,'STOCK DATA'!$A$2:$H$521,3,FALSE)</f>
        <v>#N/A</v>
      </c>
      <c r="I439" t="e">
        <f>VLOOKUP(A439,'Short-term interest Rates daily'!$A:$E,2,FALSE)</f>
        <v>#N/A</v>
      </c>
      <c r="J439" t="e">
        <f>VLOOKUP(A439,'Short-term interest Rates daily'!$A:$E,3,FALSE)</f>
        <v>#N/A</v>
      </c>
      <c r="K439" t="e">
        <f>VLOOKUP(A439,'Short-term interest Rates daily'!$A:$E,4,FALSE)</f>
        <v>#N/A</v>
      </c>
      <c r="L439" t="e">
        <f>VLOOKUP(A439,'Short-term interest Rates daily'!$A:$E,5,FALSE)</f>
        <v>#N/A</v>
      </c>
    </row>
    <row r="440" spans="1:12" x14ac:dyDescent="0.3">
      <c r="A440" s="1">
        <v>31851</v>
      </c>
      <c r="B440" t="e">
        <f>VLOOKUP(A440,'STOCK DATA'!$A$2:$H$522,2,FALSE)</f>
        <v>#N/A</v>
      </c>
      <c r="C440" t="e">
        <f>VLOOKUP($A440,'STOCK DATA'!$A$2:H$521,3,FALSE)</f>
        <v>#N/A</v>
      </c>
      <c r="D440" t="e">
        <f>VLOOKUP($A440,'STOCK DATA'!$A$2:$H$521,3,FALSE)</f>
        <v>#N/A</v>
      </c>
      <c r="E440" t="e">
        <f>VLOOKUP($A440,'STOCK DATA'!$A$2:$H$521,3,FALSE)</f>
        <v>#N/A</v>
      </c>
      <c r="F440" t="e">
        <f>VLOOKUP($A440,'STOCK DATA'!$A$2:$H$521,3,FALSE)</f>
        <v>#N/A</v>
      </c>
      <c r="G440" t="e">
        <f>VLOOKUP($A440,'STOCK DATA'!$A$2:$H$521,3,FALSE)</f>
        <v>#N/A</v>
      </c>
      <c r="H440" t="e">
        <f>VLOOKUP($A440,'STOCK DATA'!$A$2:$H$521,3,FALSE)</f>
        <v>#N/A</v>
      </c>
      <c r="I440" t="e">
        <f>VLOOKUP(A440,'Short-term interest Rates daily'!$A:$E,2,FALSE)</f>
        <v>#N/A</v>
      </c>
      <c r="J440" t="e">
        <f>VLOOKUP(A440,'Short-term interest Rates daily'!$A:$E,3,FALSE)</f>
        <v>#N/A</v>
      </c>
      <c r="K440" t="e">
        <f>VLOOKUP(A440,'Short-term interest Rates daily'!$A:$E,4,FALSE)</f>
        <v>#N/A</v>
      </c>
      <c r="L440" t="e">
        <f>VLOOKUP(A440,'Short-term interest Rates daily'!$A:$E,5,FALSE)</f>
        <v>#N/A</v>
      </c>
    </row>
    <row r="441" spans="1:12" x14ac:dyDescent="0.3">
      <c r="A441" s="1">
        <v>31852</v>
      </c>
      <c r="B441">
        <f>VLOOKUP(A441,'STOCK DATA'!$A$2:$H$522,2,FALSE)</f>
        <v>109.5</v>
      </c>
      <c r="C441">
        <f>VLOOKUP($A441,'STOCK DATA'!$A$2:H$521,3,FALSE)</f>
        <v>1629.1</v>
      </c>
      <c r="D441">
        <f>VLOOKUP($A441,'STOCK DATA'!$A$2:$H$521,3,FALSE)</f>
        <v>1629.1</v>
      </c>
      <c r="E441">
        <f>VLOOKUP($A441,'STOCK DATA'!$A$2:$H$521,3,FALSE)</f>
        <v>1629.1</v>
      </c>
      <c r="F441">
        <f>VLOOKUP($A441,'STOCK DATA'!$A$2:$H$521,3,FALSE)</f>
        <v>1629.1</v>
      </c>
      <c r="G441">
        <f>VLOOKUP($A441,'STOCK DATA'!$A$2:$H$521,3,FALSE)</f>
        <v>1629.1</v>
      </c>
      <c r="H441">
        <f>VLOOKUP($A441,'STOCK DATA'!$A$2:$H$521,3,FALSE)</f>
        <v>1629.1</v>
      </c>
      <c r="I441">
        <f>VLOOKUP(A441,'Short-term interest Rates daily'!$A:$E,2,FALSE)</f>
        <v>16.38</v>
      </c>
      <c r="J441">
        <f>VLOOKUP(A441,'Short-term interest Rates daily'!$A:$E,3,FALSE)</f>
        <v>6.91</v>
      </c>
      <c r="K441">
        <f>VLOOKUP(A441,'Short-term interest Rates daily'!$A:$E,4,FALSE)</f>
        <v>9.4</v>
      </c>
      <c r="L441">
        <f>VLOOKUP(A441,'Short-term interest Rates daily'!$A:$E,5,FALSE)</f>
        <v>5.65</v>
      </c>
    </row>
    <row r="442" spans="1:12" x14ac:dyDescent="0.3">
      <c r="A442" s="1">
        <v>31853</v>
      </c>
      <c r="B442">
        <f>VLOOKUP(A442,'STOCK DATA'!$A$2:$H$522,2,FALSE)</f>
        <v>109.48</v>
      </c>
      <c r="C442">
        <f>VLOOKUP($A442,'STOCK DATA'!$A$2:H$521,3,FALSE)</f>
        <v>1629.4</v>
      </c>
      <c r="D442">
        <f>VLOOKUP($A442,'STOCK DATA'!$A$2:$H$521,3,FALSE)</f>
        <v>1629.4</v>
      </c>
      <c r="E442">
        <f>VLOOKUP($A442,'STOCK DATA'!$A$2:$H$521,3,FALSE)</f>
        <v>1629.4</v>
      </c>
      <c r="F442">
        <f>VLOOKUP($A442,'STOCK DATA'!$A$2:$H$521,3,FALSE)</f>
        <v>1629.4</v>
      </c>
      <c r="G442">
        <f>VLOOKUP($A442,'STOCK DATA'!$A$2:$H$521,3,FALSE)</f>
        <v>1629.4</v>
      </c>
      <c r="H442">
        <f>VLOOKUP($A442,'STOCK DATA'!$A$2:$H$521,3,FALSE)</f>
        <v>1629.4</v>
      </c>
      <c r="I442">
        <f>VLOOKUP(A442,'Short-term interest Rates daily'!$A:$E,2,FALSE)</f>
        <v>16.28</v>
      </c>
      <c r="J442">
        <f>VLOOKUP(A442,'Short-term interest Rates daily'!$A:$E,3,FALSE)</f>
        <v>6.91</v>
      </c>
      <c r="K442">
        <f>VLOOKUP(A442,'Short-term interest Rates daily'!$A:$E,4,FALSE)</f>
        <v>9.33</v>
      </c>
      <c r="L442">
        <f>VLOOKUP(A442,'Short-term interest Rates daily'!$A:$E,5,FALSE)</f>
        <v>5.57</v>
      </c>
    </row>
    <row r="443" spans="1:12" x14ac:dyDescent="0.3">
      <c r="A443" s="1">
        <v>31854</v>
      </c>
      <c r="B443">
        <f>VLOOKUP(A443,'STOCK DATA'!$A$2:$H$522,2,FALSE)</f>
        <v>108.83</v>
      </c>
      <c r="C443">
        <f>VLOOKUP($A443,'STOCK DATA'!$A$2:H$521,3,FALSE)</f>
        <v>1639.2</v>
      </c>
      <c r="D443">
        <f>VLOOKUP($A443,'STOCK DATA'!$A$2:$H$521,3,FALSE)</f>
        <v>1639.2</v>
      </c>
      <c r="E443">
        <f>VLOOKUP($A443,'STOCK DATA'!$A$2:$H$521,3,FALSE)</f>
        <v>1639.2</v>
      </c>
      <c r="F443">
        <f>VLOOKUP($A443,'STOCK DATA'!$A$2:$H$521,3,FALSE)</f>
        <v>1639.2</v>
      </c>
      <c r="G443">
        <f>VLOOKUP($A443,'STOCK DATA'!$A$2:$H$521,3,FALSE)</f>
        <v>1639.2</v>
      </c>
      <c r="H443">
        <f>VLOOKUP($A443,'STOCK DATA'!$A$2:$H$521,3,FALSE)</f>
        <v>1639.2</v>
      </c>
      <c r="I443">
        <f>VLOOKUP(A443,'Short-term interest Rates daily'!$A:$E,2,FALSE)</f>
        <v>16.149999999999999</v>
      </c>
      <c r="J443">
        <f>VLOOKUP(A443,'Short-term interest Rates daily'!$A:$E,3,FALSE)</f>
        <v>6.96</v>
      </c>
      <c r="K443">
        <f>VLOOKUP(A443,'Short-term interest Rates daily'!$A:$E,4,FALSE)</f>
        <v>9.3800000000000008</v>
      </c>
      <c r="L443">
        <f>VLOOKUP(A443,'Short-term interest Rates daily'!$A:$E,5,FALSE)</f>
        <v>5.52</v>
      </c>
    </row>
    <row r="444" spans="1:12" x14ac:dyDescent="0.3">
      <c r="A444" s="1">
        <v>31855</v>
      </c>
      <c r="B444">
        <f>VLOOKUP(A444,'STOCK DATA'!$A$2:$H$522,2,FALSE)</f>
        <v>108.87</v>
      </c>
      <c r="C444">
        <f>VLOOKUP($A444,'STOCK DATA'!$A$2:H$521,3,FALSE)</f>
        <v>1648.6</v>
      </c>
      <c r="D444">
        <f>VLOOKUP($A444,'STOCK DATA'!$A$2:$H$521,3,FALSE)</f>
        <v>1648.6</v>
      </c>
      <c r="E444">
        <f>VLOOKUP($A444,'STOCK DATA'!$A$2:$H$521,3,FALSE)</f>
        <v>1648.6</v>
      </c>
      <c r="F444">
        <f>VLOOKUP($A444,'STOCK DATA'!$A$2:$H$521,3,FALSE)</f>
        <v>1648.6</v>
      </c>
      <c r="G444">
        <f>VLOOKUP($A444,'STOCK DATA'!$A$2:$H$521,3,FALSE)</f>
        <v>1648.6</v>
      </c>
      <c r="H444">
        <f>VLOOKUP($A444,'STOCK DATA'!$A$2:$H$521,3,FALSE)</f>
        <v>1648.6</v>
      </c>
      <c r="I444">
        <f>VLOOKUP(A444,'Short-term interest Rates daily'!$A:$E,2,FALSE)</f>
        <v>16.079999999999998</v>
      </c>
      <c r="J444">
        <f>VLOOKUP(A444,'Short-term interest Rates daily'!$A:$E,3,FALSE)</f>
        <v>6.91</v>
      </c>
      <c r="K444">
        <f>VLOOKUP(A444,'Short-term interest Rates daily'!$A:$E,4,FALSE)</f>
        <v>9.2799999999999994</v>
      </c>
      <c r="L444">
        <f>VLOOKUP(A444,'Short-term interest Rates daily'!$A:$E,5,FALSE)</f>
        <v>5.5</v>
      </c>
    </row>
    <row r="445" spans="1:12" x14ac:dyDescent="0.3">
      <c r="A445" s="1">
        <v>31856</v>
      </c>
      <c r="B445">
        <f>VLOOKUP(A445,'STOCK DATA'!$A$2:$H$522,2,FALSE)</f>
        <v>109.49</v>
      </c>
      <c r="C445">
        <f>VLOOKUP($A445,'STOCK DATA'!$A$2:H$521,3,FALSE)</f>
        <v>1652.2</v>
      </c>
      <c r="D445">
        <f>VLOOKUP($A445,'STOCK DATA'!$A$2:$H$521,3,FALSE)</f>
        <v>1652.2</v>
      </c>
      <c r="E445">
        <f>VLOOKUP($A445,'STOCK DATA'!$A$2:$H$521,3,FALSE)</f>
        <v>1652.2</v>
      </c>
      <c r="F445">
        <f>VLOOKUP($A445,'STOCK DATA'!$A$2:$H$521,3,FALSE)</f>
        <v>1652.2</v>
      </c>
      <c r="G445">
        <f>VLOOKUP($A445,'STOCK DATA'!$A$2:$H$521,3,FALSE)</f>
        <v>1652.2</v>
      </c>
      <c r="H445">
        <f>VLOOKUP($A445,'STOCK DATA'!$A$2:$H$521,3,FALSE)</f>
        <v>1652.2</v>
      </c>
      <c r="I445">
        <f>VLOOKUP(A445,'Short-term interest Rates daily'!$A:$E,2,FALSE)</f>
        <v>16.100000000000001</v>
      </c>
      <c r="J445">
        <f>VLOOKUP(A445,'Short-term interest Rates daily'!$A:$E,3,FALSE)</f>
        <v>6.85</v>
      </c>
      <c r="K445">
        <f>VLOOKUP(A445,'Short-term interest Rates daily'!$A:$E,4,FALSE)</f>
        <v>9.3000000000000007</v>
      </c>
      <c r="L445">
        <f>VLOOKUP(A445,'Short-term interest Rates daily'!$A:$E,5,FALSE)</f>
        <v>5.52</v>
      </c>
    </row>
    <row r="446" spans="1:12" x14ac:dyDescent="0.3">
      <c r="A446" s="1">
        <v>31857</v>
      </c>
      <c r="B446" t="e">
        <f>VLOOKUP(A446,'STOCK DATA'!$A$2:$H$522,2,FALSE)</f>
        <v>#N/A</v>
      </c>
      <c r="C446" t="e">
        <f>VLOOKUP($A446,'STOCK DATA'!$A$2:H$521,3,FALSE)</f>
        <v>#N/A</v>
      </c>
      <c r="D446" t="e">
        <f>VLOOKUP($A446,'STOCK DATA'!$A$2:$H$521,3,FALSE)</f>
        <v>#N/A</v>
      </c>
      <c r="E446" t="e">
        <f>VLOOKUP($A446,'STOCK DATA'!$A$2:$H$521,3,FALSE)</f>
        <v>#N/A</v>
      </c>
      <c r="F446" t="e">
        <f>VLOOKUP($A446,'STOCK DATA'!$A$2:$H$521,3,FALSE)</f>
        <v>#N/A</v>
      </c>
      <c r="G446" t="e">
        <f>VLOOKUP($A446,'STOCK DATA'!$A$2:$H$521,3,FALSE)</f>
        <v>#N/A</v>
      </c>
      <c r="H446" t="e">
        <f>VLOOKUP($A446,'STOCK DATA'!$A$2:$H$521,3,FALSE)</f>
        <v>#N/A</v>
      </c>
      <c r="I446" t="e">
        <f>VLOOKUP(A446,'Short-term interest Rates daily'!$A:$E,2,FALSE)</f>
        <v>#N/A</v>
      </c>
      <c r="J446" t="e">
        <f>VLOOKUP(A446,'Short-term interest Rates daily'!$A:$E,3,FALSE)</f>
        <v>#N/A</v>
      </c>
      <c r="K446" t="e">
        <f>VLOOKUP(A446,'Short-term interest Rates daily'!$A:$E,4,FALSE)</f>
        <v>#N/A</v>
      </c>
      <c r="L446" t="e">
        <f>VLOOKUP(A446,'Short-term interest Rates daily'!$A:$E,5,FALSE)</f>
        <v>#N/A</v>
      </c>
    </row>
    <row r="447" spans="1:12" x14ac:dyDescent="0.3">
      <c r="A447" s="1">
        <v>31858</v>
      </c>
      <c r="B447" t="e">
        <f>VLOOKUP(A447,'STOCK DATA'!$A$2:$H$522,2,FALSE)</f>
        <v>#N/A</v>
      </c>
      <c r="C447" t="e">
        <f>VLOOKUP($A447,'STOCK DATA'!$A$2:H$521,3,FALSE)</f>
        <v>#N/A</v>
      </c>
      <c r="D447" t="e">
        <f>VLOOKUP($A447,'STOCK DATA'!$A$2:$H$521,3,FALSE)</f>
        <v>#N/A</v>
      </c>
      <c r="E447" t="e">
        <f>VLOOKUP($A447,'STOCK DATA'!$A$2:$H$521,3,FALSE)</f>
        <v>#N/A</v>
      </c>
      <c r="F447" t="e">
        <f>VLOOKUP($A447,'STOCK DATA'!$A$2:$H$521,3,FALSE)</f>
        <v>#N/A</v>
      </c>
      <c r="G447" t="e">
        <f>VLOOKUP($A447,'STOCK DATA'!$A$2:$H$521,3,FALSE)</f>
        <v>#N/A</v>
      </c>
      <c r="H447" t="e">
        <f>VLOOKUP($A447,'STOCK DATA'!$A$2:$H$521,3,FALSE)</f>
        <v>#N/A</v>
      </c>
      <c r="I447" t="e">
        <f>VLOOKUP(A447,'Short-term interest Rates daily'!$A:$E,2,FALSE)</f>
        <v>#N/A</v>
      </c>
      <c r="J447" t="e">
        <f>VLOOKUP(A447,'Short-term interest Rates daily'!$A:$E,3,FALSE)</f>
        <v>#N/A</v>
      </c>
      <c r="K447" t="e">
        <f>VLOOKUP(A447,'Short-term interest Rates daily'!$A:$E,4,FALSE)</f>
        <v>#N/A</v>
      </c>
      <c r="L447" t="e">
        <f>VLOOKUP(A447,'Short-term interest Rates daily'!$A:$E,5,FALSE)</f>
        <v>#N/A</v>
      </c>
    </row>
    <row r="448" spans="1:12" x14ac:dyDescent="0.3">
      <c r="A448" s="1">
        <v>31859</v>
      </c>
      <c r="B448">
        <f>VLOOKUP(A448,'STOCK DATA'!$A$2:$H$522,2,FALSE)</f>
        <v>110.12</v>
      </c>
      <c r="C448">
        <f>VLOOKUP($A448,'STOCK DATA'!$A$2:H$521,3,FALSE)</f>
        <v>1656.8</v>
      </c>
      <c r="D448">
        <f>VLOOKUP($A448,'STOCK DATA'!$A$2:$H$521,3,FALSE)</f>
        <v>1656.8</v>
      </c>
      <c r="E448">
        <f>VLOOKUP($A448,'STOCK DATA'!$A$2:$H$521,3,FALSE)</f>
        <v>1656.8</v>
      </c>
      <c r="F448">
        <f>VLOOKUP($A448,'STOCK DATA'!$A$2:$H$521,3,FALSE)</f>
        <v>1656.8</v>
      </c>
      <c r="G448">
        <f>VLOOKUP($A448,'STOCK DATA'!$A$2:$H$521,3,FALSE)</f>
        <v>1656.8</v>
      </c>
      <c r="H448">
        <f>VLOOKUP($A448,'STOCK DATA'!$A$2:$H$521,3,FALSE)</f>
        <v>1656.8</v>
      </c>
      <c r="I448">
        <f>VLOOKUP(A448,'Short-term interest Rates daily'!$A:$E,2,FALSE)</f>
        <v>16.25</v>
      </c>
      <c r="J448">
        <f>VLOOKUP(A448,'Short-term interest Rates daily'!$A:$E,3,FALSE)</f>
        <v>6.78</v>
      </c>
      <c r="K448">
        <f>VLOOKUP(A448,'Short-term interest Rates daily'!$A:$E,4,FALSE)</f>
        <v>9.27</v>
      </c>
      <c r="L448">
        <f>VLOOKUP(A448,'Short-term interest Rates daily'!$A:$E,5,FALSE)</f>
        <v>5.62</v>
      </c>
    </row>
    <row r="449" spans="1:12" x14ac:dyDescent="0.3">
      <c r="A449" s="1">
        <v>31860</v>
      </c>
      <c r="B449">
        <f>VLOOKUP(A449,'STOCK DATA'!$A$2:$H$522,2,FALSE)</f>
        <v>109.49</v>
      </c>
      <c r="C449">
        <f>VLOOKUP($A449,'STOCK DATA'!$A$2:H$521,3,FALSE)</f>
        <v>1663.8</v>
      </c>
      <c r="D449">
        <f>VLOOKUP($A449,'STOCK DATA'!$A$2:$H$521,3,FALSE)</f>
        <v>1663.8</v>
      </c>
      <c r="E449">
        <f>VLOOKUP($A449,'STOCK DATA'!$A$2:$H$521,3,FALSE)</f>
        <v>1663.8</v>
      </c>
      <c r="F449">
        <f>VLOOKUP($A449,'STOCK DATA'!$A$2:$H$521,3,FALSE)</f>
        <v>1663.8</v>
      </c>
      <c r="G449">
        <f>VLOOKUP($A449,'STOCK DATA'!$A$2:$H$521,3,FALSE)</f>
        <v>1663.8</v>
      </c>
      <c r="H449">
        <f>VLOOKUP($A449,'STOCK DATA'!$A$2:$H$521,3,FALSE)</f>
        <v>1663.8</v>
      </c>
      <c r="I449">
        <f>VLOOKUP(A449,'Short-term interest Rates daily'!$A:$E,2,FALSE)</f>
        <v>16.329999999999998</v>
      </c>
      <c r="J449">
        <f>VLOOKUP(A449,'Short-term interest Rates daily'!$A:$E,3,FALSE)</f>
        <v>6.8</v>
      </c>
      <c r="K449">
        <f>VLOOKUP(A449,'Short-term interest Rates daily'!$A:$E,4,FALSE)</f>
        <v>9.3000000000000007</v>
      </c>
      <c r="L449">
        <f>VLOOKUP(A449,'Short-term interest Rates daily'!$A:$E,5,FALSE)</f>
        <v>5.61</v>
      </c>
    </row>
    <row r="450" spans="1:12" x14ac:dyDescent="0.3">
      <c r="A450" s="1">
        <v>31861</v>
      </c>
      <c r="B450">
        <f>VLOOKUP(A450,'STOCK DATA'!$A$2:$H$522,2,FALSE)</f>
        <v>108.35</v>
      </c>
      <c r="C450">
        <f>VLOOKUP($A450,'STOCK DATA'!$A$2:H$521,3,FALSE)</f>
        <v>1679</v>
      </c>
      <c r="D450">
        <f>VLOOKUP($A450,'STOCK DATA'!$A$2:$H$521,3,FALSE)</f>
        <v>1679</v>
      </c>
      <c r="E450">
        <f>VLOOKUP($A450,'STOCK DATA'!$A$2:$H$521,3,FALSE)</f>
        <v>1679</v>
      </c>
      <c r="F450">
        <f>VLOOKUP($A450,'STOCK DATA'!$A$2:$H$521,3,FALSE)</f>
        <v>1679</v>
      </c>
      <c r="G450">
        <f>VLOOKUP($A450,'STOCK DATA'!$A$2:$H$521,3,FALSE)</f>
        <v>1679</v>
      </c>
      <c r="H450">
        <f>VLOOKUP($A450,'STOCK DATA'!$A$2:$H$521,3,FALSE)</f>
        <v>1679</v>
      </c>
      <c r="I450">
        <f>VLOOKUP(A450,'Short-term interest Rates daily'!$A:$E,2,FALSE)</f>
        <v>16.079999999999998</v>
      </c>
      <c r="J450">
        <f>VLOOKUP(A450,'Short-term interest Rates daily'!$A:$E,3,FALSE)</f>
        <v>6.83</v>
      </c>
      <c r="K450">
        <f>VLOOKUP(A450,'Short-term interest Rates daily'!$A:$E,4,FALSE)</f>
        <v>9.3000000000000007</v>
      </c>
      <c r="L450">
        <f>VLOOKUP(A450,'Short-term interest Rates daily'!$A:$E,5,FALSE)</f>
        <v>5.57</v>
      </c>
    </row>
    <row r="451" spans="1:12" x14ac:dyDescent="0.3">
      <c r="A451" s="1">
        <v>31862</v>
      </c>
      <c r="B451">
        <f>VLOOKUP(A451,'STOCK DATA'!$A$2:$H$522,2,FALSE)</f>
        <v>108.58</v>
      </c>
      <c r="C451">
        <f>VLOOKUP($A451,'STOCK DATA'!$A$2:H$521,3,FALSE)</f>
        <v>1690.1</v>
      </c>
      <c r="D451">
        <f>VLOOKUP($A451,'STOCK DATA'!$A$2:$H$521,3,FALSE)</f>
        <v>1690.1</v>
      </c>
      <c r="E451">
        <f>VLOOKUP($A451,'STOCK DATA'!$A$2:$H$521,3,FALSE)</f>
        <v>1690.1</v>
      </c>
      <c r="F451">
        <f>VLOOKUP($A451,'STOCK DATA'!$A$2:$H$521,3,FALSE)</f>
        <v>1690.1</v>
      </c>
      <c r="G451">
        <f>VLOOKUP($A451,'STOCK DATA'!$A$2:$H$521,3,FALSE)</f>
        <v>1690.1</v>
      </c>
      <c r="H451">
        <f>VLOOKUP($A451,'STOCK DATA'!$A$2:$H$521,3,FALSE)</f>
        <v>1690.1</v>
      </c>
      <c r="I451">
        <f>VLOOKUP(A451,'Short-term interest Rates daily'!$A:$E,2,FALSE)</f>
        <v>15.95</v>
      </c>
      <c r="J451">
        <f>VLOOKUP(A451,'Short-term interest Rates daily'!$A:$E,3,FALSE)</f>
        <v>6.81</v>
      </c>
      <c r="K451">
        <f>VLOOKUP(A451,'Short-term interest Rates daily'!$A:$E,4,FALSE)</f>
        <v>9.41</v>
      </c>
      <c r="L451">
        <f>VLOOKUP(A451,'Short-term interest Rates daily'!$A:$E,5,FALSE)</f>
        <v>5.57</v>
      </c>
    </row>
    <row r="452" spans="1:12" x14ac:dyDescent="0.3">
      <c r="A452" s="1">
        <v>31863</v>
      </c>
      <c r="B452">
        <f>VLOOKUP(A452,'STOCK DATA'!$A$2:$H$522,2,FALSE)</f>
        <v>109.95</v>
      </c>
      <c r="C452">
        <f>VLOOKUP($A452,'STOCK DATA'!$A$2:H$521,3,FALSE)</f>
        <v>1690.9</v>
      </c>
      <c r="D452">
        <f>VLOOKUP($A452,'STOCK DATA'!$A$2:$H$521,3,FALSE)</f>
        <v>1690.9</v>
      </c>
      <c r="E452">
        <f>VLOOKUP($A452,'STOCK DATA'!$A$2:$H$521,3,FALSE)</f>
        <v>1690.9</v>
      </c>
      <c r="F452">
        <f>VLOOKUP($A452,'STOCK DATA'!$A$2:$H$521,3,FALSE)</f>
        <v>1690.9</v>
      </c>
      <c r="G452">
        <f>VLOOKUP($A452,'STOCK DATA'!$A$2:$H$521,3,FALSE)</f>
        <v>1690.9</v>
      </c>
      <c r="H452">
        <f>VLOOKUP($A452,'STOCK DATA'!$A$2:$H$521,3,FALSE)</f>
        <v>1690.9</v>
      </c>
      <c r="I452">
        <f>VLOOKUP(A452,'Short-term interest Rates daily'!$A:$E,2,FALSE)</f>
        <v>15.85</v>
      </c>
      <c r="J452">
        <f>VLOOKUP(A452,'Short-term interest Rates daily'!$A:$E,3,FALSE)</f>
        <v>6.82</v>
      </c>
      <c r="K452">
        <f>VLOOKUP(A452,'Short-term interest Rates daily'!$A:$E,4,FALSE)</f>
        <v>9.4700000000000006</v>
      </c>
      <c r="L452">
        <f>VLOOKUP(A452,'Short-term interest Rates daily'!$A:$E,5,FALSE)</f>
        <v>5.63</v>
      </c>
    </row>
    <row r="453" spans="1:12" x14ac:dyDescent="0.3">
      <c r="A453" s="1">
        <v>31864</v>
      </c>
      <c r="B453" t="e">
        <f>VLOOKUP(A453,'STOCK DATA'!$A$2:$H$522,2,FALSE)</f>
        <v>#N/A</v>
      </c>
      <c r="C453" t="e">
        <f>VLOOKUP($A453,'STOCK DATA'!$A$2:H$521,3,FALSE)</f>
        <v>#N/A</v>
      </c>
      <c r="D453" t="e">
        <f>VLOOKUP($A453,'STOCK DATA'!$A$2:$H$521,3,FALSE)</f>
        <v>#N/A</v>
      </c>
      <c r="E453" t="e">
        <f>VLOOKUP($A453,'STOCK DATA'!$A$2:$H$521,3,FALSE)</f>
        <v>#N/A</v>
      </c>
      <c r="F453" t="e">
        <f>VLOOKUP($A453,'STOCK DATA'!$A$2:$H$521,3,FALSE)</f>
        <v>#N/A</v>
      </c>
      <c r="G453" t="e">
        <f>VLOOKUP($A453,'STOCK DATA'!$A$2:$H$521,3,FALSE)</f>
        <v>#N/A</v>
      </c>
      <c r="H453" t="e">
        <f>VLOOKUP($A453,'STOCK DATA'!$A$2:$H$521,3,FALSE)</f>
        <v>#N/A</v>
      </c>
      <c r="I453" t="e">
        <f>VLOOKUP(A453,'Short-term interest Rates daily'!$A:$E,2,FALSE)</f>
        <v>#N/A</v>
      </c>
      <c r="J453" t="e">
        <f>VLOOKUP(A453,'Short-term interest Rates daily'!$A:$E,3,FALSE)</f>
        <v>#N/A</v>
      </c>
      <c r="K453" t="e">
        <f>VLOOKUP(A453,'Short-term interest Rates daily'!$A:$E,4,FALSE)</f>
        <v>#N/A</v>
      </c>
      <c r="L453" t="e">
        <f>VLOOKUP(A453,'Short-term interest Rates daily'!$A:$E,5,FALSE)</f>
        <v>#N/A</v>
      </c>
    </row>
    <row r="454" spans="1:12" x14ac:dyDescent="0.3">
      <c r="A454" s="1">
        <v>31865</v>
      </c>
      <c r="B454" t="e">
        <f>VLOOKUP(A454,'STOCK DATA'!$A$2:$H$522,2,FALSE)</f>
        <v>#N/A</v>
      </c>
      <c r="C454" t="e">
        <f>VLOOKUP($A454,'STOCK DATA'!$A$2:H$521,3,FALSE)</f>
        <v>#N/A</v>
      </c>
      <c r="D454" t="e">
        <f>VLOOKUP($A454,'STOCK DATA'!$A$2:$H$521,3,FALSE)</f>
        <v>#N/A</v>
      </c>
      <c r="E454" t="e">
        <f>VLOOKUP($A454,'STOCK DATA'!$A$2:$H$521,3,FALSE)</f>
        <v>#N/A</v>
      </c>
      <c r="F454" t="e">
        <f>VLOOKUP($A454,'STOCK DATA'!$A$2:$H$521,3,FALSE)</f>
        <v>#N/A</v>
      </c>
      <c r="G454" t="e">
        <f>VLOOKUP($A454,'STOCK DATA'!$A$2:$H$521,3,FALSE)</f>
        <v>#N/A</v>
      </c>
      <c r="H454" t="e">
        <f>VLOOKUP($A454,'STOCK DATA'!$A$2:$H$521,3,FALSE)</f>
        <v>#N/A</v>
      </c>
      <c r="I454" t="e">
        <f>VLOOKUP(A454,'Short-term interest Rates daily'!$A:$E,2,FALSE)</f>
        <v>#N/A</v>
      </c>
      <c r="J454" t="e">
        <f>VLOOKUP(A454,'Short-term interest Rates daily'!$A:$E,3,FALSE)</f>
        <v>#N/A</v>
      </c>
      <c r="K454" t="e">
        <f>VLOOKUP(A454,'Short-term interest Rates daily'!$A:$E,4,FALSE)</f>
        <v>#N/A</v>
      </c>
      <c r="L454" t="e">
        <f>VLOOKUP(A454,'Short-term interest Rates daily'!$A:$E,5,FALSE)</f>
        <v>#N/A</v>
      </c>
    </row>
    <row r="455" spans="1:12" x14ac:dyDescent="0.3">
      <c r="A455" s="1">
        <v>31866</v>
      </c>
      <c r="B455">
        <f>VLOOKUP(A455,'STOCK DATA'!$A$2:$H$522,2,FALSE)</f>
        <v>108.99</v>
      </c>
      <c r="C455">
        <f>VLOOKUP($A455,'STOCK DATA'!$A$2:H$521,3,FALSE)</f>
        <v>1711.5</v>
      </c>
      <c r="D455">
        <f>VLOOKUP($A455,'STOCK DATA'!$A$2:$H$521,3,FALSE)</f>
        <v>1711.5</v>
      </c>
      <c r="E455">
        <f>VLOOKUP($A455,'STOCK DATA'!$A$2:$H$521,3,FALSE)</f>
        <v>1711.5</v>
      </c>
      <c r="F455">
        <f>VLOOKUP($A455,'STOCK DATA'!$A$2:$H$521,3,FALSE)</f>
        <v>1711.5</v>
      </c>
      <c r="G455">
        <f>VLOOKUP($A455,'STOCK DATA'!$A$2:$H$521,3,FALSE)</f>
        <v>1711.5</v>
      </c>
      <c r="H455">
        <f>VLOOKUP($A455,'STOCK DATA'!$A$2:$H$521,3,FALSE)</f>
        <v>1711.5</v>
      </c>
      <c r="I455">
        <f>VLOOKUP(A455,'Short-term interest Rates daily'!$A:$E,2,FALSE)</f>
        <v>15.93</v>
      </c>
      <c r="J455">
        <f>VLOOKUP(A455,'Short-term interest Rates daily'!$A:$E,3,FALSE)</f>
        <v>6.95</v>
      </c>
      <c r="K455">
        <f>VLOOKUP(A455,'Short-term interest Rates daily'!$A:$E,4,FALSE)</f>
        <v>9.56</v>
      </c>
      <c r="L455">
        <f>VLOOKUP(A455,'Short-term interest Rates daily'!$A:$E,5,FALSE)</f>
        <v>5.66</v>
      </c>
    </row>
    <row r="456" spans="1:12" x14ac:dyDescent="0.3">
      <c r="A456" s="1">
        <v>31867</v>
      </c>
      <c r="B456">
        <f>VLOOKUP(A456,'STOCK DATA'!$A$2:$H$522,2,FALSE)</f>
        <v>109.62</v>
      </c>
      <c r="C456">
        <f>VLOOKUP($A456,'STOCK DATA'!$A$2:H$521,3,FALSE)</f>
        <v>1689.9</v>
      </c>
      <c r="D456">
        <f>VLOOKUP($A456,'STOCK DATA'!$A$2:$H$521,3,FALSE)</f>
        <v>1689.9</v>
      </c>
      <c r="E456">
        <f>VLOOKUP($A456,'STOCK DATA'!$A$2:$H$521,3,FALSE)</f>
        <v>1689.9</v>
      </c>
      <c r="F456">
        <f>VLOOKUP($A456,'STOCK DATA'!$A$2:$H$521,3,FALSE)</f>
        <v>1689.9</v>
      </c>
      <c r="G456">
        <f>VLOOKUP($A456,'STOCK DATA'!$A$2:$H$521,3,FALSE)</f>
        <v>1689.9</v>
      </c>
      <c r="H456">
        <f>VLOOKUP($A456,'STOCK DATA'!$A$2:$H$521,3,FALSE)</f>
        <v>1689.9</v>
      </c>
      <c r="I456">
        <f>VLOOKUP(A456,'Short-term interest Rates daily'!$A:$E,2,FALSE)</f>
        <v>15.95</v>
      </c>
      <c r="J456">
        <f>VLOOKUP(A456,'Short-term interest Rates daily'!$A:$E,3,FALSE)</f>
        <v>6.94</v>
      </c>
      <c r="K456">
        <f>VLOOKUP(A456,'Short-term interest Rates daily'!$A:$E,4,FALSE)</f>
        <v>9.5500000000000007</v>
      </c>
      <c r="L456">
        <f>VLOOKUP(A456,'Short-term interest Rates daily'!$A:$E,5,FALSE)</f>
        <v>5.61</v>
      </c>
    </row>
    <row r="457" spans="1:12" x14ac:dyDescent="0.3">
      <c r="A457" s="1">
        <v>31868</v>
      </c>
      <c r="B457">
        <f>VLOOKUP(A457,'STOCK DATA'!$A$2:$H$522,2,FALSE)</f>
        <v>110</v>
      </c>
      <c r="C457">
        <f>VLOOKUP($A457,'STOCK DATA'!$A$2:H$521,3,FALSE)</f>
        <v>1691.1</v>
      </c>
      <c r="D457">
        <f>VLOOKUP($A457,'STOCK DATA'!$A$2:$H$521,3,FALSE)</f>
        <v>1691.1</v>
      </c>
      <c r="E457">
        <f>VLOOKUP($A457,'STOCK DATA'!$A$2:$H$521,3,FALSE)</f>
        <v>1691.1</v>
      </c>
      <c r="F457">
        <f>VLOOKUP($A457,'STOCK DATA'!$A$2:$H$521,3,FALSE)</f>
        <v>1691.1</v>
      </c>
      <c r="G457">
        <f>VLOOKUP($A457,'STOCK DATA'!$A$2:$H$521,3,FALSE)</f>
        <v>1691.1</v>
      </c>
      <c r="H457">
        <f>VLOOKUP($A457,'STOCK DATA'!$A$2:$H$521,3,FALSE)</f>
        <v>1691.1</v>
      </c>
      <c r="I457">
        <f>VLOOKUP(A457,'Short-term interest Rates daily'!$A:$E,2,FALSE)</f>
        <v>15.8</v>
      </c>
      <c r="J457">
        <f>VLOOKUP(A457,'Short-term interest Rates daily'!$A:$E,3,FALSE)</f>
        <v>7.01</v>
      </c>
      <c r="K457">
        <f>VLOOKUP(A457,'Short-term interest Rates daily'!$A:$E,4,FALSE)</f>
        <v>9.5299999999999994</v>
      </c>
      <c r="L457">
        <f>VLOOKUP(A457,'Short-term interest Rates daily'!$A:$E,5,FALSE)</f>
        <v>5.54</v>
      </c>
    </row>
    <row r="458" spans="1:12" x14ac:dyDescent="0.3">
      <c r="A458" s="1">
        <v>31869</v>
      </c>
      <c r="B458">
        <f>VLOOKUP(A458,'STOCK DATA'!$A$2:$H$522,2,FALSE)</f>
        <v>112.04</v>
      </c>
      <c r="C458">
        <f>VLOOKUP($A458,'STOCK DATA'!$A$2:H$521,3,FALSE)</f>
        <v>1696.8</v>
      </c>
      <c r="D458">
        <f>VLOOKUP($A458,'STOCK DATA'!$A$2:$H$521,3,FALSE)</f>
        <v>1696.8</v>
      </c>
      <c r="E458">
        <f>VLOOKUP($A458,'STOCK DATA'!$A$2:$H$521,3,FALSE)</f>
        <v>1696.8</v>
      </c>
      <c r="F458">
        <f>VLOOKUP($A458,'STOCK DATA'!$A$2:$H$521,3,FALSE)</f>
        <v>1696.8</v>
      </c>
      <c r="G458">
        <f>VLOOKUP($A458,'STOCK DATA'!$A$2:$H$521,3,FALSE)</f>
        <v>1696.8</v>
      </c>
      <c r="H458">
        <f>VLOOKUP($A458,'STOCK DATA'!$A$2:$H$521,3,FALSE)</f>
        <v>1696.8</v>
      </c>
      <c r="I458">
        <f>VLOOKUP(A458,'Short-term interest Rates daily'!$A:$E,2,FALSE)</f>
        <v>15</v>
      </c>
      <c r="J458">
        <f>VLOOKUP(A458,'Short-term interest Rates daily'!$A:$E,3,FALSE)</f>
        <v>6.95</v>
      </c>
      <c r="K458">
        <f>VLOOKUP(A458,'Short-term interest Rates daily'!$A:$E,4,FALSE)</f>
        <v>9.61</v>
      </c>
      <c r="L458">
        <f>VLOOKUP(A458,'Short-term interest Rates daily'!$A:$E,5,FALSE)</f>
        <v>5.51</v>
      </c>
    </row>
    <row r="459" spans="1:12" x14ac:dyDescent="0.3">
      <c r="A459" s="1">
        <v>31870</v>
      </c>
      <c r="B459">
        <f>VLOOKUP(A459,'STOCK DATA'!$A$2:$H$522,2,FALSE)</f>
        <v>112.17</v>
      </c>
      <c r="C459">
        <f>VLOOKUP($A459,'STOCK DATA'!$A$2:H$521,3,FALSE)</f>
        <v>1721.5</v>
      </c>
      <c r="D459">
        <f>VLOOKUP($A459,'STOCK DATA'!$A$2:$H$521,3,FALSE)</f>
        <v>1721.5</v>
      </c>
      <c r="E459">
        <f>VLOOKUP($A459,'STOCK DATA'!$A$2:$H$521,3,FALSE)</f>
        <v>1721.5</v>
      </c>
      <c r="F459">
        <f>VLOOKUP($A459,'STOCK DATA'!$A$2:$H$521,3,FALSE)</f>
        <v>1721.5</v>
      </c>
      <c r="G459">
        <f>VLOOKUP($A459,'STOCK DATA'!$A$2:$H$521,3,FALSE)</f>
        <v>1721.5</v>
      </c>
      <c r="H459">
        <f>VLOOKUP($A459,'STOCK DATA'!$A$2:$H$521,3,FALSE)</f>
        <v>1721.5</v>
      </c>
      <c r="I459">
        <f>VLOOKUP(A459,'Short-term interest Rates daily'!$A:$E,2,FALSE)</f>
        <v>14.75</v>
      </c>
      <c r="J459">
        <f>VLOOKUP(A459,'Short-term interest Rates daily'!$A:$E,3,FALSE)</f>
        <v>6.96</v>
      </c>
      <c r="K459">
        <f>VLOOKUP(A459,'Short-term interest Rates daily'!$A:$E,4,FALSE)</f>
        <v>9.6</v>
      </c>
      <c r="L459">
        <f>VLOOKUP(A459,'Short-term interest Rates daily'!$A:$E,5,FALSE)</f>
        <v>5.5</v>
      </c>
    </row>
    <row r="460" spans="1:12" x14ac:dyDescent="0.3">
      <c r="A460" s="1">
        <v>31871</v>
      </c>
      <c r="B460" t="e">
        <f>VLOOKUP(A460,'STOCK DATA'!$A$2:$H$522,2,FALSE)</f>
        <v>#N/A</v>
      </c>
      <c r="C460" t="e">
        <f>VLOOKUP($A460,'STOCK DATA'!$A$2:H$521,3,FALSE)</f>
        <v>#N/A</v>
      </c>
      <c r="D460" t="e">
        <f>VLOOKUP($A460,'STOCK DATA'!$A$2:$H$521,3,FALSE)</f>
        <v>#N/A</v>
      </c>
      <c r="E460" t="e">
        <f>VLOOKUP($A460,'STOCK DATA'!$A$2:$H$521,3,FALSE)</f>
        <v>#N/A</v>
      </c>
      <c r="F460" t="e">
        <f>VLOOKUP($A460,'STOCK DATA'!$A$2:$H$521,3,FALSE)</f>
        <v>#N/A</v>
      </c>
      <c r="G460" t="e">
        <f>VLOOKUP($A460,'STOCK DATA'!$A$2:$H$521,3,FALSE)</f>
        <v>#N/A</v>
      </c>
      <c r="H460" t="e">
        <f>VLOOKUP($A460,'STOCK DATA'!$A$2:$H$521,3,FALSE)</f>
        <v>#N/A</v>
      </c>
      <c r="I460" t="e">
        <f>VLOOKUP(A460,'Short-term interest Rates daily'!$A:$E,2,FALSE)</f>
        <v>#N/A</v>
      </c>
      <c r="J460" t="e">
        <f>VLOOKUP(A460,'Short-term interest Rates daily'!$A:$E,3,FALSE)</f>
        <v>#N/A</v>
      </c>
      <c r="K460" t="e">
        <f>VLOOKUP(A460,'Short-term interest Rates daily'!$A:$E,4,FALSE)</f>
        <v>#N/A</v>
      </c>
      <c r="L460" t="e">
        <f>VLOOKUP(A460,'Short-term interest Rates daily'!$A:$E,5,FALSE)</f>
        <v>#N/A</v>
      </c>
    </row>
    <row r="461" spans="1:12" x14ac:dyDescent="0.3">
      <c r="A461" s="1">
        <v>31872</v>
      </c>
      <c r="B461" t="e">
        <f>VLOOKUP(A461,'STOCK DATA'!$A$2:$H$522,2,FALSE)</f>
        <v>#N/A</v>
      </c>
      <c r="C461" t="e">
        <f>VLOOKUP($A461,'STOCK DATA'!$A$2:H$521,3,FALSE)</f>
        <v>#N/A</v>
      </c>
      <c r="D461" t="e">
        <f>VLOOKUP($A461,'STOCK DATA'!$A$2:$H$521,3,FALSE)</f>
        <v>#N/A</v>
      </c>
      <c r="E461" t="e">
        <f>VLOOKUP($A461,'STOCK DATA'!$A$2:$H$521,3,FALSE)</f>
        <v>#N/A</v>
      </c>
      <c r="F461" t="e">
        <f>VLOOKUP($A461,'STOCK DATA'!$A$2:$H$521,3,FALSE)</f>
        <v>#N/A</v>
      </c>
      <c r="G461" t="e">
        <f>VLOOKUP($A461,'STOCK DATA'!$A$2:$H$521,3,FALSE)</f>
        <v>#N/A</v>
      </c>
      <c r="H461" t="e">
        <f>VLOOKUP($A461,'STOCK DATA'!$A$2:$H$521,3,FALSE)</f>
        <v>#N/A</v>
      </c>
      <c r="I461" t="e">
        <f>VLOOKUP(A461,'Short-term interest Rates daily'!$A:$E,2,FALSE)</f>
        <v>#N/A</v>
      </c>
      <c r="J461" t="e">
        <f>VLOOKUP(A461,'Short-term interest Rates daily'!$A:$E,3,FALSE)</f>
        <v>#N/A</v>
      </c>
      <c r="K461" t="e">
        <f>VLOOKUP(A461,'Short-term interest Rates daily'!$A:$E,4,FALSE)</f>
        <v>#N/A</v>
      </c>
      <c r="L461" t="e">
        <f>VLOOKUP(A461,'Short-term interest Rates daily'!$A:$E,5,FALSE)</f>
        <v>#N/A</v>
      </c>
    </row>
    <row r="462" spans="1:12" x14ac:dyDescent="0.3">
      <c r="A462" s="1">
        <v>31873</v>
      </c>
      <c r="B462">
        <f>VLOOKUP(A462,'STOCK DATA'!$A$2:$H$522,2,FALSE)</f>
        <v>115.2</v>
      </c>
      <c r="C462">
        <f>VLOOKUP($A462,'STOCK DATA'!$A$2:H$521,3,FALSE)</f>
        <v>1746.4</v>
      </c>
      <c r="D462">
        <f>VLOOKUP($A462,'STOCK DATA'!$A$2:$H$521,3,FALSE)</f>
        <v>1746.4</v>
      </c>
      <c r="E462">
        <f>VLOOKUP($A462,'STOCK DATA'!$A$2:$H$521,3,FALSE)</f>
        <v>1746.4</v>
      </c>
      <c r="F462">
        <f>VLOOKUP($A462,'STOCK DATA'!$A$2:$H$521,3,FALSE)</f>
        <v>1746.4</v>
      </c>
      <c r="G462">
        <f>VLOOKUP($A462,'STOCK DATA'!$A$2:$H$521,3,FALSE)</f>
        <v>1746.4</v>
      </c>
      <c r="H462">
        <f>VLOOKUP($A462,'STOCK DATA'!$A$2:$H$521,3,FALSE)</f>
        <v>1746.4</v>
      </c>
      <c r="I462">
        <f>VLOOKUP(A462,'Short-term interest Rates daily'!$A:$E,2,FALSE)</f>
        <v>15.13</v>
      </c>
      <c r="J462">
        <f>VLOOKUP(A462,'Short-term interest Rates daily'!$A:$E,3,FALSE)</f>
        <v>6.97</v>
      </c>
      <c r="K462">
        <f>VLOOKUP(A462,'Short-term interest Rates daily'!$A:$E,4,FALSE)</f>
        <v>9.4700000000000006</v>
      </c>
      <c r="L462">
        <f>VLOOKUP(A462,'Short-term interest Rates daily'!$A:$E,5,FALSE)</f>
        <v>5.47</v>
      </c>
    </row>
    <row r="463" spans="1:12" x14ac:dyDescent="0.3">
      <c r="A463" s="1">
        <v>31874</v>
      </c>
      <c r="B463">
        <f>VLOOKUP(A463,'STOCK DATA'!$A$2:$H$522,2,FALSE)</f>
        <v>116.16</v>
      </c>
      <c r="C463">
        <f>VLOOKUP($A463,'STOCK DATA'!$A$2:H$521,3,FALSE)</f>
        <v>1755.1</v>
      </c>
      <c r="D463">
        <f>VLOOKUP($A463,'STOCK DATA'!$A$2:$H$521,3,FALSE)</f>
        <v>1755.1</v>
      </c>
      <c r="E463">
        <f>VLOOKUP($A463,'STOCK DATA'!$A$2:$H$521,3,FALSE)</f>
        <v>1755.1</v>
      </c>
      <c r="F463">
        <f>VLOOKUP($A463,'STOCK DATA'!$A$2:$H$521,3,FALSE)</f>
        <v>1755.1</v>
      </c>
      <c r="G463">
        <f>VLOOKUP($A463,'STOCK DATA'!$A$2:$H$521,3,FALSE)</f>
        <v>1755.1</v>
      </c>
      <c r="H463">
        <f>VLOOKUP($A463,'STOCK DATA'!$A$2:$H$521,3,FALSE)</f>
        <v>1755.1</v>
      </c>
      <c r="I463">
        <f>VLOOKUP(A463,'Short-term interest Rates daily'!$A:$E,2,FALSE)</f>
        <v>15.5</v>
      </c>
      <c r="J463">
        <f>VLOOKUP(A463,'Short-term interest Rates daily'!$A:$E,3,FALSE)</f>
        <v>6.94</v>
      </c>
      <c r="K463">
        <f>VLOOKUP(A463,'Short-term interest Rates daily'!$A:$E,4,FALSE)</f>
        <v>9.49</v>
      </c>
      <c r="L463">
        <f>VLOOKUP(A463,'Short-term interest Rates daily'!$A:$E,5,FALSE)</f>
        <v>5.51</v>
      </c>
    </row>
    <row r="464" spans="1:12" x14ac:dyDescent="0.3">
      <c r="A464" s="1">
        <v>31875</v>
      </c>
      <c r="B464">
        <f>VLOOKUP(A464,'STOCK DATA'!$A$2:$H$522,2,FALSE)</f>
        <v>116.17</v>
      </c>
      <c r="C464">
        <f>VLOOKUP($A464,'STOCK DATA'!$A$2:H$521,3,FALSE)</f>
        <v>1758.5</v>
      </c>
      <c r="D464">
        <f>VLOOKUP($A464,'STOCK DATA'!$A$2:$H$521,3,FALSE)</f>
        <v>1758.5</v>
      </c>
      <c r="E464">
        <f>VLOOKUP($A464,'STOCK DATA'!$A$2:$H$521,3,FALSE)</f>
        <v>1758.5</v>
      </c>
      <c r="F464">
        <f>VLOOKUP($A464,'STOCK DATA'!$A$2:$H$521,3,FALSE)</f>
        <v>1758.5</v>
      </c>
      <c r="G464">
        <f>VLOOKUP($A464,'STOCK DATA'!$A$2:$H$521,3,FALSE)</f>
        <v>1758.5</v>
      </c>
      <c r="H464">
        <f>VLOOKUP($A464,'STOCK DATA'!$A$2:$H$521,3,FALSE)</f>
        <v>1758.5</v>
      </c>
      <c r="I464">
        <f>VLOOKUP(A464,'Short-term interest Rates daily'!$A:$E,2,FALSE)</f>
        <v>15.25</v>
      </c>
      <c r="J464">
        <f>VLOOKUP(A464,'Short-term interest Rates daily'!$A:$E,3,FALSE)</f>
        <v>6.96</v>
      </c>
      <c r="K464">
        <f>VLOOKUP(A464,'Short-term interest Rates daily'!$A:$E,4,FALSE)</f>
        <v>9.52</v>
      </c>
      <c r="L464">
        <f>VLOOKUP(A464,'Short-term interest Rates daily'!$A:$E,5,FALSE)</f>
        <v>5.5</v>
      </c>
    </row>
    <row r="465" spans="1:12" x14ac:dyDescent="0.3">
      <c r="A465" s="1">
        <v>31876</v>
      </c>
      <c r="B465">
        <f>VLOOKUP(A465,'STOCK DATA'!$A$2:$H$522,2,FALSE)</f>
        <v>115.06</v>
      </c>
      <c r="C465">
        <f>VLOOKUP($A465,'STOCK DATA'!$A$2:H$521,3,FALSE)</f>
        <v>1771.2</v>
      </c>
      <c r="D465">
        <f>VLOOKUP($A465,'STOCK DATA'!$A$2:$H$521,3,FALSE)</f>
        <v>1771.2</v>
      </c>
      <c r="E465">
        <f>VLOOKUP($A465,'STOCK DATA'!$A$2:$H$521,3,FALSE)</f>
        <v>1771.2</v>
      </c>
      <c r="F465">
        <f>VLOOKUP($A465,'STOCK DATA'!$A$2:$H$521,3,FALSE)</f>
        <v>1771.2</v>
      </c>
      <c r="G465">
        <f>VLOOKUP($A465,'STOCK DATA'!$A$2:$H$521,3,FALSE)</f>
        <v>1771.2</v>
      </c>
      <c r="H465">
        <f>VLOOKUP($A465,'STOCK DATA'!$A$2:$H$521,3,FALSE)</f>
        <v>1771.2</v>
      </c>
      <c r="I465">
        <f>VLOOKUP(A465,'Short-term interest Rates daily'!$A:$E,2,FALSE)</f>
        <v>15.63</v>
      </c>
      <c r="J465">
        <f>VLOOKUP(A465,'Short-term interest Rates daily'!$A:$E,3,FALSE)</f>
        <v>7.01</v>
      </c>
      <c r="K465">
        <f>VLOOKUP(A465,'Short-term interest Rates daily'!$A:$E,4,FALSE)</f>
        <v>9.52</v>
      </c>
      <c r="L465">
        <f>VLOOKUP(A465,'Short-term interest Rates daily'!$A:$E,5,FALSE)</f>
        <v>5.75</v>
      </c>
    </row>
    <row r="466" spans="1:12" x14ac:dyDescent="0.3">
      <c r="A466" s="1">
        <v>31877</v>
      </c>
      <c r="B466">
        <f>VLOOKUP(A466,'STOCK DATA'!$A$2:$H$522,2,FALSE)</f>
        <v>113.12</v>
      </c>
      <c r="C466">
        <f>VLOOKUP($A466,'STOCK DATA'!$A$2:H$521,3,FALSE)</f>
        <v>1787.4</v>
      </c>
      <c r="D466">
        <f>VLOOKUP($A466,'STOCK DATA'!$A$2:$H$521,3,FALSE)</f>
        <v>1787.4</v>
      </c>
      <c r="E466">
        <f>VLOOKUP($A466,'STOCK DATA'!$A$2:$H$521,3,FALSE)</f>
        <v>1787.4</v>
      </c>
      <c r="F466">
        <f>VLOOKUP($A466,'STOCK DATA'!$A$2:$H$521,3,FALSE)</f>
        <v>1787.4</v>
      </c>
      <c r="G466">
        <f>VLOOKUP($A466,'STOCK DATA'!$A$2:$H$521,3,FALSE)</f>
        <v>1787.4</v>
      </c>
      <c r="H466">
        <f>VLOOKUP($A466,'STOCK DATA'!$A$2:$H$521,3,FALSE)</f>
        <v>1787.4</v>
      </c>
      <c r="I466">
        <f>VLOOKUP(A466,'Short-term interest Rates daily'!$A:$E,2,FALSE)</f>
        <v>15.25</v>
      </c>
      <c r="J466">
        <f>VLOOKUP(A466,'Short-term interest Rates daily'!$A:$E,3,FALSE)</f>
        <v>7.03</v>
      </c>
      <c r="K466">
        <f>VLOOKUP(A466,'Short-term interest Rates daily'!$A:$E,4,FALSE)</f>
        <v>9.56</v>
      </c>
      <c r="L466">
        <f>VLOOKUP(A466,'Short-term interest Rates daily'!$A:$E,5,FALSE)</f>
        <v>5.85</v>
      </c>
    </row>
    <row r="467" spans="1:12" x14ac:dyDescent="0.3">
      <c r="A467" s="1">
        <v>31878</v>
      </c>
      <c r="B467" t="e">
        <f>VLOOKUP(A467,'STOCK DATA'!$A$2:$H$522,2,FALSE)</f>
        <v>#N/A</v>
      </c>
      <c r="C467" t="e">
        <f>VLOOKUP($A467,'STOCK DATA'!$A$2:H$521,3,FALSE)</f>
        <v>#N/A</v>
      </c>
      <c r="D467" t="e">
        <f>VLOOKUP($A467,'STOCK DATA'!$A$2:$H$521,3,FALSE)</f>
        <v>#N/A</v>
      </c>
      <c r="E467" t="e">
        <f>VLOOKUP($A467,'STOCK DATA'!$A$2:$H$521,3,FALSE)</f>
        <v>#N/A</v>
      </c>
      <c r="F467" t="e">
        <f>VLOOKUP($A467,'STOCK DATA'!$A$2:$H$521,3,FALSE)</f>
        <v>#N/A</v>
      </c>
      <c r="G467" t="e">
        <f>VLOOKUP($A467,'STOCK DATA'!$A$2:$H$521,3,FALSE)</f>
        <v>#N/A</v>
      </c>
      <c r="H467" t="e">
        <f>VLOOKUP($A467,'STOCK DATA'!$A$2:$H$521,3,FALSE)</f>
        <v>#N/A</v>
      </c>
      <c r="I467" t="e">
        <f>VLOOKUP(A467,'Short-term interest Rates daily'!$A:$E,2,FALSE)</f>
        <v>#N/A</v>
      </c>
      <c r="J467" t="e">
        <f>VLOOKUP(A467,'Short-term interest Rates daily'!$A:$E,3,FALSE)</f>
        <v>#N/A</v>
      </c>
      <c r="K467" t="e">
        <f>VLOOKUP(A467,'Short-term interest Rates daily'!$A:$E,4,FALSE)</f>
        <v>#N/A</v>
      </c>
      <c r="L467" t="e">
        <f>VLOOKUP(A467,'Short-term interest Rates daily'!$A:$E,5,FALSE)</f>
        <v>#N/A</v>
      </c>
    </row>
    <row r="468" spans="1:12" x14ac:dyDescent="0.3">
      <c r="A468" s="1">
        <v>31879</v>
      </c>
      <c r="B468" t="e">
        <f>VLOOKUP(A468,'STOCK DATA'!$A$2:$H$522,2,FALSE)</f>
        <v>#N/A</v>
      </c>
      <c r="C468" t="e">
        <f>VLOOKUP($A468,'STOCK DATA'!$A$2:H$521,3,FALSE)</f>
        <v>#N/A</v>
      </c>
      <c r="D468" t="e">
        <f>VLOOKUP($A468,'STOCK DATA'!$A$2:$H$521,3,FALSE)</f>
        <v>#N/A</v>
      </c>
      <c r="E468" t="e">
        <f>VLOOKUP($A468,'STOCK DATA'!$A$2:$H$521,3,FALSE)</f>
        <v>#N/A</v>
      </c>
      <c r="F468" t="e">
        <f>VLOOKUP($A468,'STOCK DATA'!$A$2:$H$521,3,FALSE)</f>
        <v>#N/A</v>
      </c>
      <c r="G468" t="e">
        <f>VLOOKUP($A468,'STOCK DATA'!$A$2:$H$521,3,FALSE)</f>
        <v>#N/A</v>
      </c>
      <c r="H468" t="e">
        <f>VLOOKUP($A468,'STOCK DATA'!$A$2:$H$521,3,FALSE)</f>
        <v>#N/A</v>
      </c>
      <c r="I468" t="e">
        <f>VLOOKUP(A468,'Short-term interest Rates daily'!$A:$E,2,FALSE)</f>
        <v>#N/A</v>
      </c>
      <c r="J468" t="e">
        <f>VLOOKUP(A468,'Short-term interest Rates daily'!$A:$E,3,FALSE)</f>
        <v>#N/A</v>
      </c>
      <c r="K468" t="e">
        <f>VLOOKUP(A468,'Short-term interest Rates daily'!$A:$E,4,FALSE)</f>
        <v>#N/A</v>
      </c>
      <c r="L468" t="e">
        <f>VLOOKUP(A468,'Short-term interest Rates daily'!$A:$E,5,FALSE)</f>
        <v>#N/A</v>
      </c>
    </row>
    <row r="469" spans="1:12" x14ac:dyDescent="0.3">
      <c r="A469" s="1">
        <v>31880</v>
      </c>
      <c r="B469">
        <f>VLOOKUP(A469,'STOCK DATA'!$A$2:$H$522,2,FALSE)</f>
        <v>112.54</v>
      </c>
      <c r="C469">
        <f>VLOOKUP($A469,'STOCK DATA'!$A$2:H$521,3,FALSE)</f>
        <v>1799.7</v>
      </c>
      <c r="D469">
        <f>VLOOKUP($A469,'STOCK DATA'!$A$2:$H$521,3,FALSE)</f>
        <v>1799.7</v>
      </c>
      <c r="E469">
        <f>VLOOKUP($A469,'STOCK DATA'!$A$2:$H$521,3,FALSE)</f>
        <v>1799.7</v>
      </c>
      <c r="F469">
        <f>VLOOKUP($A469,'STOCK DATA'!$A$2:$H$521,3,FALSE)</f>
        <v>1799.7</v>
      </c>
      <c r="G469">
        <f>VLOOKUP($A469,'STOCK DATA'!$A$2:$H$521,3,FALSE)</f>
        <v>1799.7</v>
      </c>
      <c r="H469">
        <f>VLOOKUP($A469,'STOCK DATA'!$A$2:$H$521,3,FALSE)</f>
        <v>1799.7</v>
      </c>
      <c r="I469">
        <f>VLOOKUP(A469,'Short-term interest Rates daily'!$A:$E,2,FALSE)</f>
        <v>15.13</v>
      </c>
      <c r="J469">
        <f>VLOOKUP(A469,'Short-term interest Rates daily'!$A:$E,3,FALSE)</f>
        <v>7.02</v>
      </c>
      <c r="K469">
        <f>VLOOKUP(A469,'Short-term interest Rates daily'!$A:$E,4,FALSE)</f>
        <v>9.61</v>
      </c>
      <c r="L469">
        <f>VLOOKUP(A469,'Short-term interest Rates daily'!$A:$E,5,FALSE)</f>
        <v>6.02</v>
      </c>
    </row>
    <row r="470" spans="1:12" x14ac:dyDescent="0.3">
      <c r="A470" s="1">
        <v>31881</v>
      </c>
      <c r="B470">
        <f>VLOOKUP(A470,'STOCK DATA'!$A$2:$H$522,2,FALSE)</f>
        <v>110.92</v>
      </c>
      <c r="C470">
        <f>VLOOKUP($A470,'STOCK DATA'!$A$2:H$521,3,FALSE)</f>
        <v>1777.2</v>
      </c>
      <c r="D470">
        <f>VLOOKUP($A470,'STOCK DATA'!$A$2:$H$521,3,FALSE)</f>
        <v>1777.2</v>
      </c>
      <c r="E470">
        <f>VLOOKUP($A470,'STOCK DATA'!$A$2:$H$521,3,FALSE)</f>
        <v>1777.2</v>
      </c>
      <c r="F470">
        <f>VLOOKUP($A470,'STOCK DATA'!$A$2:$H$521,3,FALSE)</f>
        <v>1777.2</v>
      </c>
      <c r="G470">
        <f>VLOOKUP($A470,'STOCK DATA'!$A$2:$H$521,3,FALSE)</f>
        <v>1777.2</v>
      </c>
      <c r="H470">
        <f>VLOOKUP($A470,'STOCK DATA'!$A$2:$H$521,3,FALSE)</f>
        <v>1777.2</v>
      </c>
      <c r="I470">
        <f>VLOOKUP(A470,'Short-term interest Rates daily'!$A:$E,2,FALSE)</f>
        <v>15.1</v>
      </c>
      <c r="J470">
        <f>VLOOKUP(A470,'Short-term interest Rates daily'!$A:$E,3,FALSE)</f>
        <v>7.34</v>
      </c>
      <c r="K470">
        <f>VLOOKUP(A470,'Short-term interest Rates daily'!$A:$E,4,FALSE)</f>
        <v>9.61</v>
      </c>
      <c r="L470">
        <f>VLOOKUP(A470,'Short-term interest Rates daily'!$A:$E,5,FALSE)</f>
        <v>5.92</v>
      </c>
    </row>
    <row r="471" spans="1:12" x14ac:dyDescent="0.3">
      <c r="A471" s="1">
        <v>31882</v>
      </c>
      <c r="B471">
        <f>VLOOKUP(A471,'STOCK DATA'!$A$2:$H$522,2,FALSE)</f>
        <v>112.01</v>
      </c>
      <c r="C471">
        <f>VLOOKUP($A471,'STOCK DATA'!$A$2:H$521,3,FALSE)</f>
        <v>1764.8</v>
      </c>
      <c r="D471">
        <f>VLOOKUP($A471,'STOCK DATA'!$A$2:$H$521,3,FALSE)</f>
        <v>1764.8</v>
      </c>
      <c r="E471">
        <f>VLOOKUP($A471,'STOCK DATA'!$A$2:$H$521,3,FALSE)</f>
        <v>1764.8</v>
      </c>
      <c r="F471">
        <f>VLOOKUP($A471,'STOCK DATA'!$A$2:$H$521,3,FALSE)</f>
        <v>1764.8</v>
      </c>
      <c r="G471">
        <f>VLOOKUP($A471,'STOCK DATA'!$A$2:$H$521,3,FALSE)</f>
        <v>1764.8</v>
      </c>
      <c r="H471">
        <f>VLOOKUP($A471,'STOCK DATA'!$A$2:$H$521,3,FALSE)</f>
        <v>1764.8</v>
      </c>
      <c r="I471">
        <f>VLOOKUP(A471,'Short-term interest Rates daily'!$A:$E,2,FALSE)</f>
        <v>14.88</v>
      </c>
      <c r="J471">
        <f>VLOOKUP(A471,'Short-term interest Rates daily'!$A:$E,3,FALSE)</f>
        <v>7.72</v>
      </c>
      <c r="K471">
        <f>VLOOKUP(A471,'Short-term interest Rates daily'!$A:$E,4,FALSE)</f>
        <v>9.56</v>
      </c>
      <c r="L471">
        <f>VLOOKUP(A471,'Short-term interest Rates daily'!$A:$E,5,FALSE)</f>
        <v>5.68</v>
      </c>
    </row>
    <row r="472" spans="1:12" x14ac:dyDescent="0.3">
      <c r="A472" s="1">
        <v>31883</v>
      </c>
      <c r="B472">
        <f>VLOOKUP(A472,'STOCK DATA'!$A$2:$H$522,2,FALSE)</f>
        <v>112.98</v>
      </c>
      <c r="C472">
        <f>VLOOKUP($A472,'STOCK DATA'!$A$2:H$521,3,FALSE)</f>
        <v>1763.5</v>
      </c>
      <c r="D472">
        <f>VLOOKUP($A472,'STOCK DATA'!$A$2:$H$521,3,FALSE)</f>
        <v>1763.5</v>
      </c>
      <c r="E472">
        <f>VLOOKUP($A472,'STOCK DATA'!$A$2:$H$521,3,FALSE)</f>
        <v>1763.5</v>
      </c>
      <c r="F472">
        <f>VLOOKUP($A472,'STOCK DATA'!$A$2:$H$521,3,FALSE)</f>
        <v>1763.5</v>
      </c>
      <c r="G472">
        <f>VLOOKUP($A472,'STOCK DATA'!$A$2:$H$521,3,FALSE)</f>
        <v>1763.5</v>
      </c>
      <c r="H472">
        <f>VLOOKUP($A472,'STOCK DATA'!$A$2:$H$521,3,FALSE)</f>
        <v>1763.5</v>
      </c>
      <c r="I472">
        <f>VLOOKUP(A472,'Short-term interest Rates daily'!$A:$E,2,FALSE)</f>
        <v>14.6</v>
      </c>
      <c r="J472">
        <f>VLOOKUP(A472,'Short-term interest Rates daily'!$A:$E,3,FALSE)</f>
        <v>7.59</v>
      </c>
      <c r="K472">
        <f>VLOOKUP(A472,'Short-term interest Rates daily'!$A:$E,4,FALSE)</f>
        <v>9.5299999999999994</v>
      </c>
      <c r="L472">
        <f>VLOOKUP(A472,'Short-term interest Rates daily'!$A:$E,5,FALSE)</f>
        <v>5.56</v>
      </c>
    </row>
    <row r="473" spans="1:12" x14ac:dyDescent="0.3">
      <c r="A473" s="1">
        <v>31884</v>
      </c>
      <c r="B473">
        <f>VLOOKUP(A473,'STOCK DATA'!$A$2:$H$522,2,FALSE)</f>
        <v>112.98</v>
      </c>
      <c r="C473">
        <f>VLOOKUP($A473,'STOCK DATA'!$A$2:H$521,3,FALSE)</f>
        <v>0</v>
      </c>
      <c r="D473">
        <f>VLOOKUP($A473,'STOCK DATA'!$A$2:$H$521,3,FALSE)</f>
        <v>0</v>
      </c>
      <c r="E473">
        <f>VLOOKUP($A473,'STOCK DATA'!$A$2:$H$521,3,FALSE)</f>
        <v>0</v>
      </c>
      <c r="F473">
        <f>VLOOKUP($A473,'STOCK DATA'!$A$2:$H$521,3,FALSE)</f>
        <v>0</v>
      </c>
      <c r="G473">
        <f>VLOOKUP($A473,'STOCK DATA'!$A$2:$H$521,3,FALSE)</f>
        <v>0</v>
      </c>
      <c r="H473">
        <f>VLOOKUP($A473,'STOCK DATA'!$A$2:$H$521,3,FALSE)</f>
        <v>0</v>
      </c>
      <c r="I473">
        <f>VLOOKUP(A473,'Short-term interest Rates daily'!$A:$E,2,FALSE)</f>
        <v>0</v>
      </c>
      <c r="J473">
        <f>VLOOKUP(A473,'Short-term interest Rates daily'!$A:$E,3,FALSE)</f>
        <v>0</v>
      </c>
      <c r="K473">
        <f>VLOOKUP(A473,'Short-term interest Rates daily'!$A:$E,4,FALSE)</f>
        <v>9.5299999999999994</v>
      </c>
      <c r="L473">
        <f>VLOOKUP(A473,'Short-term interest Rates daily'!$A:$E,5,FALSE)</f>
        <v>0</v>
      </c>
    </row>
    <row r="474" spans="1:12" x14ac:dyDescent="0.3">
      <c r="A474" s="1">
        <v>31885</v>
      </c>
      <c r="B474" t="e">
        <f>VLOOKUP(A474,'STOCK DATA'!$A$2:$H$522,2,FALSE)</f>
        <v>#N/A</v>
      </c>
      <c r="C474" t="e">
        <f>VLOOKUP($A474,'STOCK DATA'!$A$2:H$521,3,FALSE)</f>
        <v>#N/A</v>
      </c>
      <c r="D474" t="e">
        <f>VLOOKUP($A474,'STOCK DATA'!$A$2:$H$521,3,FALSE)</f>
        <v>#N/A</v>
      </c>
      <c r="E474" t="e">
        <f>VLOOKUP($A474,'STOCK DATA'!$A$2:$H$521,3,FALSE)</f>
        <v>#N/A</v>
      </c>
      <c r="F474" t="e">
        <f>VLOOKUP($A474,'STOCK DATA'!$A$2:$H$521,3,FALSE)</f>
        <v>#N/A</v>
      </c>
      <c r="G474" t="e">
        <f>VLOOKUP($A474,'STOCK DATA'!$A$2:$H$521,3,FALSE)</f>
        <v>#N/A</v>
      </c>
      <c r="H474" t="e">
        <f>VLOOKUP($A474,'STOCK DATA'!$A$2:$H$521,3,FALSE)</f>
        <v>#N/A</v>
      </c>
      <c r="I474" t="e">
        <f>VLOOKUP(A474,'Short-term interest Rates daily'!$A:$E,2,FALSE)</f>
        <v>#N/A</v>
      </c>
      <c r="J474" t="e">
        <f>VLOOKUP(A474,'Short-term interest Rates daily'!$A:$E,3,FALSE)</f>
        <v>#N/A</v>
      </c>
      <c r="K474" t="e">
        <f>VLOOKUP(A474,'Short-term interest Rates daily'!$A:$E,4,FALSE)</f>
        <v>#N/A</v>
      </c>
      <c r="L474" t="e">
        <f>VLOOKUP(A474,'Short-term interest Rates daily'!$A:$E,5,FALSE)</f>
        <v>#N/A</v>
      </c>
    </row>
    <row r="475" spans="1:12" x14ac:dyDescent="0.3">
      <c r="A475" s="1">
        <v>31886</v>
      </c>
      <c r="B475" t="e">
        <f>VLOOKUP(A475,'STOCK DATA'!$A$2:$H$522,2,FALSE)</f>
        <v>#N/A</v>
      </c>
      <c r="C475" t="e">
        <f>VLOOKUP($A475,'STOCK DATA'!$A$2:H$521,3,FALSE)</f>
        <v>#N/A</v>
      </c>
      <c r="D475" t="e">
        <f>VLOOKUP($A475,'STOCK DATA'!$A$2:$H$521,3,FALSE)</f>
        <v>#N/A</v>
      </c>
      <c r="E475" t="e">
        <f>VLOOKUP($A475,'STOCK DATA'!$A$2:$H$521,3,FALSE)</f>
        <v>#N/A</v>
      </c>
      <c r="F475" t="e">
        <f>VLOOKUP($A475,'STOCK DATA'!$A$2:$H$521,3,FALSE)</f>
        <v>#N/A</v>
      </c>
      <c r="G475" t="e">
        <f>VLOOKUP($A475,'STOCK DATA'!$A$2:$H$521,3,FALSE)</f>
        <v>#N/A</v>
      </c>
      <c r="H475" t="e">
        <f>VLOOKUP($A475,'STOCK DATA'!$A$2:$H$521,3,FALSE)</f>
        <v>#N/A</v>
      </c>
      <c r="I475" t="e">
        <f>VLOOKUP(A475,'Short-term interest Rates daily'!$A:$E,2,FALSE)</f>
        <v>#N/A</v>
      </c>
      <c r="J475" t="e">
        <f>VLOOKUP(A475,'Short-term interest Rates daily'!$A:$E,3,FALSE)</f>
        <v>#N/A</v>
      </c>
      <c r="K475" t="e">
        <f>VLOOKUP(A475,'Short-term interest Rates daily'!$A:$E,4,FALSE)</f>
        <v>#N/A</v>
      </c>
      <c r="L475" t="e">
        <f>VLOOKUP(A475,'Short-term interest Rates daily'!$A:$E,5,FALSE)</f>
        <v>#N/A</v>
      </c>
    </row>
    <row r="476" spans="1:12" x14ac:dyDescent="0.3">
      <c r="A476" s="1">
        <v>31887</v>
      </c>
      <c r="B476">
        <f>VLOOKUP(A476,'STOCK DATA'!$A$2:$H$522,2,FALSE)</f>
        <v>112.98</v>
      </c>
      <c r="C476">
        <f>VLOOKUP($A476,'STOCK DATA'!$A$2:H$521,3,FALSE)</f>
        <v>0</v>
      </c>
      <c r="D476">
        <f>VLOOKUP($A476,'STOCK DATA'!$A$2:$H$521,3,FALSE)</f>
        <v>0</v>
      </c>
      <c r="E476">
        <f>VLOOKUP($A476,'STOCK DATA'!$A$2:$H$521,3,FALSE)</f>
        <v>0</v>
      </c>
      <c r="F476">
        <f>VLOOKUP($A476,'STOCK DATA'!$A$2:$H$521,3,FALSE)</f>
        <v>0</v>
      </c>
      <c r="G476">
        <f>VLOOKUP($A476,'STOCK DATA'!$A$2:$H$521,3,FALSE)</f>
        <v>0</v>
      </c>
      <c r="H476">
        <f>VLOOKUP($A476,'STOCK DATA'!$A$2:$H$521,3,FALSE)</f>
        <v>0</v>
      </c>
      <c r="I476">
        <f>VLOOKUP(A476,'Short-term interest Rates daily'!$A:$E,2,FALSE)</f>
        <v>0</v>
      </c>
      <c r="J476">
        <f>VLOOKUP(A476,'Short-term interest Rates daily'!$A:$E,3,FALSE)</f>
        <v>7.56</v>
      </c>
      <c r="K476">
        <f>VLOOKUP(A476,'Short-term interest Rates daily'!$A:$E,4,FALSE)</f>
        <v>9.5299999999999994</v>
      </c>
      <c r="L476">
        <f>VLOOKUP(A476,'Short-term interest Rates daily'!$A:$E,5,FALSE)</f>
        <v>5.54</v>
      </c>
    </row>
    <row r="477" spans="1:12" x14ac:dyDescent="0.3">
      <c r="A477" s="1">
        <v>31888</v>
      </c>
      <c r="B477">
        <f>VLOOKUP(A477,'STOCK DATA'!$A$2:$H$522,2,FALSE)</f>
        <v>111.68</v>
      </c>
      <c r="C477">
        <f>VLOOKUP($A477,'STOCK DATA'!$A$2:H$521,3,FALSE)</f>
        <v>1763.3</v>
      </c>
      <c r="D477">
        <f>VLOOKUP($A477,'STOCK DATA'!$A$2:$H$521,3,FALSE)</f>
        <v>1763.3</v>
      </c>
      <c r="E477">
        <f>VLOOKUP($A477,'STOCK DATA'!$A$2:$H$521,3,FALSE)</f>
        <v>1763.3</v>
      </c>
      <c r="F477">
        <f>VLOOKUP($A477,'STOCK DATA'!$A$2:$H$521,3,FALSE)</f>
        <v>1763.3</v>
      </c>
      <c r="G477">
        <f>VLOOKUP($A477,'STOCK DATA'!$A$2:$H$521,3,FALSE)</f>
        <v>1763.3</v>
      </c>
      <c r="H477">
        <f>VLOOKUP($A477,'STOCK DATA'!$A$2:$H$521,3,FALSE)</f>
        <v>1763.3</v>
      </c>
      <c r="I477">
        <f>VLOOKUP(A477,'Short-term interest Rates daily'!$A:$E,2,FALSE)</f>
        <v>14.5</v>
      </c>
      <c r="J477">
        <f>VLOOKUP(A477,'Short-term interest Rates daily'!$A:$E,3,FALSE)</f>
        <v>7.73</v>
      </c>
      <c r="K477">
        <f>VLOOKUP(A477,'Short-term interest Rates daily'!$A:$E,4,FALSE)</f>
        <v>9.5500000000000007</v>
      </c>
      <c r="L477">
        <f>VLOOKUP(A477,'Short-term interest Rates daily'!$A:$E,5,FALSE)</f>
        <v>5.5</v>
      </c>
    </row>
    <row r="478" spans="1:12" x14ac:dyDescent="0.3">
      <c r="A478" s="1">
        <v>31889</v>
      </c>
      <c r="B478">
        <f>VLOOKUP(A478,'STOCK DATA'!$A$2:$H$522,2,FALSE)</f>
        <v>112.97</v>
      </c>
      <c r="C478">
        <f>VLOOKUP($A478,'STOCK DATA'!$A$2:H$521,3,FALSE)</f>
        <v>1754.7</v>
      </c>
      <c r="D478">
        <f>VLOOKUP($A478,'STOCK DATA'!$A$2:$H$521,3,FALSE)</f>
        <v>1754.7</v>
      </c>
      <c r="E478">
        <f>VLOOKUP($A478,'STOCK DATA'!$A$2:$H$521,3,FALSE)</f>
        <v>1754.7</v>
      </c>
      <c r="F478">
        <f>VLOOKUP($A478,'STOCK DATA'!$A$2:$H$521,3,FALSE)</f>
        <v>1754.7</v>
      </c>
      <c r="G478">
        <f>VLOOKUP($A478,'STOCK DATA'!$A$2:$H$521,3,FALSE)</f>
        <v>1754.7</v>
      </c>
      <c r="H478">
        <f>VLOOKUP($A478,'STOCK DATA'!$A$2:$H$521,3,FALSE)</f>
        <v>1754.7</v>
      </c>
      <c r="I478">
        <f>VLOOKUP(A478,'Short-term interest Rates daily'!$A:$E,2,FALSE)</f>
        <v>14.35</v>
      </c>
      <c r="J478">
        <f>VLOOKUP(A478,'Short-term interest Rates daily'!$A:$E,3,FALSE)</f>
        <v>7.98</v>
      </c>
      <c r="K478">
        <f>VLOOKUP(A478,'Short-term interest Rates daily'!$A:$E,4,FALSE)</f>
        <v>9.56</v>
      </c>
      <c r="L478">
        <f>VLOOKUP(A478,'Short-term interest Rates daily'!$A:$E,5,FALSE)</f>
        <v>5.42</v>
      </c>
    </row>
    <row r="479" spans="1:12" x14ac:dyDescent="0.3">
      <c r="A479" s="1">
        <v>31890</v>
      </c>
      <c r="B479">
        <f>VLOOKUP(A479,'STOCK DATA'!$A$2:$H$522,2,FALSE)</f>
        <v>112.03</v>
      </c>
      <c r="C479">
        <f>VLOOKUP($A479,'STOCK DATA'!$A$2:H$521,3,FALSE)</f>
        <v>1743.3</v>
      </c>
      <c r="D479">
        <f>VLOOKUP($A479,'STOCK DATA'!$A$2:$H$521,3,FALSE)</f>
        <v>1743.3</v>
      </c>
      <c r="E479">
        <f>VLOOKUP($A479,'STOCK DATA'!$A$2:$H$521,3,FALSE)</f>
        <v>1743.3</v>
      </c>
      <c r="F479">
        <f>VLOOKUP($A479,'STOCK DATA'!$A$2:$H$521,3,FALSE)</f>
        <v>1743.3</v>
      </c>
      <c r="G479">
        <f>VLOOKUP($A479,'STOCK DATA'!$A$2:$H$521,3,FALSE)</f>
        <v>1743.3</v>
      </c>
      <c r="H479">
        <f>VLOOKUP($A479,'STOCK DATA'!$A$2:$H$521,3,FALSE)</f>
        <v>1743.3</v>
      </c>
      <c r="I479">
        <f>VLOOKUP(A479,'Short-term interest Rates daily'!$A:$E,2,FALSE)</f>
        <v>14.33</v>
      </c>
      <c r="J479">
        <f>VLOOKUP(A479,'Short-term interest Rates daily'!$A:$E,3,FALSE)</f>
        <v>8.09</v>
      </c>
      <c r="K479">
        <f>VLOOKUP(A479,'Short-term interest Rates daily'!$A:$E,4,FALSE)</f>
        <v>9.5299999999999994</v>
      </c>
      <c r="L479">
        <f>VLOOKUP(A479,'Short-term interest Rates daily'!$A:$E,5,FALSE)</f>
        <v>5.49</v>
      </c>
    </row>
    <row r="480" spans="1:12" x14ac:dyDescent="0.3">
      <c r="A480" s="1">
        <v>31891</v>
      </c>
      <c r="B480">
        <f>VLOOKUP(A480,'STOCK DATA'!$A$2:$H$522,2,FALSE)</f>
        <v>110.92</v>
      </c>
      <c r="C480">
        <f>VLOOKUP($A480,'STOCK DATA'!$A$2:H$521,3,FALSE)</f>
        <v>1776.7</v>
      </c>
      <c r="D480">
        <f>VLOOKUP($A480,'STOCK DATA'!$A$2:$H$521,3,FALSE)</f>
        <v>1776.7</v>
      </c>
      <c r="E480">
        <f>VLOOKUP($A480,'STOCK DATA'!$A$2:$H$521,3,FALSE)</f>
        <v>1776.7</v>
      </c>
      <c r="F480">
        <f>VLOOKUP($A480,'STOCK DATA'!$A$2:$H$521,3,FALSE)</f>
        <v>1776.7</v>
      </c>
      <c r="G480">
        <f>VLOOKUP($A480,'STOCK DATA'!$A$2:$H$521,3,FALSE)</f>
        <v>1776.7</v>
      </c>
      <c r="H480">
        <f>VLOOKUP($A480,'STOCK DATA'!$A$2:$H$521,3,FALSE)</f>
        <v>1776.7</v>
      </c>
      <c r="I480">
        <f>VLOOKUP(A480,'Short-term interest Rates daily'!$A:$E,2,FALSE)</f>
        <v>14.05</v>
      </c>
      <c r="J480">
        <f>VLOOKUP(A480,'Short-term interest Rates daily'!$A:$E,3,FALSE)</f>
        <v>8.3000000000000007</v>
      </c>
      <c r="K480">
        <f>VLOOKUP(A480,'Short-term interest Rates daily'!$A:$E,4,FALSE)</f>
        <v>9.36</v>
      </c>
      <c r="L480">
        <f>VLOOKUP(A480,'Short-term interest Rates daily'!$A:$E,5,FALSE)</f>
        <v>5.76</v>
      </c>
    </row>
    <row r="481" spans="1:12" x14ac:dyDescent="0.3">
      <c r="A481" s="1">
        <v>31892</v>
      </c>
      <c r="B481" t="e">
        <f>VLOOKUP(A481,'STOCK DATA'!$A$2:$H$522,2,FALSE)</f>
        <v>#N/A</v>
      </c>
      <c r="C481" t="e">
        <f>VLOOKUP($A481,'STOCK DATA'!$A$2:H$521,3,FALSE)</f>
        <v>#N/A</v>
      </c>
      <c r="D481" t="e">
        <f>VLOOKUP($A481,'STOCK DATA'!$A$2:$H$521,3,FALSE)</f>
        <v>#N/A</v>
      </c>
      <c r="E481" t="e">
        <f>VLOOKUP($A481,'STOCK DATA'!$A$2:$H$521,3,FALSE)</f>
        <v>#N/A</v>
      </c>
      <c r="F481" t="e">
        <f>VLOOKUP($A481,'STOCK DATA'!$A$2:$H$521,3,FALSE)</f>
        <v>#N/A</v>
      </c>
      <c r="G481" t="e">
        <f>VLOOKUP($A481,'STOCK DATA'!$A$2:$H$521,3,FALSE)</f>
        <v>#N/A</v>
      </c>
      <c r="H481" t="e">
        <f>VLOOKUP($A481,'STOCK DATA'!$A$2:$H$521,3,FALSE)</f>
        <v>#N/A</v>
      </c>
      <c r="I481" t="e">
        <f>VLOOKUP(A481,'Short-term interest Rates daily'!$A:$E,2,FALSE)</f>
        <v>#N/A</v>
      </c>
      <c r="J481" t="e">
        <f>VLOOKUP(A481,'Short-term interest Rates daily'!$A:$E,3,FALSE)</f>
        <v>#N/A</v>
      </c>
      <c r="K481" t="e">
        <f>VLOOKUP(A481,'Short-term interest Rates daily'!$A:$E,4,FALSE)</f>
        <v>#N/A</v>
      </c>
      <c r="L481" t="e">
        <f>VLOOKUP(A481,'Short-term interest Rates daily'!$A:$E,5,FALSE)</f>
        <v>#N/A</v>
      </c>
    </row>
    <row r="482" spans="1:12" x14ac:dyDescent="0.3">
      <c r="A482" s="1">
        <v>31893</v>
      </c>
      <c r="B482" t="e">
        <f>VLOOKUP(A482,'STOCK DATA'!$A$2:$H$522,2,FALSE)</f>
        <v>#N/A</v>
      </c>
      <c r="C482" t="e">
        <f>VLOOKUP($A482,'STOCK DATA'!$A$2:H$521,3,FALSE)</f>
        <v>#N/A</v>
      </c>
      <c r="D482" t="e">
        <f>VLOOKUP($A482,'STOCK DATA'!$A$2:$H$521,3,FALSE)</f>
        <v>#N/A</v>
      </c>
      <c r="E482" t="e">
        <f>VLOOKUP($A482,'STOCK DATA'!$A$2:$H$521,3,FALSE)</f>
        <v>#N/A</v>
      </c>
      <c r="F482" t="e">
        <f>VLOOKUP($A482,'STOCK DATA'!$A$2:$H$521,3,FALSE)</f>
        <v>#N/A</v>
      </c>
      <c r="G482" t="e">
        <f>VLOOKUP($A482,'STOCK DATA'!$A$2:$H$521,3,FALSE)</f>
        <v>#N/A</v>
      </c>
      <c r="H482" t="e">
        <f>VLOOKUP($A482,'STOCK DATA'!$A$2:$H$521,3,FALSE)</f>
        <v>#N/A</v>
      </c>
      <c r="I482" t="e">
        <f>VLOOKUP(A482,'Short-term interest Rates daily'!$A:$E,2,FALSE)</f>
        <v>#N/A</v>
      </c>
      <c r="J482" t="e">
        <f>VLOOKUP(A482,'Short-term interest Rates daily'!$A:$E,3,FALSE)</f>
        <v>#N/A</v>
      </c>
      <c r="K482" t="e">
        <f>VLOOKUP(A482,'Short-term interest Rates daily'!$A:$E,4,FALSE)</f>
        <v>#N/A</v>
      </c>
      <c r="L482" t="e">
        <f>VLOOKUP(A482,'Short-term interest Rates daily'!$A:$E,5,FALSE)</f>
        <v>#N/A</v>
      </c>
    </row>
    <row r="483" spans="1:12" x14ac:dyDescent="0.3">
      <c r="A483" s="1">
        <v>31894</v>
      </c>
      <c r="B483">
        <f>VLOOKUP(A483,'STOCK DATA'!$A$2:$H$522,2,FALSE)</f>
        <v>108.47</v>
      </c>
      <c r="C483">
        <f>VLOOKUP($A483,'STOCK DATA'!$A$2:H$521,3,FALSE)</f>
        <v>1799.9</v>
      </c>
      <c r="D483">
        <f>VLOOKUP($A483,'STOCK DATA'!$A$2:$H$521,3,FALSE)</f>
        <v>1799.9</v>
      </c>
      <c r="E483">
        <f>VLOOKUP($A483,'STOCK DATA'!$A$2:$H$521,3,FALSE)</f>
        <v>1799.9</v>
      </c>
      <c r="F483">
        <f>VLOOKUP($A483,'STOCK DATA'!$A$2:$H$521,3,FALSE)</f>
        <v>1799.9</v>
      </c>
      <c r="G483">
        <f>VLOOKUP($A483,'STOCK DATA'!$A$2:$H$521,3,FALSE)</f>
        <v>1799.9</v>
      </c>
      <c r="H483">
        <f>VLOOKUP($A483,'STOCK DATA'!$A$2:$H$521,3,FALSE)</f>
        <v>1799.9</v>
      </c>
      <c r="I483">
        <f>VLOOKUP(A483,'Short-term interest Rates daily'!$A:$E,2,FALSE)</f>
        <v>14.15</v>
      </c>
      <c r="J483">
        <f>VLOOKUP(A483,'Short-term interest Rates daily'!$A:$E,3,FALSE)</f>
        <v>8.25</v>
      </c>
      <c r="K483">
        <f>VLOOKUP(A483,'Short-term interest Rates daily'!$A:$E,4,FALSE)</f>
        <v>9.2200000000000006</v>
      </c>
      <c r="L483">
        <f>VLOOKUP(A483,'Short-term interest Rates daily'!$A:$E,5,FALSE)</f>
        <v>5.78</v>
      </c>
    </row>
    <row r="484" spans="1:12" x14ac:dyDescent="0.3">
      <c r="A484" s="1">
        <v>31895</v>
      </c>
      <c r="B484">
        <f>VLOOKUP(A484,'STOCK DATA'!$A$2:$H$522,2,FALSE)</f>
        <v>110.2</v>
      </c>
      <c r="C484">
        <f>VLOOKUP($A484,'STOCK DATA'!$A$2:H$521,3,FALSE)</f>
        <v>1749.3</v>
      </c>
      <c r="D484">
        <f>VLOOKUP($A484,'STOCK DATA'!$A$2:$H$521,3,FALSE)</f>
        <v>1749.3</v>
      </c>
      <c r="E484">
        <f>VLOOKUP($A484,'STOCK DATA'!$A$2:$H$521,3,FALSE)</f>
        <v>1749.3</v>
      </c>
      <c r="F484">
        <f>VLOOKUP($A484,'STOCK DATA'!$A$2:$H$521,3,FALSE)</f>
        <v>1749.3</v>
      </c>
      <c r="G484">
        <f>VLOOKUP($A484,'STOCK DATA'!$A$2:$H$521,3,FALSE)</f>
        <v>1749.3</v>
      </c>
      <c r="H484">
        <f>VLOOKUP($A484,'STOCK DATA'!$A$2:$H$521,3,FALSE)</f>
        <v>1749.3</v>
      </c>
      <c r="I484">
        <f>VLOOKUP(A484,'Short-term interest Rates daily'!$A:$E,2,FALSE)</f>
        <v>14.28</v>
      </c>
      <c r="J484">
        <f>VLOOKUP(A484,'Short-term interest Rates daily'!$A:$E,3,FALSE)</f>
        <v>8.1300000000000008</v>
      </c>
      <c r="K484">
        <f>VLOOKUP(A484,'Short-term interest Rates daily'!$A:$E,4,FALSE)</f>
        <v>9.2799999999999994</v>
      </c>
      <c r="L484">
        <f>VLOOKUP(A484,'Short-term interest Rates daily'!$A:$E,5,FALSE)</f>
        <v>5.82</v>
      </c>
    </row>
    <row r="485" spans="1:12" x14ac:dyDescent="0.3">
      <c r="A485" s="1">
        <v>31896</v>
      </c>
      <c r="B485">
        <f>VLOOKUP(A485,'STOCK DATA'!$A$2:$H$522,2,FALSE)</f>
        <v>109.67</v>
      </c>
      <c r="C485">
        <f>VLOOKUP($A485,'STOCK DATA'!$A$2:H$521,3,FALSE)</f>
        <v>1756.8</v>
      </c>
      <c r="D485">
        <f>VLOOKUP($A485,'STOCK DATA'!$A$2:$H$521,3,FALSE)</f>
        <v>1756.8</v>
      </c>
      <c r="E485">
        <f>VLOOKUP($A485,'STOCK DATA'!$A$2:$H$521,3,FALSE)</f>
        <v>1756.8</v>
      </c>
      <c r="F485">
        <f>VLOOKUP($A485,'STOCK DATA'!$A$2:$H$521,3,FALSE)</f>
        <v>1756.8</v>
      </c>
      <c r="G485">
        <f>VLOOKUP($A485,'STOCK DATA'!$A$2:$H$521,3,FALSE)</f>
        <v>1756.8</v>
      </c>
      <c r="H485">
        <f>VLOOKUP($A485,'STOCK DATA'!$A$2:$H$521,3,FALSE)</f>
        <v>1756.8</v>
      </c>
      <c r="I485">
        <f>VLOOKUP(A485,'Short-term interest Rates daily'!$A:$E,2,FALSE)</f>
        <v>14.15</v>
      </c>
      <c r="J485">
        <f>VLOOKUP(A485,'Short-term interest Rates daily'!$A:$E,3,FALSE)</f>
        <v>8.0299999999999994</v>
      </c>
      <c r="K485">
        <f>VLOOKUP(A485,'Short-term interest Rates daily'!$A:$E,4,FALSE)</f>
        <v>9.09</v>
      </c>
      <c r="L485">
        <f>VLOOKUP(A485,'Short-term interest Rates daily'!$A:$E,5,FALSE)</f>
        <v>5.71</v>
      </c>
    </row>
    <row r="486" spans="1:12" x14ac:dyDescent="0.3">
      <c r="A486" s="1">
        <v>31897</v>
      </c>
      <c r="B486">
        <f>VLOOKUP(A486,'STOCK DATA'!$A$2:$H$522,2,FALSE)</f>
        <v>109.67</v>
      </c>
      <c r="C486">
        <f>VLOOKUP($A486,'STOCK DATA'!$A$2:H$521,3,FALSE)</f>
        <v>1749.6</v>
      </c>
      <c r="D486">
        <f>VLOOKUP($A486,'STOCK DATA'!$A$2:$H$521,3,FALSE)</f>
        <v>1749.6</v>
      </c>
      <c r="E486">
        <f>VLOOKUP($A486,'STOCK DATA'!$A$2:$H$521,3,FALSE)</f>
        <v>1749.6</v>
      </c>
      <c r="F486">
        <f>VLOOKUP($A486,'STOCK DATA'!$A$2:$H$521,3,FALSE)</f>
        <v>1749.6</v>
      </c>
      <c r="G486">
        <f>VLOOKUP($A486,'STOCK DATA'!$A$2:$H$521,3,FALSE)</f>
        <v>1749.6</v>
      </c>
      <c r="H486">
        <f>VLOOKUP($A486,'STOCK DATA'!$A$2:$H$521,3,FALSE)</f>
        <v>1749.6</v>
      </c>
      <c r="I486">
        <f>VLOOKUP(A486,'Short-term interest Rates daily'!$A:$E,2,FALSE)</f>
        <v>14.2</v>
      </c>
      <c r="J486">
        <f>VLOOKUP(A486,'Short-term interest Rates daily'!$A:$E,3,FALSE)</f>
        <v>8.0399999999999991</v>
      </c>
      <c r="K486">
        <f>VLOOKUP(A486,'Short-term interest Rates daily'!$A:$E,4,FALSE)</f>
        <v>8.99</v>
      </c>
      <c r="L486">
        <f>VLOOKUP(A486,'Short-term interest Rates daily'!$A:$E,5,FALSE)</f>
        <v>5.53</v>
      </c>
    </row>
    <row r="487" spans="1:12" x14ac:dyDescent="0.3">
      <c r="A487" s="1">
        <v>31898</v>
      </c>
      <c r="B487">
        <f>VLOOKUP(A487,'STOCK DATA'!$A$2:$H$522,2,FALSE)</f>
        <v>109.31</v>
      </c>
      <c r="C487">
        <f>VLOOKUP($A487,'STOCK DATA'!$A$2:H$521,3,FALSE)</f>
        <v>1753.3</v>
      </c>
      <c r="D487">
        <f>VLOOKUP($A487,'STOCK DATA'!$A$2:$H$521,3,FALSE)</f>
        <v>1753.3</v>
      </c>
      <c r="E487">
        <f>VLOOKUP($A487,'STOCK DATA'!$A$2:$H$521,3,FALSE)</f>
        <v>1753.3</v>
      </c>
      <c r="F487">
        <f>VLOOKUP($A487,'STOCK DATA'!$A$2:$H$521,3,FALSE)</f>
        <v>1753.3</v>
      </c>
      <c r="G487">
        <f>VLOOKUP($A487,'STOCK DATA'!$A$2:$H$521,3,FALSE)</f>
        <v>1753.3</v>
      </c>
      <c r="H487">
        <f>VLOOKUP($A487,'STOCK DATA'!$A$2:$H$521,3,FALSE)</f>
        <v>1753.3</v>
      </c>
      <c r="I487">
        <f>VLOOKUP(A487,'Short-term interest Rates daily'!$A:$E,2,FALSE)</f>
        <v>14.25</v>
      </c>
      <c r="J487">
        <f>VLOOKUP(A487,'Short-term interest Rates daily'!$A:$E,3,FALSE)</f>
        <v>8.09</v>
      </c>
      <c r="K487">
        <f>VLOOKUP(A487,'Short-term interest Rates daily'!$A:$E,4,FALSE)</f>
        <v>8.81</v>
      </c>
      <c r="L487">
        <f>VLOOKUP(A487,'Short-term interest Rates daily'!$A:$E,5,FALSE)</f>
        <v>5.6</v>
      </c>
    </row>
    <row r="488" spans="1:12" x14ac:dyDescent="0.3">
      <c r="A488" s="1">
        <v>31899</v>
      </c>
      <c r="B488" t="e">
        <f>VLOOKUP(A488,'STOCK DATA'!$A$2:$H$522,2,FALSE)</f>
        <v>#N/A</v>
      </c>
      <c r="C488" t="e">
        <f>VLOOKUP($A488,'STOCK DATA'!$A$2:H$521,3,FALSE)</f>
        <v>#N/A</v>
      </c>
      <c r="D488" t="e">
        <f>VLOOKUP($A488,'STOCK DATA'!$A$2:$H$521,3,FALSE)</f>
        <v>#N/A</v>
      </c>
      <c r="E488" t="e">
        <f>VLOOKUP($A488,'STOCK DATA'!$A$2:$H$521,3,FALSE)</f>
        <v>#N/A</v>
      </c>
      <c r="F488" t="e">
        <f>VLOOKUP($A488,'STOCK DATA'!$A$2:$H$521,3,FALSE)</f>
        <v>#N/A</v>
      </c>
      <c r="G488" t="e">
        <f>VLOOKUP($A488,'STOCK DATA'!$A$2:$H$521,3,FALSE)</f>
        <v>#N/A</v>
      </c>
      <c r="H488" t="e">
        <f>VLOOKUP($A488,'STOCK DATA'!$A$2:$H$521,3,FALSE)</f>
        <v>#N/A</v>
      </c>
      <c r="I488" t="e">
        <f>VLOOKUP(A488,'Short-term interest Rates daily'!$A:$E,2,FALSE)</f>
        <v>#N/A</v>
      </c>
      <c r="J488" t="e">
        <f>VLOOKUP(A488,'Short-term interest Rates daily'!$A:$E,3,FALSE)</f>
        <v>#N/A</v>
      </c>
      <c r="K488" t="e">
        <f>VLOOKUP(A488,'Short-term interest Rates daily'!$A:$E,4,FALSE)</f>
        <v>#N/A</v>
      </c>
      <c r="L488" t="e">
        <f>VLOOKUP(A488,'Short-term interest Rates daily'!$A:$E,5,FALSE)</f>
        <v>#N/A</v>
      </c>
    </row>
    <row r="489" spans="1:12" x14ac:dyDescent="0.3">
      <c r="A489" s="1">
        <v>31900</v>
      </c>
      <c r="B489" t="e">
        <f>VLOOKUP(A489,'STOCK DATA'!$A$2:$H$522,2,FALSE)</f>
        <v>#N/A</v>
      </c>
      <c r="C489" t="e">
        <f>VLOOKUP($A489,'STOCK DATA'!$A$2:H$521,3,FALSE)</f>
        <v>#N/A</v>
      </c>
      <c r="D489" t="e">
        <f>VLOOKUP($A489,'STOCK DATA'!$A$2:$H$521,3,FALSE)</f>
        <v>#N/A</v>
      </c>
      <c r="E489" t="e">
        <f>VLOOKUP($A489,'STOCK DATA'!$A$2:$H$521,3,FALSE)</f>
        <v>#N/A</v>
      </c>
      <c r="F489" t="e">
        <f>VLOOKUP($A489,'STOCK DATA'!$A$2:$H$521,3,FALSE)</f>
        <v>#N/A</v>
      </c>
      <c r="G489" t="e">
        <f>VLOOKUP($A489,'STOCK DATA'!$A$2:$H$521,3,FALSE)</f>
        <v>#N/A</v>
      </c>
      <c r="H489" t="e">
        <f>VLOOKUP($A489,'STOCK DATA'!$A$2:$H$521,3,FALSE)</f>
        <v>#N/A</v>
      </c>
      <c r="I489" t="e">
        <f>VLOOKUP(A489,'Short-term interest Rates daily'!$A:$E,2,FALSE)</f>
        <v>#N/A</v>
      </c>
      <c r="J489" t="e">
        <f>VLOOKUP(A489,'Short-term interest Rates daily'!$A:$E,3,FALSE)</f>
        <v>#N/A</v>
      </c>
      <c r="K489" t="e">
        <f>VLOOKUP(A489,'Short-term interest Rates daily'!$A:$E,4,FALSE)</f>
        <v>#N/A</v>
      </c>
      <c r="L489" t="e">
        <f>VLOOKUP(A489,'Short-term interest Rates daily'!$A:$E,5,FALSE)</f>
        <v>#N/A</v>
      </c>
    </row>
    <row r="490" spans="1:12" x14ac:dyDescent="0.3">
      <c r="A490" s="1">
        <v>31901</v>
      </c>
      <c r="B490">
        <f>VLOOKUP(A490,'STOCK DATA'!$A$2:$H$522,2,FALSE)</f>
        <v>108.49</v>
      </c>
      <c r="C490">
        <f>VLOOKUP($A490,'STOCK DATA'!$A$2:H$521,3,FALSE)</f>
        <v>1765.4</v>
      </c>
      <c r="D490">
        <f>VLOOKUP($A490,'STOCK DATA'!$A$2:$H$521,3,FALSE)</f>
        <v>1765.4</v>
      </c>
      <c r="E490">
        <f>VLOOKUP($A490,'STOCK DATA'!$A$2:$H$521,3,FALSE)</f>
        <v>1765.4</v>
      </c>
      <c r="F490">
        <f>VLOOKUP($A490,'STOCK DATA'!$A$2:$H$521,3,FALSE)</f>
        <v>1765.4</v>
      </c>
      <c r="G490">
        <f>VLOOKUP($A490,'STOCK DATA'!$A$2:$H$521,3,FALSE)</f>
        <v>1765.4</v>
      </c>
      <c r="H490">
        <f>VLOOKUP($A490,'STOCK DATA'!$A$2:$H$521,3,FALSE)</f>
        <v>1765.4</v>
      </c>
      <c r="I490">
        <f>VLOOKUP(A490,'Short-term interest Rates daily'!$A:$E,2,FALSE)</f>
        <v>14.5</v>
      </c>
      <c r="J490">
        <f>VLOOKUP(A490,'Short-term interest Rates daily'!$A:$E,3,FALSE)</f>
        <v>8.2899999999999991</v>
      </c>
      <c r="K490">
        <f>VLOOKUP(A490,'Short-term interest Rates daily'!$A:$E,4,FALSE)</f>
        <v>8.81</v>
      </c>
      <c r="L490">
        <f>VLOOKUP(A490,'Short-term interest Rates daily'!$A:$E,5,FALSE)</f>
        <v>5.67</v>
      </c>
    </row>
    <row r="491" spans="1:12" x14ac:dyDescent="0.3">
      <c r="A491" s="1">
        <v>31902</v>
      </c>
      <c r="B491">
        <f>VLOOKUP(A491,'STOCK DATA'!$A$2:$H$522,2,FALSE)</f>
        <v>108.4</v>
      </c>
      <c r="C491">
        <f>VLOOKUP($A491,'STOCK DATA'!$A$2:H$521,3,FALSE)</f>
        <v>1790.6</v>
      </c>
      <c r="D491">
        <f>VLOOKUP($A491,'STOCK DATA'!$A$2:$H$521,3,FALSE)</f>
        <v>1790.6</v>
      </c>
      <c r="E491">
        <f>VLOOKUP($A491,'STOCK DATA'!$A$2:$H$521,3,FALSE)</f>
        <v>1790.6</v>
      </c>
      <c r="F491">
        <f>VLOOKUP($A491,'STOCK DATA'!$A$2:$H$521,3,FALSE)</f>
        <v>1790.6</v>
      </c>
      <c r="G491">
        <f>VLOOKUP($A491,'STOCK DATA'!$A$2:$H$521,3,FALSE)</f>
        <v>1790.6</v>
      </c>
      <c r="H491">
        <f>VLOOKUP($A491,'STOCK DATA'!$A$2:$H$521,3,FALSE)</f>
        <v>1790.6</v>
      </c>
      <c r="I491">
        <f>VLOOKUP(A491,'Short-term interest Rates daily'!$A:$E,2,FALSE)</f>
        <v>15.13</v>
      </c>
      <c r="J491">
        <f>VLOOKUP(A491,'Short-term interest Rates daily'!$A:$E,3,FALSE)</f>
        <v>8.1300000000000008</v>
      </c>
      <c r="K491">
        <f>VLOOKUP(A491,'Short-term interest Rates daily'!$A:$E,4,FALSE)</f>
        <v>8.7100000000000009</v>
      </c>
      <c r="L491">
        <f>VLOOKUP(A491,'Short-term interest Rates daily'!$A:$E,5,FALSE)</f>
        <v>5.81</v>
      </c>
    </row>
    <row r="492" spans="1:12" x14ac:dyDescent="0.3">
      <c r="A492" s="1">
        <v>31903</v>
      </c>
      <c r="B492">
        <f>VLOOKUP(A492,'STOCK DATA'!$A$2:$H$522,2,FALSE)</f>
        <v>109.92</v>
      </c>
      <c r="C492">
        <f>VLOOKUP($A492,'STOCK DATA'!$A$2:H$521,3,FALSE)</f>
        <v>1796</v>
      </c>
      <c r="D492">
        <f>VLOOKUP($A492,'STOCK DATA'!$A$2:$H$521,3,FALSE)</f>
        <v>1796</v>
      </c>
      <c r="E492">
        <f>VLOOKUP($A492,'STOCK DATA'!$A$2:$H$521,3,FALSE)</f>
        <v>1796</v>
      </c>
      <c r="F492">
        <f>VLOOKUP($A492,'STOCK DATA'!$A$2:$H$521,3,FALSE)</f>
        <v>1796</v>
      </c>
      <c r="G492">
        <f>VLOOKUP($A492,'STOCK DATA'!$A$2:$H$521,3,FALSE)</f>
        <v>1796</v>
      </c>
      <c r="H492">
        <f>VLOOKUP($A492,'STOCK DATA'!$A$2:$H$521,3,FALSE)</f>
        <v>1796</v>
      </c>
      <c r="I492">
        <f>VLOOKUP(A492,'Short-term interest Rates daily'!$A:$E,2,FALSE)</f>
        <v>15.88</v>
      </c>
      <c r="J492">
        <f>VLOOKUP(A492,'Short-term interest Rates daily'!$A:$E,3,FALSE)</f>
        <v>8</v>
      </c>
      <c r="K492">
        <f>VLOOKUP(A492,'Short-term interest Rates daily'!$A:$E,4,FALSE)</f>
        <v>8.6</v>
      </c>
      <c r="L492">
        <f>VLOOKUP(A492,'Short-term interest Rates daily'!$A:$E,5,FALSE)</f>
        <v>5.5</v>
      </c>
    </row>
    <row r="493" spans="1:12" x14ac:dyDescent="0.3">
      <c r="A493" s="1">
        <v>31904</v>
      </c>
      <c r="B493">
        <f>VLOOKUP(A493,'STOCK DATA'!$A$2:$H$522,2,FALSE)</f>
        <v>110.81</v>
      </c>
      <c r="C493">
        <f>VLOOKUP($A493,'STOCK DATA'!$A$2:H$521,3,FALSE)</f>
        <v>1823.3</v>
      </c>
      <c r="D493">
        <f>VLOOKUP($A493,'STOCK DATA'!$A$2:$H$521,3,FALSE)</f>
        <v>1823.3</v>
      </c>
      <c r="E493">
        <f>VLOOKUP($A493,'STOCK DATA'!$A$2:$H$521,3,FALSE)</f>
        <v>1823.3</v>
      </c>
      <c r="F493">
        <f>VLOOKUP($A493,'STOCK DATA'!$A$2:$H$521,3,FALSE)</f>
        <v>1823.3</v>
      </c>
      <c r="G493">
        <f>VLOOKUP($A493,'STOCK DATA'!$A$2:$H$521,3,FALSE)</f>
        <v>1823.3</v>
      </c>
      <c r="H493">
        <f>VLOOKUP($A493,'STOCK DATA'!$A$2:$H$521,3,FALSE)</f>
        <v>1823.3</v>
      </c>
      <c r="I493">
        <f>VLOOKUP(A493,'Short-term interest Rates daily'!$A:$E,2,FALSE)</f>
        <v>14.88</v>
      </c>
      <c r="J493">
        <f>VLOOKUP(A493,'Short-term interest Rates daily'!$A:$E,3,FALSE)</f>
        <v>7.88</v>
      </c>
      <c r="K493">
        <f>VLOOKUP(A493,'Short-term interest Rates daily'!$A:$E,4,FALSE)</f>
        <v>8.7100000000000009</v>
      </c>
      <c r="L493">
        <f>VLOOKUP(A493,'Short-term interest Rates daily'!$A:$E,5,FALSE)</f>
        <v>5.53</v>
      </c>
    </row>
    <row r="494" spans="1:12" x14ac:dyDescent="0.3">
      <c r="A494" s="1">
        <v>31905</v>
      </c>
      <c r="B494">
        <f>VLOOKUP(A494,'STOCK DATA'!$A$2:$H$522,2,FALSE)</f>
        <v>111.12</v>
      </c>
      <c r="C494">
        <f>VLOOKUP($A494,'STOCK DATA'!$A$2:H$521,3,FALSE)</f>
        <v>1827.1</v>
      </c>
      <c r="D494">
        <f>VLOOKUP($A494,'STOCK DATA'!$A$2:$H$521,3,FALSE)</f>
        <v>1827.1</v>
      </c>
      <c r="E494">
        <f>VLOOKUP($A494,'STOCK DATA'!$A$2:$H$521,3,FALSE)</f>
        <v>1827.1</v>
      </c>
      <c r="F494">
        <f>VLOOKUP($A494,'STOCK DATA'!$A$2:$H$521,3,FALSE)</f>
        <v>1827.1</v>
      </c>
      <c r="G494">
        <f>VLOOKUP($A494,'STOCK DATA'!$A$2:$H$521,3,FALSE)</f>
        <v>1827.1</v>
      </c>
      <c r="H494">
        <f>VLOOKUP($A494,'STOCK DATA'!$A$2:$H$521,3,FALSE)</f>
        <v>1827.1</v>
      </c>
      <c r="I494">
        <f>VLOOKUP(A494,'Short-term interest Rates daily'!$A:$E,2,FALSE)</f>
        <v>14.98</v>
      </c>
      <c r="J494">
        <f>VLOOKUP(A494,'Short-term interest Rates daily'!$A:$E,3,FALSE)</f>
        <v>7.85</v>
      </c>
      <c r="K494">
        <f>VLOOKUP(A494,'Short-term interest Rates daily'!$A:$E,4,FALSE)</f>
        <v>8.6</v>
      </c>
      <c r="L494">
        <f>VLOOKUP(A494,'Short-term interest Rates daily'!$A:$E,5,FALSE)</f>
        <v>5.53</v>
      </c>
    </row>
    <row r="495" spans="1:12" x14ac:dyDescent="0.3">
      <c r="A495" s="1">
        <v>31906</v>
      </c>
      <c r="B495" t="e">
        <f>VLOOKUP(A495,'STOCK DATA'!$A$2:$H$522,2,FALSE)</f>
        <v>#N/A</v>
      </c>
      <c r="C495" t="e">
        <f>VLOOKUP($A495,'STOCK DATA'!$A$2:H$521,3,FALSE)</f>
        <v>#N/A</v>
      </c>
      <c r="D495" t="e">
        <f>VLOOKUP($A495,'STOCK DATA'!$A$2:$H$521,3,FALSE)</f>
        <v>#N/A</v>
      </c>
      <c r="E495" t="e">
        <f>VLOOKUP($A495,'STOCK DATA'!$A$2:$H$521,3,FALSE)</f>
        <v>#N/A</v>
      </c>
      <c r="F495" t="e">
        <f>VLOOKUP($A495,'STOCK DATA'!$A$2:$H$521,3,FALSE)</f>
        <v>#N/A</v>
      </c>
      <c r="G495" t="e">
        <f>VLOOKUP($A495,'STOCK DATA'!$A$2:$H$521,3,FALSE)</f>
        <v>#N/A</v>
      </c>
      <c r="H495" t="e">
        <f>VLOOKUP($A495,'STOCK DATA'!$A$2:$H$521,3,FALSE)</f>
        <v>#N/A</v>
      </c>
      <c r="I495" t="e">
        <f>VLOOKUP(A495,'Short-term interest Rates daily'!$A:$E,2,FALSE)</f>
        <v>#N/A</v>
      </c>
      <c r="J495" t="e">
        <f>VLOOKUP(A495,'Short-term interest Rates daily'!$A:$E,3,FALSE)</f>
        <v>#N/A</v>
      </c>
      <c r="K495" t="e">
        <f>VLOOKUP(A495,'Short-term interest Rates daily'!$A:$E,4,FALSE)</f>
        <v>#N/A</v>
      </c>
      <c r="L495" t="e">
        <f>VLOOKUP(A495,'Short-term interest Rates daily'!$A:$E,5,FALSE)</f>
        <v>#N/A</v>
      </c>
    </row>
    <row r="496" spans="1:12" x14ac:dyDescent="0.3">
      <c r="A496" s="1">
        <v>31907</v>
      </c>
      <c r="B496" t="e">
        <f>VLOOKUP(A496,'STOCK DATA'!$A$2:$H$522,2,FALSE)</f>
        <v>#N/A</v>
      </c>
      <c r="C496" t="e">
        <f>VLOOKUP($A496,'STOCK DATA'!$A$2:H$521,3,FALSE)</f>
        <v>#N/A</v>
      </c>
      <c r="D496" t="e">
        <f>VLOOKUP($A496,'STOCK DATA'!$A$2:$H$521,3,FALSE)</f>
        <v>#N/A</v>
      </c>
      <c r="E496" t="e">
        <f>VLOOKUP($A496,'STOCK DATA'!$A$2:$H$521,3,FALSE)</f>
        <v>#N/A</v>
      </c>
      <c r="F496" t="e">
        <f>VLOOKUP($A496,'STOCK DATA'!$A$2:$H$521,3,FALSE)</f>
        <v>#N/A</v>
      </c>
      <c r="G496" t="e">
        <f>VLOOKUP($A496,'STOCK DATA'!$A$2:$H$521,3,FALSE)</f>
        <v>#N/A</v>
      </c>
      <c r="H496" t="e">
        <f>VLOOKUP($A496,'STOCK DATA'!$A$2:$H$521,3,FALSE)</f>
        <v>#N/A</v>
      </c>
      <c r="I496" t="e">
        <f>VLOOKUP(A496,'Short-term interest Rates daily'!$A:$E,2,FALSE)</f>
        <v>#N/A</v>
      </c>
      <c r="J496" t="e">
        <f>VLOOKUP(A496,'Short-term interest Rates daily'!$A:$E,3,FALSE)</f>
        <v>#N/A</v>
      </c>
      <c r="K496" t="e">
        <f>VLOOKUP(A496,'Short-term interest Rates daily'!$A:$E,4,FALSE)</f>
        <v>#N/A</v>
      </c>
      <c r="L496" t="e">
        <f>VLOOKUP(A496,'Short-term interest Rates daily'!$A:$E,5,FALSE)</f>
        <v>#N/A</v>
      </c>
    </row>
    <row r="497" spans="1:12" x14ac:dyDescent="0.3">
      <c r="A497" s="1">
        <v>31908</v>
      </c>
      <c r="B497">
        <f>VLOOKUP(A497,'STOCK DATA'!$A$2:$H$522,2,FALSE)</f>
        <v>111.97</v>
      </c>
      <c r="C497">
        <f>VLOOKUP($A497,'STOCK DATA'!$A$2:H$521,3,FALSE)</f>
        <v>1820.6</v>
      </c>
      <c r="D497">
        <f>VLOOKUP($A497,'STOCK DATA'!$A$2:$H$521,3,FALSE)</f>
        <v>1820.6</v>
      </c>
      <c r="E497">
        <f>VLOOKUP($A497,'STOCK DATA'!$A$2:$H$521,3,FALSE)</f>
        <v>1820.6</v>
      </c>
      <c r="F497">
        <f>VLOOKUP($A497,'STOCK DATA'!$A$2:$H$521,3,FALSE)</f>
        <v>1820.6</v>
      </c>
      <c r="G497">
        <f>VLOOKUP($A497,'STOCK DATA'!$A$2:$H$521,3,FALSE)</f>
        <v>1820.6</v>
      </c>
      <c r="H497">
        <f>VLOOKUP($A497,'STOCK DATA'!$A$2:$H$521,3,FALSE)</f>
        <v>1820.6</v>
      </c>
      <c r="I497">
        <f>VLOOKUP(A497,'Short-term interest Rates daily'!$A:$E,2,FALSE)</f>
        <v>16</v>
      </c>
      <c r="J497">
        <f>VLOOKUP(A497,'Short-term interest Rates daily'!$A:$E,3,FALSE)</f>
        <v>7.84</v>
      </c>
      <c r="K497">
        <f>VLOOKUP(A497,'Short-term interest Rates daily'!$A:$E,4,FALSE)</f>
        <v>8.5500000000000007</v>
      </c>
      <c r="L497">
        <f>VLOOKUP(A497,'Short-term interest Rates daily'!$A:$E,5,FALSE)</f>
        <v>5.65</v>
      </c>
    </row>
    <row r="498" spans="1:12" x14ac:dyDescent="0.3">
      <c r="A498" s="1">
        <v>31909</v>
      </c>
      <c r="B498">
        <f>VLOOKUP(A498,'STOCK DATA'!$A$2:$H$522,2,FALSE)</f>
        <v>111.34</v>
      </c>
      <c r="C498">
        <f>VLOOKUP($A498,'STOCK DATA'!$A$2:H$521,3,FALSE)</f>
        <v>1843.7</v>
      </c>
      <c r="D498">
        <f>VLOOKUP($A498,'STOCK DATA'!$A$2:$H$521,3,FALSE)</f>
        <v>1843.7</v>
      </c>
      <c r="E498">
        <f>VLOOKUP($A498,'STOCK DATA'!$A$2:$H$521,3,FALSE)</f>
        <v>1843.7</v>
      </c>
      <c r="F498">
        <f>VLOOKUP($A498,'STOCK DATA'!$A$2:$H$521,3,FALSE)</f>
        <v>1843.7</v>
      </c>
      <c r="G498">
        <f>VLOOKUP($A498,'STOCK DATA'!$A$2:$H$521,3,FALSE)</f>
        <v>1843.7</v>
      </c>
      <c r="H498">
        <f>VLOOKUP($A498,'STOCK DATA'!$A$2:$H$521,3,FALSE)</f>
        <v>1843.7</v>
      </c>
      <c r="I498">
        <f>VLOOKUP(A498,'Short-term interest Rates daily'!$A:$E,2,FALSE)</f>
        <v>14.83</v>
      </c>
      <c r="J498">
        <f>VLOOKUP(A498,'Short-term interest Rates daily'!$A:$E,3,FALSE)</f>
        <v>7.84</v>
      </c>
      <c r="K498">
        <f>VLOOKUP(A498,'Short-term interest Rates daily'!$A:$E,4,FALSE)</f>
        <v>8.61</v>
      </c>
      <c r="L498">
        <f>VLOOKUP(A498,'Short-term interest Rates daily'!$A:$E,5,FALSE)</f>
        <v>5.6</v>
      </c>
    </row>
    <row r="499" spans="1:12" x14ac:dyDescent="0.3">
      <c r="A499" s="1">
        <v>31910</v>
      </c>
      <c r="B499">
        <f>VLOOKUP(A499,'STOCK DATA'!$A$2:$H$522,2,FALSE)</f>
        <v>111.4</v>
      </c>
      <c r="C499">
        <f>VLOOKUP($A499,'STOCK DATA'!$A$2:H$521,3,FALSE)</f>
        <v>1849.2</v>
      </c>
      <c r="D499">
        <f>VLOOKUP($A499,'STOCK DATA'!$A$2:$H$521,3,FALSE)</f>
        <v>1849.2</v>
      </c>
      <c r="E499">
        <f>VLOOKUP($A499,'STOCK DATA'!$A$2:$H$521,3,FALSE)</f>
        <v>1849.2</v>
      </c>
      <c r="F499">
        <f>VLOOKUP($A499,'STOCK DATA'!$A$2:$H$521,3,FALSE)</f>
        <v>1849.2</v>
      </c>
      <c r="G499">
        <f>VLOOKUP($A499,'STOCK DATA'!$A$2:$H$521,3,FALSE)</f>
        <v>1849.2</v>
      </c>
      <c r="H499">
        <f>VLOOKUP($A499,'STOCK DATA'!$A$2:$H$521,3,FALSE)</f>
        <v>1849.2</v>
      </c>
      <c r="I499">
        <f>VLOOKUP(A499,'Short-term interest Rates daily'!$A:$E,2,FALSE)</f>
        <v>14.4</v>
      </c>
      <c r="J499">
        <f>VLOOKUP(A499,'Short-term interest Rates daily'!$A:$E,3,FALSE)</f>
        <v>7.86</v>
      </c>
      <c r="K499">
        <f>VLOOKUP(A499,'Short-term interest Rates daily'!$A:$E,4,FALSE)</f>
        <v>8.58</v>
      </c>
      <c r="L499">
        <f>VLOOKUP(A499,'Short-term interest Rates daily'!$A:$E,5,FALSE)</f>
        <v>5.53</v>
      </c>
    </row>
    <row r="500" spans="1:12" x14ac:dyDescent="0.3">
      <c r="A500" s="1">
        <v>31911</v>
      </c>
      <c r="B500">
        <f>VLOOKUP(A500,'STOCK DATA'!$A$2:$H$522,2,FALSE)</f>
        <v>111.3</v>
      </c>
      <c r="C500">
        <f>VLOOKUP($A500,'STOCK DATA'!$A$2:H$521,3,FALSE)</f>
        <v>1848.5</v>
      </c>
      <c r="D500">
        <f>VLOOKUP($A500,'STOCK DATA'!$A$2:$H$521,3,FALSE)</f>
        <v>1848.5</v>
      </c>
      <c r="E500">
        <f>VLOOKUP($A500,'STOCK DATA'!$A$2:$H$521,3,FALSE)</f>
        <v>1848.5</v>
      </c>
      <c r="F500">
        <f>VLOOKUP($A500,'STOCK DATA'!$A$2:$H$521,3,FALSE)</f>
        <v>1848.5</v>
      </c>
      <c r="G500">
        <f>VLOOKUP($A500,'STOCK DATA'!$A$2:$H$521,3,FALSE)</f>
        <v>1848.5</v>
      </c>
      <c r="H500">
        <f>VLOOKUP($A500,'STOCK DATA'!$A$2:$H$521,3,FALSE)</f>
        <v>1848.5</v>
      </c>
      <c r="I500">
        <f>VLOOKUP(A500,'Short-term interest Rates daily'!$A:$E,2,FALSE)</f>
        <v>14.2</v>
      </c>
      <c r="J500">
        <f>VLOOKUP(A500,'Short-term interest Rates daily'!$A:$E,3,FALSE)</f>
        <v>7.81</v>
      </c>
      <c r="K500">
        <f>VLOOKUP(A500,'Short-term interest Rates daily'!$A:$E,4,FALSE)</f>
        <v>8.5299999999999994</v>
      </c>
      <c r="L500">
        <f>VLOOKUP(A500,'Short-term interest Rates daily'!$A:$E,5,FALSE)</f>
        <v>5.73</v>
      </c>
    </row>
    <row r="501" spans="1:12" x14ac:dyDescent="0.3">
      <c r="A501" s="1">
        <v>31912</v>
      </c>
      <c r="B501">
        <f>VLOOKUP(A501,'STOCK DATA'!$A$2:$H$522,2,FALSE)</f>
        <v>111.12</v>
      </c>
      <c r="C501">
        <f>VLOOKUP($A501,'STOCK DATA'!$A$2:H$521,3,FALSE)</f>
        <v>1848.5</v>
      </c>
      <c r="D501">
        <f>VLOOKUP($A501,'STOCK DATA'!$A$2:$H$521,3,FALSE)</f>
        <v>1848.5</v>
      </c>
      <c r="E501">
        <f>VLOOKUP($A501,'STOCK DATA'!$A$2:$H$521,3,FALSE)</f>
        <v>1848.5</v>
      </c>
      <c r="F501">
        <f>VLOOKUP($A501,'STOCK DATA'!$A$2:$H$521,3,FALSE)</f>
        <v>1848.5</v>
      </c>
      <c r="G501">
        <f>VLOOKUP($A501,'STOCK DATA'!$A$2:$H$521,3,FALSE)</f>
        <v>1848.5</v>
      </c>
      <c r="H501">
        <f>VLOOKUP($A501,'STOCK DATA'!$A$2:$H$521,3,FALSE)</f>
        <v>1848.5</v>
      </c>
      <c r="I501">
        <f>VLOOKUP(A501,'Short-term interest Rates daily'!$A:$E,2,FALSE)</f>
        <v>13.25</v>
      </c>
      <c r="J501">
        <f>VLOOKUP(A501,'Short-term interest Rates daily'!$A:$E,3,FALSE)</f>
        <v>7.98</v>
      </c>
      <c r="K501">
        <f>VLOOKUP(A501,'Short-term interest Rates daily'!$A:$E,4,FALSE)</f>
        <v>8.36</v>
      </c>
      <c r="L501">
        <f>VLOOKUP(A501,'Short-term interest Rates daily'!$A:$E,5,FALSE)</f>
        <v>5.95</v>
      </c>
    </row>
    <row r="502" spans="1:12" x14ac:dyDescent="0.3">
      <c r="A502" s="1">
        <v>31913</v>
      </c>
      <c r="B502" t="e">
        <f>VLOOKUP(A502,'STOCK DATA'!$A$2:$H$522,2,FALSE)</f>
        <v>#N/A</v>
      </c>
      <c r="C502" t="e">
        <f>VLOOKUP($A502,'STOCK DATA'!$A$2:H$521,3,FALSE)</f>
        <v>#N/A</v>
      </c>
      <c r="D502" t="e">
        <f>VLOOKUP($A502,'STOCK DATA'!$A$2:$H$521,3,FALSE)</f>
        <v>#N/A</v>
      </c>
      <c r="E502" t="e">
        <f>VLOOKUP($A502,'STOCK DATA'!$A$2:$H$521,3,FALSE)</f>
        <v>#N/A</v>
      </c>
      <c r="F502" t="e">
        <f>VLOOKUP($A502,'STOCK DATA'!$A$2:$H$521,3,FALSE)</f>
        <v>#N/A</v>
      </c>
      <c r="G502" t="e">
        <f>VLOOKUP($A502,'STOCK DATA'!$A$2:$H$521,3,FALSE)</f>
        <v>#N/A</v>
      </c>
      <c r="H502" t="e">
        <f>VLOOKUP($A502,'STOCK DATA'!$A$2:$H$521,3,FALSE)</f>
        <v>#N/A</v>
      </c>
      <c r="I502" t="e">
        <f>VLOOKUP(A502,'Short-term interest Rates daily'!$A:$E,2,FALSE)</f>
        <v>#N/A</v>
      </c>
      <c r="J502" t="e">
        <f>VLOOKUP(A502,'Short-term interest Rates daily'!$A:$E,3,FALSE)</f>
        <v>#N/A</v>
      </c>
      <c r="K502" t="e">
        <f>VLOOKUP(A502,'Short-term interest Rates daily'!$A:$E,4,FALSE)</f>
        <v>#N/A</v>
      </c>
      <c r="L502" t="e">
        <f>VLOOKUP(A502,'Short-term interest Rates daily'!$A:$E,5,FALSE)</f>
        <v>#N/A</v>
      </c>
    </row>
    <row r="503" spans="1:12" x14ac:dyDescent="0.3">
      <c r="A503" s="1">
        <v>31914</v>
      </c>
      <c r="B503" t="e">
        <f>VLOOKUP(A503,'STOCK DATA'!$A$2:$H$522,2,FALSE)</f>
        <v>#N/A</v>
      </c>
      <c r="C503" t="e">
        <f>VLOOKUP($A503,'STOCK DATA'!$A$2:H$521,3,FALSE)</f>
        <v>#N/A</v>
      </c>
      <c r="D503" t="e">
        <f>VLOOKUP($A503,'STOCK DATA'!$A$2:$H$521,3,FALSE)</f>
        <v>#N/A</v>
      </c>
      <c r="E503" t="e">
        <f>VLOOKUP($A503,'STOCK DATA'!$A$2:$H$521,3,FALSE)</f>
        <v>#N/A</v>
      </c>
      <c r="F503" t="e">
        <f>VLOOKUP($A503,'STOCK DATA'!$A$2:$H$521,3,FALSE)</f>
        <v>#N/A</v>
      </c>
      <c r="G503" t="e">
        <f>VLOOKUP($A503,'STOCK DATA'!$A$2:$H$521,3,FALSE)</f>
        <v>#N/A</v>
      </c>
      <c r="H503" t="e">
        <f>VLOOKUP($A503,'STOCK DATA'!$A$2:$H$521,3,FALSE)</f>
        <v>#N/A</v>
      </c>
      <c r="I503" t="e">
        <f>VLOOKUP(A503,'Short-term interest Rates daily'!$A:$E,2,FALSE)</f>
        <v>#N/A</v>
      </c>
      <c r="J503" t="e">
        <f>VLOOKUP(A503,'Short-term interest Rates daily'!$A:$E,3,FALSE)</f>
        <v>#N/A</v>
      </c>
      <c r="K503" t="e">
        <f>VLOOKUP(A503,'Short-term interest Rates daily'!$A:$E,4,FALSE)</f>
        <v>#N/A</v>
      </c>
      <c r="L503" t="e">
        <f>VLOOKUP(A503,'Short-term interest Rates daily'!$A:$E,5,FALSE)</f>
        <v>#N/A</v>
      </c>
    </row>
    <row r="504" spans="1:12" x14ac:dyDescent="0.3">
      <c r="A504" s="1">
        <v>31915</v>
      </c>
      <c r="B504">
        <f>VLOOKUP(A504,'STOCK DATA'!$A$2:$H$522,2,FALSE)</f>
        <v>111.1</v>
      </c>
      <c r="C504">
        <f>VLOOKUP($A504,'STOCK DATA'!$A$2:H$521,3,FALSE)</f>
        <v>1859.3</v>
      </c>
      <c r="D504">
        <f>VLOOKUP($A504,'STOCK DATA'!$A$2:$H$521,3,FALSE)</f>
        <v>1859.3</v>
      </c>
      <c r="E504">
        <f>VLOOKUP($A504,'STOCK DATA'!$A$2:$H$521,3,FALSE)</f>
        <v>1859.3</v>
      </c>
      <c r="F504">
        <f>VLOOKUP($A504,'STOCK DATA'!$A$2:$H$521,3,FALSE)</f>
        <v>1859.3</v>
      </c>
      <c r="G504">
        <f>VLOOKUP($A504,'STOCK DATA'!$A$2:$H$521,3,FALSE)</f>
        <v>1859.3</v>
      </c>
      <c r="H504">
        <f>VLOOKUP($A504,'STOCK DATA'!$A$2:$H$521,3,FALSE)</f>
        <v>1859.3</v>
      </c>
      <c r="I504">
        <f>VLOOKUP(A504,'Short-term interest Rates daily'!$A:$E,2,FALSE)</f>
        <v>13.75</v>
      </c>
      <c r="J504">
        <f>VLOOKUP(A504,'Short-term interest Rates daily'!$A:$E,3,FALSE)</f>
        <v>0</v>
      </c>
      <c r="K504">
        <f>VLOOKUP(A504,'Short-term interest Rates daily'!$A:$E,4,FALSE)</f>
        <v>8.4600000000000009</v>
      </c>
      <c r="L504">
        <f>VLOOKUP(A504,'Short-term interest Rates daily'!$A:$E,5,FALSE)</f>
        <v>5.87</v>
      </c>
    </row>
    <row r="505" spans="1:12" x14ac:dyDescent="0.3">
      <c r="A505" s="1">
        <v>31916</v>
      </c>
      <c r="B505">
        <f>VLOOKUP(A505,'STOCK DATA'!$A$2:$H$522,2,FALSE)</f>
        <v>111.66</v>
      </c>
      <c r="C505">
        <f>VLOOKUP($A505,'STOCK DATA'!$A$2:H$521,3,FALSE)</f>
        <v>1838.7</v>
      </c>
      <c r="D505">
        <f>VLOOKUP($A505,'STOCK DATA'!$A$2:$H$521,3,FALSE)</f>
        <v>1838.7</v>
      </c>
      <c r="E505">
        <f>VLOOKUP($A505,'STOCK DATA'!$A$2:$H$521,3,FALSE)</f>
        <v>1838.7</v>
      </c>
      <c r="F505">
        <f>VLOOKUP($A505,'STOCK DATA'!$A$2:$H$521,3,FALSE)</f>
        <v>1838.7</v>
      </c>
      <c r="G505">
        <f>VLOOKUP($A505,'STOCK DATA'!$A$2:$H$521,3,FALSE)</f>
        <v>1838.7</v>
      </c>
      <c r="H505">
        <f>VLOOKUP($A505,'STOCK DATA'!$A$2:$H$521,3,FALSE)</f>
        <v>1838.7</v>
      </c>
      <c r="I505">
        <f>VLOOKUP(A505,'Short-term interest Rates daily'!$A:$E,2,FALSE)</f>
        <v>14.25</v>
      </c>
      <c r="J505">
        <f>VLOOKUP(A505,'Short-term interest Rates daily'!$A:$E,3,FALSE)</f>
        <v>8.08</v>
      </c>
      <c r="K505">
        <f>VLOOKUP(A505,'Short-term interest Rates daily'!$A:$E,4,FALSE)</f>
        <v>8.44</v>
      </c>
      <c r="L505">
        <f>VLOOKUP(A505,'Short-term interest Rates daily'!$A:$E,5,FALSE)</f>
        <v>5.78</v>
      </c>
    </row>
    <row r="506" spans="1:12" x14ac:dyDescent="0.3">
      <c r="A506" s="1">
        <v>31917</v>
      </c>
      <c r="B506">
        <f>VLOOKUP(A506,'STOCK DATA'!$A$2:$H$522,2,FALSE)</f>
        <v>109.05</v>
      </c>
      <c r="C506">
        <f>VLOOKUP($A506,'STOCK DATA'!$A$2:H$521,3,FALSE)</f>
        <v>1854.6</v>
      </c>
      <c r="D506">
        <f>VLOOKUP($A506,'STOCK DATA'!$A$2:$H$521,3,FALSE)</f>
        <v>1854.6</v>
      </c>
      <c r="E506">
        <f>VLOOKUP($A506,'STOCK DATA'!$A$2:$H$521,3,FALSE)</f>
        <v>1854.6</v>
      </c>
      <c r="F506">
        <f>VLOOKUP($A506,'STOCK DATA'!$A$2:$H$521,3,FALSE)</f>
        <v>1854.6</v>
      </c>
      <c r="G506">
        <f>VLOOKUP($A506,'STOCK DATA'!$A$2:$H$521,3,FALSE)</f>
        <v>1854.6</v>
      </c>
      <c r="H506">
        <f>VLOOKUP($A506,'STOCK DATA'!$A$2:$H$521,3,FALSE)</f>
        <v>1854.6</v>
      </c>
      <c r="I506">
        <f>VLOOKUP(A506,'Short-term interest Rates daily'!$A:$E,2,FALSE)</f>
        <v>13.75</v>
      </c>
      <c r="J506">
        <f>VLOOKUP(A506,'Short-term interest Rates daily'!$A:$E,3,FALSE)</f>
        <v>8.35</v>
      </c>
      <c r="K506">
        <f>VLOOKUP(A506,'Short-term interest Rates daily'!$A:$E,4,FALSE)</f>
        <v>8.4600000000000009</v>
      </c>
      <c r="L506">
        <f>VLOOKUP(A506,'Short-term interest Rates daily'!$A:$E,5,FALSE)</f>
        <v>5.69</v>
      </c>
    </row>
    <row r="507" spans="1:12" x14ac:dyDescent="0.3">
      <c r="A507" s="1">
        <v>31918</v>
      </c>
      <c r="B507">
        <f>VLOOKUP(A507,'STOCK DATA'!$A$2:$H$522,2,FALSE)</f>
        <v>109.81</v>
      </c>
      <c r="C507">
        <f>VLOOKUP($A507,'STOCK DATA'!$A$2:H$521,3,FALSE)</f>
        <v>1842.9</v>
      </c>
      <c r="D507">
        <f>VLOOKUP($A507,'STOCK DATA'!$A$2:$H$521,3,FALSE)</f>
        <v>1842.9</v>
      </c>
      <c r="E507">
        <f>VLOOKUP($A507,'STOCK DATA'!$A$2:$H$521,3,FALSE)</f>
        <v>1842.9</v>
      </c>
      <c r="F507">
        <f>VLOOKUP($A507,'STOCK DATA'!$A$2:$H$521,3,FALSE)</f>
        <v>1842.9</v>
      </c>
      <c r="G507">
        <f>VLOOKUP($A507,'STOCK DATA'!$A$2:$H$521,3,FALSE)</f>
        <v>1842.9</v>
      </c>
      <c r="H507">
        <f>VLOOKUP($A507,'STOCK DATA'!$A$2:$H$521,3,FALSE)</f>
        <v>1842.9</v>
      </c>
      <c r="I507">
        <f>VLOOKUP(A507,'Short-term interest Rates daily'!$A:$E,2,FALSE)</f>
        <v>14.13</v>
      </c>
      <c r="J507">
        <f>VLOOKUP(A507,'Short-term interest Rates daily'!$A:$E,3,FALSE)</f>
        <v>8.3000000000000007</v>
      </c>
      <c r="K507">
        <f>VLOOKUP(A507,'Short-term interest Rates daily'!$A:$E,4,FALSE)</f>
        <v>8.49</v>
      </c>
      <c r="L507">
        <f>VLOOKUP(A507,'Short-term interest Rates daily'!$A:$E,5,FALSE)</f>
        <v>5.53</v>
      </c>
    </row>
    <row r="508" spans="1:12" x14ac:dyDescent="0.3">
      <c r="A508" s="1">
        <v>31919</v>
      </c>
      <c r="B508">
        <f>VLOOKUP(A508,'STOCK DATA'!$A$2:$H$522,2,FALSE)</f>
        <v>109.08</v>
      </c>
      <c r="C508">
        <f>VLOOKUP($A508,'STOCK DATA'!$A$2:H$521,3,FALSE)</f>
        <v>1826.1</v>
      </c>
      <c r="D508">
        <f>VLOOKUP($A508,'STOCK DATA'!$A$2:$H$521,3,FALSE)</f>
        <v>1826.1</v>
      </c>
      <c r="E508">
        <f>VLOOKUP($A508,'STOCK DATA'!$A$2:$H$521,3,FALSE)</f>
        <v>1826.1</v>
      </c>
      <c r="F508">
        <f>VLOOKUP($A508,'STOCK DATA'!$A$2:$H$521,3,FALSE)</f>
        <v>1826.1</v>
      </c>
      <c r="G508">
        <f>VLOOKUP($A508,'STOCK DATA'!$A$2:$H$521,3,FALSE)</f>
        <v>1826.1</v>
      </c>
      <c r="H508">
        <f>VLOOKUP($A508,'STOCK DATA'!$A$2:$H$521,3,FALSE)</f>
        <v>1826.1</v>
      </c>
      <c r="I508">
        <f>VLOOKUP(A508,'Short-term interest Rates daily'!$A:$E,2,FALSE)</f>
        <v>13.5</v>
      </c>
      <c r="J508">
        <f>VLOOKUP(A508,'Short-term interest Rates daily'!$A:$E,3,FALSE)</f>
        <v>8.2799999999999994</v>
      </c>
      <c r="K508">
        <f>VLOOKUP(A508,'Short-term interest Rates daily'!$A:$E,4,FALSE)</f>
        <v>8.4600000000000009</v>
      </c>
      <c r="L508">
        <f>VLOOKUP(A508,'Short-term interest Rates daily'!$A:$E,5,FALSE)</f>
        <v>5.55</v>
      </c>
    </row>
    <row r="509" spans="1:12" x14ac:dyDescent="0.3">
      <c r="A509" s="1">
        <v>31920</v>
      </c>
      <c r="B509" t="e">
        <f>VLOOKUP(A509,'STOCK DATA'!$A$2:$H$522,2,FALSE)</f>
        <v>#N/A</v>
      </c>
      <c r="C509" t="e">
        <f>VLOOKUP($A509,'STOCK DATA'!$A$2:H$521,3,FALSE)</f>
        <v>#N/A</v>
      </c>
      <c r="D509" t="e">
        <f>VLOOKUP($A509,'STOCK DATA'!$A$2:$H$521,3,FALSE)</f>
        <v>#N/A</v>
      </c>
      <c r="E509" t="e">
        <f>VLOOKUP($A509,'STOCK DATA'!$A$2:$H$521,3,FALSE)</f>
        <v>#N/A</v>
      </c>
      <c r="F509" t="e">
        <f>VLOOKUP($A509,'STOCK DATA'!$A$2:$H$521,3,FALSE)</f>
        <v>#N/A</v>
      </c>
      <c r="G509" t="e">
        <f>VLOOKUP($A509,'STOCK DATA'!$A$2:$H$521,3,FALSE)</f>
        <v>#N/A</v>
      </c>
      <c r="H509" t="e">
        <f>VLOOKUP($A509,'STOCK DATA'!$A$2:$H$521,3,FALSE)</f>
        <v>#N/A</v>
      </c>
      <c r="I509" t="e">
        <f>VLOOKUP(A509,'Short-term interest Rates daily'!$A:$E,2,FALSE)</f>
        <v>#N/A</v>
      </c>
      <c r="J509" t="e">
        <f>VLOOKUP(A509,'Short-term interest Rates daily'!$A:$E,3,FALSE)</f>
        <v>#N/A</v>
      </c>
      <c r="K509" t="e">
        <f>VLOOKUP(A509,'Short-term interest Rates daily'!$A:$E,4,FALSE)</f>
        <v>#N/A</v>
      </c>
      <c r="L509" t="e">
        <f>VLOOKUP(A509,'Short-term interest Rates daily'!$A:$E,5,FALSE)</f>
        <v>#N/A</v>
      </c>
    </row>
    <row r="510" spans="1:12" x14ac:dyDescent="0.3">
      <c r="A510" s="1">
        <v>31921</v>
      </c>
      <c r="B510" t="e">
        <f>VLOOKUP(A510,'STOCK DATA'!$A$2:$H$522,2,FALSE)</f>
        <v>#N/A</v>
      </c>
      <c r="C510" t="e">
        <f>VLOOKUP($A510,'STOCK DATA'!$A$2:H$521,3,FALSE)</f>
        <v>#N/A</v>
      </c>
      <c r="D510" t="e">
        <f>VLOOKUP($A510,'STOCK DATA'!$A$2:$H$521,3,FALSE)</f>
        <v>#N/A</v>
      </c>
      <c r="E510" t="e">
        <f>VLOOKUP($A510,'STOCK DATA'!$A$2:$H$521,3,FALSE)</f>
        <v>#N/A</v>
      </c>
      <c r="F510" t="e">
        <f>VLOOKUP($A510,'STOCK DATA'!$A$2:$H$521,3,FALSE)</f>
        <v>#N/A</v>
      </c>
      <c r="G510" t="e">
        <f>VLOOKUP($A510,'STOCK DATA'!$A$2:$H$521,3,FALSE)</f>
        <v>#N/A</v>
      </c>
      <c r="H510" t="e">
        <f>VLOOKUP($A510,'STOCK DATA'!$A$2:$H$521,3,FALSE)</f>
        <v>#N/A</v>
      </c>
      <c r="I510" t="e">
        <f>VLOOKUP(A510,'Short-term interest Rates daily'!$A:$E,2,FALSE)</f>
        <v>#N/A</v>
      </c>
      <c r="J510" t="e">
        <f>VLOOKUP(A510,'Short-term interest Rates daily'!$A:$E,3,FALSE)</f>
        <v>#N/A</v>
      </c>
      <c r="K510" t="e">
        <f>VLOOKUP(A510,'Short-term interest Rates daily'!$A:$E,4,FALSE)</f>
        <v>#N/A</v>
      </c>
      <c r="L510" t="e">
        <f>VLOOKUP(A510,'Short-term interest Rates daily'!$A:$E,5,FALSE)</f>
        <v>#N/A</v>
      </c>
    </row>
    <row r="511" spans="1:12" x14ac:dyDescent="0.3">
      <c r="A511" s="1">
        <v>31922</v>
      </c>
      <c r="B511">
        <f>VLOOKUP(A511,'STOCK DATA'!$A$2:$H$522,2,FALSE)</f>
        <v>108.43</v>
      </c>
      <c r="C511">
        <f>VLOOKUP($A511,'STOCK DATA'!$A$2:H$521,3,FALSE)</f>
        <v>1802.3</v>
      </c>
      <c r="D511">
        <f>VLOOKUP($A511,'STOCK DATA'!$A$2:$H$521,3,FALSE)</f>
        <v>1802.3</v>
      </c>
      <c r="E511">
        <f>VLOOKUP($A511,'STOCK DATA'!$A$2:$H$521,3,FALSE)</f>
        <v>1802.3</v>
      </c>
      <c r="F511">
        <f>VLOOKUP($A511,'STOCK DATA'!$A$2:$H$521,3,FALSE)</f>
        <v>1802.3</v>
      </c>
      <c r="G511">
        <f>VLOOKUP($A511,'STOCK DATA'!$A$2:$H$521,3,FALSE)</f>
        <v>1802.3</v>
      </c>
      <c r="H511">
        <f>VLOOKUP($A511,'STOCK DATA'!$A$2:$H$521,3,FALSE)</f>
        <v>1802.3</v>
      </c>
      <c r="I511">
        <f>VLOOKUP(A511,'Short-term interest Rates daily'!$A:$E,2,FALSE)</f>
        <v>13.5</v>
      </c>
      <c r="J511">
        <f>VLOOKUP(A511,'Short-term interest Rates daily'!$A:$E,3,FALSE)</f>
        <v>8.2100000000000009</v>
      </c>
      <c r="K511">
        <f>VLOOKUP(A511,'Short-term interest Rates daily'!$A:$E,4,FALSE)</f>
        <v>8.4600000000000009</v>
      </c>
      <c r="L511">
        <f>VLOOKUP(A511,'Short-term interest Rates daily'!$A:$E,5,FALSE)</f>
        <v>0</v>
      </c>
    </row>
    <row r="512" spans="1:12" x14ac:dyDescent="0.3">
      <c r="A512" s="1">
        <v>31923</v>
      </c>
      <c r="B512">
        <f>VLOOKUP(A512,'STOCK DATA'!$A$2:$H$522,2,FALSE)</f>
        <v>109.21</v>
      </c>
      <c r="C512">
        <f>VLOOKUP($A512,'STOCK DATA'!$A$2:H$521,3,FALSE)</f>
        <v>1803</v>
      </c>
      <c r="D512">
        <f>VLOOKUP($A512,'STOCK DATA'!$A$2:$H$521,3,FALSE)</f>
        <v>1803</v>
      </c>
      <c r="E512">
        <f>VLOOKUP($A512,'STOCK DATA'!$A$2:$H$521,3,FALSE)</f>
        <v>1803</v>
      </c>
      <c r="F512">
        <f>VLOOKUP($A512,'STOCK DATA'!$A$2:$H$521,3,FALSE)</f>
        <v>1803</v>
      </c>
      <c r="G512">
        <f>VLOOKUP($A512,'STOCK DATA'!$A$2:$H$521,3,FALSE)</f>
        <v>1803</v>
      </c>
      <c r="H512">
        <f>VLOOKUP($A512,'STOCK DATA'!$A$2:$H$521,3,FALSE)</f>
        <v>1803</v>
      </c>
      <c r="I512">
        <f>VLOOKUP(A512,'Short-term interest Rates daily'!$A:$E,2,FALSE)</f>
        <v>13.5</v>
      </c>
      <c r="J512">
        <f>VLOOKUP(A512,'Short-term interest Rates daily'!$A:$E,3,FALSE)</f>
        <v>8.09</v>
      </c>
      <c r="K512">
        <f>VLOOKUP(A512,'Short-term interest Rates daily'!$A:$E,4,FALSE)</f>
        <v>8.5500000000000007</v>
      </c>
      <c r="L512">
        <f>VLOOKUP(A512,'Short-term interest Rates daily'!$A:$E,5,FALSE)</f>
        <v>5.61</v>
      </c>
    </row>
    <row r="513" spans="1:12" x14ac:dyDescent="0.3">
      <c r="A513" s="1">
        <v>31924</v>
      </c>
      <c r="B513">
        <f>VLOOKUP(A513,'STOCK DATA'!$A$2:$H$522,2,FALSE)</f>
        <v>109</v>
      </c>
      <c r="C513">
        <f>VLOOKUP($A513,'STOCK DATA'!$A$2:H$521,3,FALSE)</f>
        <v>1756.7</v>
      </c>
      <c r="D513">
        <f>VLOOKUP($A513,'STOCK DATA'!$A$2:$H$521,3,FALSE)</f>
        <v>1756.7</v>
      </c>
      <c r="E513">
        <f>VLOOKUP($A513,'STOCK DATA'!$A$2:$H$521,3,FALSE)</f>
        <v>1756.7</v>
      </c>
      <c r="F513">
        <f>VLOOKUP($A513,'STOCK DATA'!$A$2:$H$521,3,FALSE)</f>
        <v>1756.7</v>
      </c>
      <c r="G513">
        <f>VLOOKUP($A513,'STOCK DATA'!$A$2:$H$521,3,FALSE)</f>
        <v>1756.7</v>
      </c>
      <c r="H513">
        <f>VLOOKUP($A513,'STOCK DATA'!$A$2:$H$521,3,FALSE)</f>
        <v>1756.7</v>
      </c>
      <c r="I513">
        <f>VLOOKUP(A513,'Short-term interest Rates daily'!$A:$E,2,FALSE)</f>
        <v>14</v>
      </c>
      <c r="J513">
        <f>VLOOKUP(A513,'Short-term interest Rates daily'!$A:$E,3,FALSE)</f>
        <v>8.1300000000000008</v>
      </c>
      <c r="K513">
        <f>VLOOKUP(A513,'Short-term interest Rates daily'!$A:$E,4,FALSE)</f>
        <v>8.66</v>
      </c>
      <c r="L513">
        <f>VLOOKUP(A513,'Short-term interest Rates daily'!$A:$E,5,FALSE)</f>
        <v>5.76</v>
      </c>
    </row>
    <row r="514" spans="1:12" x14ac:dyDescent="0.3">
      <c r="A514" s="1">
        <v>31925</v>
      </c>
      <c r="B514">
        <f>VLOOKUP(A514,'STOCK DATA'!$A$2:$H$522,2,FALSE)</f>
        <v>109</v>
      </c>
      <c r="C514">
        <f>VLOOKUP($A514,'STOCK DATA'!$A$2:H$521,3,FALSE)</f>
        <v>1744.6</v>
      </c>
      <c r="D514">
        <f>VLOOKUP($A514,'STOCK DATA'!$A$2:$H$521,3,FALSE)</f>
        <v>1744.6</v>
      </c>
      <c r="E514">
        <f>VLOOKUP($A514,'STOCK DATA'!$A$2:$H$521,3,FALSE)</f>
        <v>1744.6</v>
      </c>
      <c r="F514">
        <f>VLOOKUP($A514,'STOCK DATA'!$A$2:$H$521,3,FALSE)</f>
        <v>1744.6</v>
      </c>
      <c r="G514">
        <f>VLOOKUP($A514,'STOCK DATA'!$A$2:$H$521,3,FALSE)</f>
        <v>1744.6</v>
      </c>
      <c r="H514">
        <f>VLOOKUP($A514,'STOCK DATA'!$A$2:$H$521,3,FALSE)</f>
        <v>1744.6</v>
      </c>
      <c r="I514">
        <f>VLOOKUP(A514,'Short-term interest Rates daily'!$A:$E,2,FALSE)</f>
        <v>13.5</v>
      </c>
      <c r="J514">
        <f>VLOOKUP(A514,'Short-term interest Rates daily'!$A:$E,3,FALSE)</f>
        <v>8.1999999999999993</v>
      </c>
      <c r="K514">
        <f>VLOOKUP(A514,'Short-term interest Rates daily'!$A:$E,4,FALSE)</f>
        <v>8.61</v>
      </c>
      <c r="L514">
        <f>VLOOKUP(A514,'Short-term interest Rates daily'!$A:$E,5,FALSE)</f>
        <v>5.63</v>
      </c>
    </row>
    <row r="515" spans="1:12" x14ac:dyDescent="0.3">
      <c r="A515" s="1">
        <v>31926</v>
      </c>
      <c r="B515">
        <f>VLOOKUP(A515,'STOCK DATA'!$A$2:$H$522,2,FALSE)</f>
        <v>109.15</v>
      </c>
      <c r="C515">
        <f>VLOOKUP($A515,'STOCK DATA'!$A$2:H$521,3,FALSE)</f>
        <v>1770.8</v>
      </c>
      <c r="D515">
        <f>VLOOKUP($A515,'STOCK DATA'!$A$2:$H$521,3,FALSE)</f>
        <v>1770.8</v>
      </c>
      <c r="E515">
        <f>VLOOKUP($A515,'STOCK DATA'!$A$2:$H$521,3,FALSE)</f>
        <v>1770.8</v>
      </c>
      <c r="F515">
        <f>VLOOKUP($A515,'STOCK DATA'!$A$2:$H$521,3,FALSE)</f>
        <v>1770.8</v>
      </c>
      <c r="G515">
        <f>VLOOKUP($A515,'STOCK DATA'!$A$2:$H$521,3,FALSE)</f>
        <v>1770.8</v>
      </c>
      <c r="H515">
        <f>VLOOKUP($A515,'STOCK DATA'!$A$2:$H$521,3,FALSE)</f>
        <v>1770.8</v>
      </c>
      <c r="I515">
        <f>VLOOKUP(A515,'Short-term interest Rates daily'!$A:$E,2,FALSE)</f>
        <v>13.38</v>
      </c>
      <c r="J515">
        <f>VLOOKUP(A515,'Short-term interest Rates daily'!$A:$E,3,FALSE)</f>
        <v>8.1300000000000008</v>
      </c>
      <c r="K515">
        <f>VLOOKUP(A515,'Short-term interest Rates daily'!$A:$E,4,FALSE)</f>
        <v>8.56</v>
      </c>
      <c r="L515">
        <f>VLOOKUP(A515,'Short-term interest Rates daily'!$A:$E,5,FALSE)</f>
        <v>5.68</v>
      </c>
    </row>
    <row r="516" spans="1:12" x14ac:dyDescent="0.3">
      <c r="A516" s="1">
        <v>31927</v>
      </c>
      <c r="B516" t="e">
        <f>VLOOKUP(A516,'STOCK DATA'!$A$2:$H$522,2,FALSE)</f>
        <v>#N/A</v>
      </c>
      <c r="C516" t="e">
        <f>VLOOKUP($A516,'STOCK DATA'!$A$2:H$521,3,FALSE)</f>
        <v>#N/A</v>
      </c>
      <c r="D516" t="e">
        <f>VLOOKUP($A516,'STOCK DATA'!$A$2:$H$521,3,FALSE)</f>
        <v>#N/A</v>
      </c>
      <c r="E516" t="e">
        <f>VLOOKUP($A516,'STOCK DATA'!$A$2:$H$521,3,FALSE)</f>
        <v>#N/A</v>
      </c>
      <c r="F516" t="e">
        <f>VLOOKUP($A516,'STOCK DATA'!$A$2:$H$521,3,FALSE)</f>
        <v>#N/A</v>
      </c>
      <c r="G516" t="e">
        <f>VLOOKUP($A516,'STOCK DATA'!$A$2:$H$521,3,FALSE)</f>
        <v>#N/A</v>
      </c>
      <c r="H516" t="e">
        <f>VLOOKUP($A516,'STOCK DATA'!$A$2:$H$521,3,FALSE)</f>
        <v>#N/A</v>
      </c>
      <c r="I516" t="e">
        <f>VLOOKUP(A516,'Short-term interest Rates daily'!$A:$E,2,FALSE)</f>
        <v>#N/A</v>
      </c>
      <c r="J516" t="e">
        <f>VLOOKUP(A516,'Short-term interest Rates daily'!$A:$E,3,FALSE)</f>
        <v>#N/A</v>
      </c>
      <c r="K516" t="e">
        <f>VLOOKUP(A516,'Short-term interest Rates daily'!$A:$E,4,FALSE)</f>
        <v>#N/A</v>
      </c>
      <c r="L516" t="e">
        <f>VLOOKUP(A516,'Short-term interest Rates daily'!$A:$E,5,FALSE)</f>
        <v>#N/A</v>
      </c>
    </row>
    <row r="517" spans="1:12" x14ac:dyDescent="0.3">
      <c r="A517" s="1">
        <v>31928</v>
      </c>
      <c r="B517" t="e">
        <f>VLOOKUP(A517,'STOCK DATA'!$A$2:$H$522,2,FALSE)</f>
        <v>#N/A</v>
      </c>
      <c r="C517" t="e">
        <f>VLOOKUP($A517,'STOCK DATA'!$A$2:H$521,3,FALSE)</f>
        <v>#N/A</v>
      </c>
      <c r="D517" t="e">
        <f>VLOOKUP($A517,'STOCK DATA'!$A$2:$H$521,3,FALSE)</f>
        <v>#N/A</v>
      </c>
      <c r="E517" t="e">
        <f>VLOOKUP($A517,'STOCK DATA'!$A$2:$H$521,3,FALSE)</f>
        <v>#N/A</v>
      </c>
      <c r="F517" t="e">
        <f>VLOOKUP($A517,'STOCK DATA'!$A$2:$H$521,3,FALSE)</f>
        <v>#N/A</v>
      </c>
      <c r="G517" t="e">
        <f>VLOOKUP($A517,'STOCK DATA'!$A$2:$H$521,3,FALSE)</f>
        <v>#N/A</v>
      </c>
      <c r="H517" t="e">
        <f>VLOOKUP($A517,'STOCK DATA'!$A$2:$H$521,3,FALSE)</f>
        <v>#N/A</v>
      </c>
      <c r="I517" t="e">
        <f>VLOOKUP(A517,'Short-term interest Rates daily'!$A:$E,2,FALSE)</f>
        <v>#N/A</v>
      </c>
      <c r="J517" t="e">
        <f>VLOOKUP(A517,'Short-term interest Rates daily'!$A:$E,3,FALSE)</f>
        <v>#N/A</v>
      </c>
      <c r="K517" t="e">
        <f>VLOOKUP(A517,'Short-term interest Rates daily'!$A:$E,4,FALSE)</f>
        <v>#N/A</v>
      </c>
      <c r="L517" t="e">
        <f>VLOOKUP(A517,'Short-term interest Rates daily'!$A:$E,5,FALSE)</f>
        <v>#N/A</v>
      </c>
    </row>
    <row r="518" spans="1:12" x14ac:dyDescent="0.3">
      <c r="A518" s="1">
        <v>31929</v>
      </c>
      <c r="B518">
        <f>VLOOKUP(A518,'STOCK DATA'!$A$2:$H$522,2,FALSE)</f>
        <v>109.25</v>
      </c>
      <c r="C518">
        <f>VLOOKUP($A518,'STOCK DATA'!$A$2:H$521,3,FALSE)</f>
        <v>1776.2</v>
      </c>
      <c r="D518">
        <f>VLOOKUP($A518,'STOCK DATA'!$A$2:$H$521,3,FALSE)</f>
        <v>1776.2</v>
      </c>
      <c r="E518">
        <f>VLOOKUP($A518,'STOCK DATA'!$A$2:$H$521,3,FALSE)</f>
        <v>1776.2</v>
      </c>
      <c r="F518">
        <f>VLOOKUP($A518,'STOCK DATA'!$A$2:$H$521,3,FALSE)</f>
        <v>1776.2</v>
      </c>
      <c r="G518">
        <f>VLOOKUP($A518,'STOCK DATA'!$A$2:$H$521,3,FALSE)</f>
        <v>1776.2</v>
      </c>
      <c r="H518">
        <f>VLOOKUP($A518,'STOCK DATA'!$A$2:$H$521,3,FALSE)</f>
        <v>1776.2</v>
      </c>
      <c r="I518">
        <f>VLOOKUP(A518,'Short-term interest Rates daily'!$A:$E,2,FALSE)</f>
        <v>13.7</v>
      </c>
      <c r="J518">
        <f>VLOOKUP(A518,'Short-term interest Rates daily'!$A:$E,3,FALSE)</f>
        <v>8.19</v>
      </c>
      <c r="K518">
        <f>VLOOKUP(A518,'Short-term interest Rates daily'!$A:$E,4,FALSE)</f>
        <v>8.5500000000000007</v>
      </c>
      <c r="L518">
        <f>VLOOKUP(A518,'Short-term interest Rates daily'!$A:$E,5,FALSE)</f>
        <v>5.7</v>
      </c>
    </row>
    <row r="519" spans="1:12" x14ac:dyDescent="0.3">
      <c r="A519" s="1">
        <v>31930</v>
      </c>
      <c r="B519">
        <f>VLOOKUP(A519,'STOCK DATA'!$A$2:$H$522,2,FALSE)</f>
        <v>107.74</v>
      </c>
      <c r="C519">
        <f>VLOOKUP($A519,'STOCK DATA'!$A$2:H$521,3,FALSE)</f>
        <v>1758.3</v>
      </c>
      <c r="D519">
        <f>VLOOKUP($A519,'STOCK DATA'!$A$2:$H$521,3,FALSE)</f>
        <v>1758.3</v>
      </c>
      <c r="E519">
        <f>VLOOKUP($A519,'STOCK DATA'!$A$2:$H$521,3,FALSE)</f>
        <v>1758.3</v>
      </c>
      <c r="F519">
        <f>VLOOKUP($A519,'STOCK DATA'!$A$2:$H$521,3,FALSE)</f>
        <v>1758.3</v>
      </c>
      <c r="G519">
        <f>VLOOKUP($A519,'STOCK DATA'!$A$2:$H$521,3,FALSE)</f>
        <v>1758.3</v>
      </c>
      <c r="H519">
        <f>VLOOKUP($A519,'STOCK DATA'!$A$2:$H$521,3,FALSE)</f>
        <v>1758.3</v>
      </c>
      <c r="I519">
        <f>VLOOKUP(A519,'Short-term interest Rates daily'!$A:$E,2,FALSE)</f>
        <v>13.7</v>
      </c>
      <c r="J519">
        <f>VLOOKUP(A519,'Short-term interest Rates daily'!$A:$E,3,FALSE)</f>
        <v>8.4499999999999993</v>
      </c>
      <c r="K519">
        <f>VLOOKUP(A519,'Short-term interest Rates daily'!$A:$E,4,FALSE)</f>
        <v>8.51</v>
      </c>
      <c r="L519">
        <f>VLOOKUP(A519,'Short-term interest Rates daily'!$A:$E,5,FALSE)</f>
        <v>5.76</v>
      </c>
    </row>
    <row r="520" spans="1:12" x14ac:dyDescent="0.3">
      <c r="A520" s="1">
        <v>31931</v>
      </c>
      <c r="B520">
        <f>VLOOKUP(A520,'STOCK DATA'!$A$2:$H$522,2,FALSE)</f>
        <v>108.09</v>
      </c>
      <c r="C520">
        <f>VLOOKUP($A520,'STOCK DATA'!$A$2:H$521,3,FALSE)</f>
        <v>1776.2</v>
      </c>
      <c r="D520">
        <f>VLOOKUP($A520,'STOCK DATA'!$A$2:$H$521,3,FALSE)</f>
        <v>1776.2</v>
      </c>
      <c r="E520">
        <f>VLOOKUP($A520,'STOCK DATA'!$A$2:$H$521,3,FALSE)</f>
        <v>1776.2</v>
      </c>
      <c r="F520">
        <f>VLOOKUP($A520,'STOCK DATA'!$A$2:$H$521,3,FALSE)</f>
        <v>1776.2</v>
      </c>
      <c r="G520">
        <f>VLOOKUP($A520,'STOCK DATA'!$A$2:$H$521,3,FALSE)</f>
        <v>1776.2</v>
      </c>
      <c r="H520">
        <f>VLOOKUP($A520,'STOCK DATA'!$A$2:$H$521,3,FALSE)</f>
        <v>1776.2</v>
      </c>
      <c r="I520">
        <f>VLOOKUP(A520,'Short-term interest Rates daily'!$A:$E,2,FALSE)</f>
        <v>13.6</v>
      </c>
      <c r="J520">
        <f>VLOOKUP(A520,'Short-term interest Rates daily'!$A:$E,3,FALSE)</f>
        <v>8.26</v>
      </c>
      <c r="K520">
        <f>VLOOKUP(A520,'Short-term interest Rates daily'!$A:$E,4,FALSE)</f>
        <v>8.51</v>
      </c>
      <c r="L520">
        <f>VLOOKUP(A520,'Short-term interest Rates daily'!$A:$E,5,FALSE)</f>
        <v>5.69</v>
      </c>
    </row>
    <row r="521" spans="1:12" x14ac:dyDescent="0.3">
      <c r="A521" s="1">
        <v>31932</v>
      </c>
      <c r="B521">
        <f>VLOOKUP(A521,'STOCK DATA'!$A$2:$H$522,2,FALSE)</f>
        <v>108.8</v>
      </c>
      <c r="C521">
        <f>VLOOKUP($A521,'STOCK DATA'!$A$2:H$521,3,FALSE)</f>
        <v>1772.4</v>
      </c>
      <c r="D521">
        <f>VLOOKUP($A521,'STOCK DATA'!$A$2:$H$521,3,FALSE)</f>
        <v>1772.4</v>
      </c>
      <c r="E521">
        <f>VLOOKUP($A521,'STOCK DATA'!$A$2:$H$521,3,FALSE)</f>
        <v>1772.4</v>
      </c>
      <c r="F521">
        <f>VLOOKUP($A521,'STOCK DATA'!$A$2:$H$521,3,FALSE)</f>
        <v>1772.4</v>
      </c>
      <c r="G521">
        <f>VLOOKUP($A521,'STOCK DATA'!$A$2:$H$521,3,FALSE)</f>
        <v>1772.4</v>
      </c>
      <c r="H521">
        <f>VLOOKUP($A521,'STOCK DATA'!$A$2:$H$521,3,FALSE)</f>
        <v>1772.4</v>
      </c>
      <c r="I521">
        <f>VLOOKUP(A521,'Short-term interest Rates daily'!$A:$E,2,FALSE)</f>
        <v>13.5</v>
      </c>
      <c r="J521">
        <f>VLOOKUP(A521,'Short-term interest Rates daily'!$A:$E,3,FALSE)</f>
        <v>8.27</v>
      </c>
      <c r="K521">
        <f>VLOOKUP(A521,'Short-term interest Rates daily'!$A:$E,4,FALSE)</f>
        <v>8.5299999999999994</v>
      </c>
      <c r="L521">
        <f>VLOOKUP(A521,'Short-term interest Rates daily'!$A:$E,5,FALSE)</f>
        <v>5.66</v>
      </c>
    </row>
    <row r="522" spans="1:12" x14ac:dyDescent="0.3">
      <c r="A522" s="1">
        <v>31933</v>
      </c>
      <c r="B522">
        <f>VLOOKUP(A522,'STOCK DATA'!$A$2:$H$522,2,FALSE)</f>
        <v>108.25</v>
      </c>
      <c r="C522">
        <f>VLOOKUP($A522,'STOCK DATA'!$A$2:H$521,3,FALSE)</f>
        <v>1777.9</v>
      </c>
      <c r="D522">
        <f>VLOOKUP($A522,'STOCK DATA'!$A$2:$H$521,3,FALSE)</f>
        <v>1777.9</v>
      </c>
      <c r="E522">
        <f>VLOOKUP($A522,'STOCK DATA'!$A$2:$H$521,3,FALSE)</f>
        <v>1777.9</v>
      </c>
      <c r="F522">
        <f>VLOOKUP($A522,'STOCK DATA'!$A$2:$H$521,3,FALSE)</f>
        <v>1777.9</v>
      </c>
      <c r="G522">
        <f>VLOOKUP($A522,'STOCK DATA'!$A$2:$H$521,3,FALSE)</f>
        <v>1777.9</v>
      </c>
      <c r="H522">
        <f>VLOOKUP($A522,'STOCK DATA'!$A$2:$H$521,3,FALSE)</f>
        <v>1777.9</v>
      </c>
      <c r="I522">
        <f>VLOOKUP(A522,'Short-term interest Rates daily'!$A:$E,2,FALSE)</f>
        <v>13.73</v>
      </c>
      <c r="J522">
        <f>VLOOKUP(A522,'Short-term interest Rates daily'!$A:$E,3,FALSE)</f>
        <v>8.27</v>
      </c>
      <c r="K522">
        <f>VLOOKUP(A522,'Short-term interest Rates daily'!$A:$E,4,FALSE)</f>
        <v>8.5399999999999991</v>
      </c>
      <c r="L522">
        <f>VLOOKUP(A522,'Short-term interest Rates daily'!$A:$E,5,FALSE)</f>
        <v>5.68</v>
      </c>
    </row>
    <row r="523" spans="1:12" x14ac:dyDescent="0.3">
      <c r="A523" s="1">
        <v>31934</v>
      </c>
      <c r="B523" t="e">
        <f>VLOOKUP(A523,'STOCK DATA'!$A$2:$H$522,2,FALSE)</f>
        <v>#N/A</v>
      </c>
      <c r="C523" t="e">
        <f>VLOOKUP($A523,'STOCK DATA'!$A$2:H$521,3,FALSE)</f>
        <v>#N/A</v>
      </c>
      <c r="D523" t="e">
        <f>VLOOKUP($A523,'STOCK DATA'!$A$2:$H$521,3,FALSE)</f>
        <v>#N/A</v>
      </c>
      <c r="E523" t="e">
        <f>VLOOKUP($A523,'STOCK DATA'!$A$2:$H$521,3,FALSE)</f>
        <v>#N/A</v>
      </c>
      <c r="F523" t="e">
        <f>VLOOKUP($A523,'STOCK DATA'!$A$2:$H$521,3,FALSE)</f>
        <v>#N/A</v>
      </c>
      <c r="G523" t="e">
        <f>VLOOKUP($A523,'STOCK DATA'!$A$2:$H$521,3,FALSE)</f>
        <v>#N/A</v>
      </c>
      <c r="H523" t="e">
        <f>VLOOKUP($A523,'STOCK DATA'!$A$2:$H$521,3,FALSE)</f>
        <v>#N/A</v>
      </c>
      <c r="I523" t="e">
        <f>VLOOKUP(A523,'Short-term interest Rates daily'!$A:$E,2,FALSE)</f>
        <v>#N/A</v>
      </c>
      <c r="J523" t="e">
        <f>VLOOKUP(A523,'Short-term interest Rates daily'!$A:$E,3,FALSE)</f>
        <v>#N/A</v>
      </c>
      <c r="K523" t="e">
        <f>VLOOKUP(A523,'Short-term interest Rates daily'!$A:$E,4,FALSE)</f>
        <v>#N/A</v>
      </c>
      <c r="L523" t="e">
        <f>VLOOKUP(A523,'Short-term interest Rates daily'!$A:$E,5,FALSE)</f>
        <v>#N/A</v>
      </c>
    </row>
    <row r="524" spans="1:12" x14ac:dyDescent="0.3">
      <c r="A524" s="1">
        <v>31935</v>
      </c>
      <c r="B524" t="e">
        <f>VLOOKUP(A524,'STOCK DATA'!$A$2:$H$522,2,FALSE)</f>
        <v>#N/A</v>
      </c>
      <c r="C524" t="e">
        <f>VLOOKUP($A524,'STOCK DATA'!$A$2:H$521,3,FALSE)</f>
        <v>#N/A</v>
      </c>
      <c r="D524" t="e">
        <f>VLOOKUP($A524,'STOCK DATA'!$A$2:$H$521,3,FALSE)</f>
        <v>#N/A</v>
      </c>
      <c r="E524" t="e">
        <f>VLOOKUP($A524,'STOCK DATA'!$A$2:$H$521,3,FALSE)</f>
        <v>#N/A</v>
      </c>
      <c r="F524" t="e">
        <f>VLOOKUP($A524,'STOCK DATA'!$A$2:$H$521,3,FALSE)</f>
        <v>#N/A</v>
      </c>
      <c r="G524" t="e">
        <f>VLOOKUP($A524,'STOCK DATA'!$A$2:$H$521,3,FALSE)</f>
        <v>#N/A</v>
      </c>
      <c r="H524" t="e">
        <f>VLOOKUP($A524,'STOCK DATA'!$A$2:$H$521,3,FALSE)</f>
        <v>#N/A</v>
      </c>
      <c r="I524" t="e">
        <f>VLOOKUP(A524,'Short-term interest Rates daily'!$A:$E,2,FALSE)</f>
        <v>#N/A</v>
      </c>
      <c r="J524" t="e">
        <f>VLOOKUP(A524,'Short-term interest Rates daily'!$A:$E,3,FALSE)</f>
        <v>#N/A</v>
      </c>
      <c r="K524" t="e">
        <f>VLOOKUP(A524,'Short-term interest Rates daily'!$A:$E,4,FALSE)</f>
        <v>#N/A</v>
      </c>
      <c r="L524" t="e">
        <f>VLOOKUP(A524,'Short-term interest Rates daily'!$A:$E,5,FALSE)</f>
        <v>#N/A</v>
      </c>
    </row>
    <row r="525" spans="1:12" x14ac:dyDescent="0.3">
      <c r="A525" s="1">
        <v>31936</v>
      </c>
      <c r="B525">
        <f>VLOOKUP(A525,'STOCK DATA'!$A$2:$H$522,2,FALSE)</f>
        <v>108.25</v>
      </c>
      <c r="C525">
        <f>VLOOKUP($A525,'STOCK DATA'!$A$2:H$521,3,FALSE)</f>
        <v>0</v>
      </c>
      <c r="D525">
        <f>VLOOKUP($A525,'STOCK DATA'!$A$2:$H$521,3,FALSE)</f>
        <v>0</v>
      </c>
      <c r="E525">
        <f>VLOOKUP($A525,'STOCK DATA'!$A$2:$H$521,3,FALSE)</f>
        <v>0</v>
      </c>
      <c r="F525">
        <f>VLOOKUP($A525,'STOCK DATA'!$A$2:$H$521,3,FALSE)</f>
        <v>0</v>
      </c>
      <c r="G525">
        <f>VLOOKUP($A525,'STOCK DATA'!$A$2:$H$521,3,FALSE)</f>
        <v>0</v>
      </c>
      <c r="H525">
        <f>VLOOKUP($A525,'STOCK DATA'!$A$2:$H$521,3,FALSE)</f>
        <v>0</v>
      </c>
      <c r="I525">
        <f>VLOOKUP(A525,'Short-term interest Rates daily'!$A:$E,2,FALSE)</f>
        <v>0</v>
      </c>
      <c r="J525">
        <f>VLOOKUP(A525,'Short-term interest Rates daily'!$A:$E,3,FALSE)</f>
        <v>8.3000000000000007</v>
      </c>
      <c r="K525">
        <f>VLOOKUP(A525,'Short-term interest Rates daily'!$A:$E,4,FALSE)</f>
        <v>8.52</v>
      </c>
      <c r="L525">
        <f>VLOOKUP(A525,'Short-term interest Rates daily'!$A:$E,5,FALSE)</f>
        <v>5.66</v>
      </c>
    </row>
    <row r="526" spans="1:12" x14ac:dyDescent="0.3">
      <c r="A526" s="1">
        <v>31937</v>
      </c>
      <c r="B526">
        <f>VLOOKUP(A526,'STOCK DATA'!$A$2:$H$522,2,FALSE)</f>
        <v>108.16</v>
      </c>
      <c r="C526">
        <f>VLOOKUP($A526,'STOCK DATA'!$A$2:H$521,3,FALSE)</f>
        <v>1781.5</v>
      </c>
      <c r="D526">
        <f>VLOOKUP($A526,'STOCK DATA'!$A$2:$H$521,3,FALSE)</f>
        <v>1781.5</v>
      </c>
      <c r="E526">
        <f>VLOOKUP($A526,'STOCK DATA'!$A$2:$H$521,3,FALSE)</f>
        <v>1781.5</v>
      </c>
      <c r="F526">
        <f>VLOOKUP($A526,'STOCK DATA'!$A$2:$H$521,3,FALSE)</f>
        <v>1781.5</v>
      </c>
      <c r="G526">
        <f>VLOOKUP($A526,'STOCK DATA'!$A$2:$H$521,3,FALSE)</f>
        <v>1781.5</v>
      </c>
      <c r="H526">
        <f>VLOOKUP($A526,'STOCK DATA'!$A$2:$H$521,3,FALSE)</f>
        <v>1781.5</v>
      </c>
      <c r="I526">
        <f>VLOOKUP(A526,'Short-term interest Rates daily'!$A:$E,2,FALSE)</f>
        <v>14.78</v>
      </c>
      <c r="J526">
        <f>VLOOKUP(A526,'Short-term interest Rates daily'!$A:$E,3,FALSE)</f>
        <v>8.35</v>
      </c>
      <c r="K526">
        <f>VLOOKUP(A526,'Short-term interest Rates daily'!$A:$E,4,FALSE)</f>
        <v>8.4600000000000009</v>
      </c>
      <c r="L526">
        <f>VLOOKUP(A526,'Short-term interest Rates daily'!$A:$E,5,FALSE)</f>
        <v>5.51</v>
      </c>
    </row>
    <row r="527" spans="1:12" x14ac:dyDescent="0.3">
      <c r="A527" s="1">
        <v>31938</v>
      </c>
      <c r="B527">
        <f>VLOOKUP(A527,'STOCK DATA'!$A$2:$H$522,2,FALSE)</f>
        <v>108.49</v>
      </c>
      <c r="C527">
        <f>VLOOKUP($A527,'STOCK DATA'!$A$2:H$521,3,FALSE)</f>
        <v>1788.4</v>
      </c>
      <c r="D527">
        <f>VLOOKUP($A527,'STOCK DATA'!$A$2:$H$521,3,FALSE)</f>
        <v>1788.4</v>
      </c>
      <c r="E527">
        <f>VLOOKUP($A527,'STOCK DATA'!$A$2:$H$521,3,FALSE)</f>
        <v>1788.4</v>
      </c>
      <c r="F527">
        <f>VLOOKUP($A527,'STOCK DATA'!$A$2:$H$521,3,FALSE)</f>
        <v>1788.4</v>
      </c>
      <c r="G527">
        <f>VLOOKUP($A527,'STOCK DATA'!$A$2:$H$521,3,FALSE)</f>
        <v>1788.4</v>
      </c>
      <c r="H527">
        <f>VLOOKUP($A527,'STOCK DATA'!$A$2:$H$521,3,FALSE)</f>
        <v>1788.4</v>
      </c>
      <c r="I527">
        <f>VLOOKUP(A527,'Short-term interest Rates daily'!$A:$E,2,FALSE)</f>
        <v>14.38</v>
      </c>
      <c r="J527">
        <f>VLOOKUP(A527,'Short-term interest Rates daily'!$A:$E,3,FALSE)</f>
        <v>8.32</v>
      </c>
      <c r="K527">
        <f>VLOOKUP(A527,'Short-term interest Rates daily'!$A:$E,4,FALSE)</f>
        <v>8.3699999999999992</v>
      </c>
      <c r="L527">
        <f>VLOOKUP(A527,'Short-term interest Rates daily'!$A:$E,5,FALSE)</f>
        <v>5.48</v>
      </c>
    </row>
    <row r="528" spans="1:12" x14ac:dyDescent="0.3">
      <c r="A528" s="1">
        <v>31939</v>
      </c>
      <c r="B528">
        <f>VLOOKUP(A528,'STOCK DATA'!$A$2:$H$522,2,FALSE)</f>
        <v>108.64</v>
      </c>
      <c r="C528">
        <f>VLOOKUP($A528,'STOCK DATA'!$A$2:H$521,3,FALSE)</f>
        <v>1803.6</v>
      </c>
      <c r="D528">
        <f>VLOOKUP($A528,'STOCK DATA'!$A$2:$H$521,3,FALSE)</f>
        <v>1803.6</v>
      </c>
      <c r="E528">
        <f>VLOOKUP($A528,'STOCK DATA'!$A$2:$H$521,3,FALSE)</f>
        <v>1803.6</v>
      </c>
      <c r="F528">
        <f>VLOOKUP($A528,'STOCK DATA'!$A$2:$H$521,3,FALSE)</f>
        <v>1803.6</v>
      </c>
      <c r="G528">
        <f>VLOOKUP($A528,'STOCK DATA'!$A$2:$H$521,3,FALSE)</f>
        <v>1803.6</v>
      </c>
      <c r="H528">
        <f>VLOOKUP($A528,'STOCK DATA'!$A$2:$H$521,3,FALSE)</f>
        <v>1803.6</v>
      </c>
      <c r="I528">
        <f>VLOOKUP(A528,'Short-term interest Rates daily'!$A:$E,2,FALSE)</f>
        <v>13.55</v>
      </c>
      <c r="J528">
        <f>VLOOKUP(A528,'Short-term interest Rates daily'!$A:$E,3,FALSE)</f>
        <v>8.34</v>
      </c>
      <c r="K528">
        <f>VLOOKUP(A528,'Short-term interest Rates daily'!$A:$E,4,FALSE)</f>
        <v>8.4</v>
      </c>
      <c r="L528">
        <f>VLOOKUP(A528,'Short-term interest Rates daily'!$A:$E,5,FALSE)</f>
        <v>5.54</v>
      </c>
    </row>
    <row r="529" spans="1:12" x14ac:dyDescent="0.3">
      <c r="A529" s="1">
        <v>31940</v>
      </c>
      <c r="B529">
        <f>VLOOKUP(A529,'STOCK DATA'!$A$2:$H$522,2,FALSE)</f>
        <v>108.9</v>
      </c>
      <c r="C529">
        <f>VLOOKUP($A529,'STOCK DATA'!$A$2:H$521,3,FALSE)</f>
        <v>1827.8</v>
      </c>
      <c r="D529">
        <f>VLOOKUP($A529,'STOCK DATA'!$A$2:$H$521,3,FALSE)</f>
        <v>1827.8</v>
      </c>
      <c r="E529">
        <f>VLOOKUP($A529,'STOCK DATA'!$A$2:$H$521,3,FALSE)</f>
        <v>1827.8</v>
      </c>
      <c r="F529">
        <f>VLOOKUP($A529,'STOCK DATA'!$A$2:$H$521,3,FALSE)</f>
        <v>1827.8</v>
      </c>
      <c r="G529">
        <f>VLOOKUP($A529,'STOCK DATA'!$A$2:$H$521,3,FALSE)</f>
        <v>1827.8</v>
      </c>
      <c r="H529">
        <f>VLOOKUP($A529,'STOCK DATA'!$A$2:$H$521,3,FALSE)</f>
        <v>1827.8</v>
      </c>
      <c r="I529">
        <f>VLOOKUP(A529,'Short-term interest Rates daily'!$A:$E,2,FALSE)</f>
        <v>13.13</v>
      </c>
      <c r="J529">
        <f>VLOOKUP(A529,'Short-term interest Rates daily'!$A:$E,3,FALSE)</f>
        <v>8.31</v>
      </c>
      <c r="K529">
        <f>VLOOKUP(A529,'Short-term interest Rates daily'!$A:$E,4,FALSE)</f>
        <v>8.44</v>
      </c>
      <c r="L529">
        <f>VLOOKUP(A529,'Short-term interest Rates daily'!$A:$E,5,FALSE)</f>
        <v>5.55</v>
      </c>
    </row>
    <row r="530" spans="1:12" x14ac:dyDescent="0.3">
      <c r="A530" s="1">
        <v>31941</v>
      </c>
      <c r="B530" t="e">
        <f>VLOOKUP(A530,'STOCK DATA'!$A$2:$H$522,2,FALSE)</f>
        <v>#N/A</v>
      </c>
      <c r="C530" t="e">
        <f>VLOOKUP($A530,'STOCK DATA'!$A$2:H$521,3,FALSE)</f>
        <v>#N/A</v>
      </c>
      <c r="D530" t="e">
        <f>VLOOKUP($A530,'STOCK DATA'!$A$2:$H$521,3,FALSE)</f>
        <v>#N/A</v>
      </c>
      <c r="E530" t="e">
        <f>VLOOKUP($A530,'STOCK DATA'!$A$2:$H$521,3,FALSE)</f>
        <v>#N/A</v>
      </c>
      <c r="F530" t="e">
        <f>VLOOKUP($A530,'STOCK DATA'!$A$2:$H$521,3,FALSE)</f>
        <v>#N/A</v>
      </c>
      <c r="G530" t="e">
        <f>VLOOKUP($A530,'STOCK DATA'!$A$2:$H$521,3,FALSE)</f>
        <v>#N/A</v>
      </c>
      <c r="H530" t="e">
        <f>VLOOKUP($A530,'STOCK DATA'!$A$2:$H$521,3,FALSE)</f>
        <v>#N/A</v>
      </c>
      <c r="I530" t="e">
        <f>VLOOKUP(A530,'Short-term interest Rates daily'!$A:$E,2,FALSE)</f>
        <v>#N/A</v>
      </c>
      <c r="J530" t="e">
        <f>VLOOKUP(A530,'Short-term interest Rates daily'!$A:$E,3,FALSE)</f>
        <v>#N/A</v>
      </c>
      <c r="K530" t="e">
        <f>VLOOKUP(A530,'Short-term interest Rates daily'!$A:$E,4,FALSE)</f>
        <v>#N/A</v>
      </c>
      <c r="L530" t="e">
        <f>VLOOKUP(A530,'Short-term interest Rates daily'!$A:$E,5,FALSE)</f>
        <v>#N/A</v>
      </c>
    </row>
    <row r="531" spans="1:12" x14ac:dyDescent="0.3">
      <c r="A531" s="1">
        <v>31942</v>
      </c>
      <c r="B531" t="e">
        <f>VLOOKUP(A531,'STOCK DATA'!$A$2:$H$522,2,FALSE)</f>
        <v>#N/A</v>
      </c>
      <c r="C531" t="e">
        <f>VLOOKUP($A531,'STOCK DATA'!$A$2:H$521,3,FALSE)</f>
        <v>#N/A</v>
      </c>
      <c r="D531" t="e">
        <f>VLOOKUP($A531,'STOCK DATA'!$A$2:$H$521,3,FALSE)</f>
        <v>#N/A</v>
      </c>
      <c r="E531" t="e">
        <f>VLOOKUP($A531,'STOCK DATA'!$A$2:$H$521,3,FALSE)</f>
        <v>#N/A</v>
      </c>
      <c r="F531" t="e">
        <f>VLOOKUP($A531,'STOCK DATA'!$A$2:$H$521,3,FALSE)</f>
        <v>#N/A</v>
      </c>
      <c r="G531" t="e">
        <f>VLOOKUP($A531,'STOCK DATA'!$A$2:$H$521,3,FALSE)</f>
        <v>#N/A</v>
      </c>
      <c r="H531" t="e">
        <f>VLOOKUP($A531,'STOCK DATA'!$A$2:$H$521,3,FALSE)</f>
        <v>#N/A</v>
      </c>
      <c r="I531" t="e">
        <f>VLOOKUP(A531,'Short-term interest Rates daily'!$A:$E,2,FALSE)</f>
        <v>#N/A</v>
      </c>
      <c r="J531" t="e">
        <f>VLOOKUP(A531,'Short-term interest Rates daily'!$A:$E,3,FALSE)</f>
        <v>#N/A</v>
      </c>
      <c r="K531" t="e">
        <f>VLOOKUP(A531,'Short-term interest Rates daily'!$A:$E,4,FALSE)</f>
        <v>#N/A</v>
      </c>
      <c r="L531" t="e">
        <f>VLOOKUP(A531,'Short-term interest Rates daily'!$A:$E,5,FALSE)</f>
        <v>#N/A</v>
      </c>
    </row>
    <row r="532" spans="1:12" x14ac:dyDescent="0.3">
      <c r="A532" s="1">
        <v>31943</v>
      </c>
      <c r="B532">
        <f>VLOOKUP(A532,'STOCK DATA'!$A$2:$H$522,2,FALSE)</f>
        <v>109.95</v>
      </c>
      <c r="C532">
        <f>VLOOKUP($A532,'STOCK DATA'!$A$2:H$521,3,FALSE)</f>
        <v>1818.4</v>
      </c>
      <c r="D532">
        <f>VLOOKUP($A532,'STOCK DATA'!$A$2:$H$521,3,FALSE)</f>
        <v>1818.4</v>
      </c>
      <c r="E532">
        <f>VLOOKUP($A532,'STOCK DATA'!$A$2:$H$521,3,FALSE)</f>
        <v>1818.4</v>
      </c>
      <c r="F532">
        <f>VLOOKUP($A532,'STOCK DATA'!$A$2:$H$521,3,FALSE)</f>
        <v>1818.4</v>
      </c>
      <c r="G532">
        <f>VLOOKUP($A532,'STOCK DATA'!$A$2:$H$521,3,FALSE)</f>
        <v>1818.4</v>
      </c>
      <c r="H532">
        <f>VLOOKUP($A532,'STOCK DATA'!$A$2:$H$521,3,FALSE)</f>
        <v>1818.4</v>
      </c>
      <c r="I532">
        <f>VLOOKUP(A532,'Short-term interest Rates daily'!$A:$E,2,FALSE)</f>
        <v>13.13</v>
      </c>
      <c r="J532">
        <f>VLOOKUP(A532,'Short-term interest Rates daily'!$A:$E,3,FALSE)</f>
        <v>8.31</v>
      </c>
      <c r="K532">
        <f>VLOOKUP(A532,'Short-term interest Rates daily'!$A:$E,4,FALSE)</f>
        <v>8.4600000000000009</v>
      </c>
      <c r="L532">
        <f>VLOOKUP(A532,'Short-term interest Rates daily'!$A:$E,5,FALSE)</f>
        <v>5.65</v>
      </c>
    </row>
    <row r="533" spans="1:12" x14ac:dyDescent="0.3">
      <c r="A533" s="1">
        <v>31944</v>
      </c>
      <c r="B533">
        <f>VLOOKUP(A533,'STOCK DATA'!$A$2:$H$522,2,FALSE)</f>
        <v>110.85</v>
      </c>
      <c r="C533">
        <f>VLOOKUP($A533,'STOCK DATA'!$A$2:H$521,3,FALSE)</f>
        <v>1807.9</v>
      </c>
      <c r="D533">
        <f>VLOOKUP($A533,'STOCK DATA'!$A$2:$H$521,3,FALSE)</f>
        <v>1807.9</v>
      </c>
      <c r="E533">
        <f>VLOOKUP($A533,'STOCK DATA'!$A$2:$H$521,3,FALSE)</f>
        <v>1807.9</v>
      </c>
      <c r="F533">
        <f>VLOOKUP($A533,'STOCK DATA'!$A$2:$H$521,3,FALSE)</f>
        <v>1807.9</v>
      </c>
      <c r="G533">
        <f>VLOOKUP($A533,'STOCK DATA'!$A$2:$H$521,3,FALSE)</f>
        <v>1807.9</v>
      </c>
      <c r="H533">
        <f>VLOOKUP($A533,'STOCK DATA'!$A$2:$H$521,3,FALSE)</f>
        <v>1807.9</v>
      </c>
      <c r="I533">
        <f>VLOOKUP(A533,'Short-term interest Rates daily'!$A:$E,2,FALSE)</f>
        <v>13.13</v>
      </c>
      <c r="J533">
        <f>VLOOKUP(A533,'Short-term interest Rates daily'!$A:$E,3,FALSE)</f>
        <v>8.32</v>
      </c>
      <c r="K533">
        <f>VLOOKUP(A533,'Short-term interest Rates daily'!$A:$E,4,FALSE)</f>
        <v>8.6</v>
      </c>
      <c r="L533">
        <f>VLOOKUP(A533,'Short-term interest Rates daily'!$A:$E,5,FALSE)</f>
        <v>5.63</v>
      </c>
    </row>
    <row r="534" spans="1:12" x14ac:dyDescent="0.3">
      <c r="A534" s="1">
        <v>31945</v>
      </c>
      <c r="B534">
        <f>VLOOKUP(A534,'STOCK DATA'!$A$2:$H$522,2,FALSE)</f>
        <v>112.53</v>
      </c>
      <c r="C534">
        <f>VLOOKUP($A534,'STOCK DATA'!$A$2:H$521,3,FALSE)</f>
        <v>1802.8</v>
      </c>
      <c r="D534">
        <f>VLOOKUP($A534,'STOCK DATA'!$A$2:$H$521,3,FALSE)</f>
        <v>1802.8</v>
      </c>
      <c r="E534">
        <f>VLOOKUP($A534,'STOCK DATA'!$A$2:$H$521,3,FALSE)</f>
        <v>1802.8</v>
      </c>
      <c r="F534">
        <f>VLOOKUP($A534,'STOCK DATA'!$A$2:$H$521,3,FALSE)</f>
        <v>1802.8</v>
      </c>
      <c r="G534">
        <f>VLOOKUP($A534,'STOCK DATA'!$A$2:$H$521,3,FALSE)</f>
        <v>1802.8</v>
      </c>
      <c r="H534">
        <f>VLOOKUP($A534,'STOCK DATA'!$A$2:$H$521,3,FALSE)</f>
        <v>1802.8</v>
      </c>
      <c r="I534">
        <f>VLOOKUP(A534,'Short-term interest Rates daily'!$A:$E,2,FALSE)</f>
        <v>12.7</v>
      </c>
      <c r="J534">
        <f>VLOOKUP(A534,'Short-term interest Rates daily'!$A:$E,3,FALSE)</f>
        <v>8.3000000000000007</v>
      </c>
      <c r="K534">
        <f>VLOOKUP(A534,'Short-term interest Rates daily'!$A:$E,4,FALSE)</f>
        <v>8.61</v>
      </c>
      <c r="L534">
        <f>VLOOKUP(A534,'Short-term interest Rates daily'!$A:$E,5,FALSE)</f>
        <v>5.65</v>
      </c>
    </row>
    <row r="535" spans="1:12" x14ac:dyDescent="0.3">
      <c r="A535" s="1">
        <v>31946</v>
      </c>
      <c r="B535">
        <f>VLOOKUP(A535,'STOCK DATA'!$A$2:$H$522,2,FALSE)</f>
        <v>112.21</v>
      </c>
      <c r="C535">
        <f>VLOOKUP($A535,'STOCK DATA'!$A$2:H$521,3,FALSE)</f>
        <v>1798.3</v>
      </c>
      <c r="D535">
        <f>VLOOKUP($A535,'STOCK DATA'!$A$2:$H$521,3,FALSE)</f>
        <v>1798.3</v>
      </c>
      <c r="E535">
        <f>VLOOKUP($A535,'STOCK DATA'!$A$2:$H$521,3,FALSE)</f>
        <v>1798.3</v>
      </c>
      <c r="F535">
        <f>VLOOKUP($A535,'STOCK DATA'!$A$2:$H$521,3,FALSE)</f>
        <v>1798.3</v>
      </c>
      <c r="G535">
        <f>VLOOKUP($A535,'STOCK DATA'!$A$2:$H$521,3,FALSE)</f>
        <v>1798.3</v>
      </c>
      <c r="H535">
        <f>VLOOKUP($A535,'STOCK DATA'!$A$2:$H$521,3,FALSE)</f>
        <v>1798.3</v>
      </c>
      <c r="I535">
        <f>VLOOKUP(A535,'Short-term interest Rates daily'!$A:$E,2,FALSE)</f>
        <v>12.88</v>
      </c>
      <c r="J535">
        <f>VLOOKUP(A535,'Short-term interest Rates daily'!$A:$E,3,FALSE)</f>
        <v>8.33</v>
      </c>
      <c r="K535">
        <f>VLOOKUP(A535,'Short-term interest Rates daily'!$A:$E,4,FALSE)</f>
        <v>8.59</v>
      </c>
      <c r="L535">
        <f>VLOOKUP(A535,'Short-term interest Rates daily'!$A:$E,5,FALSE)</f>
        <v>5.65</v>
      </c>
    </row>
    <row r="536" spans="1:12" x14ac:dyDescent="0.3">
      <c r="A536" s="1">
        <v>31947</v>
      </c>
      <c r="B536">
        <f>VLOOKUP(A536,'STOCK DATA'!$A$2:$H$522,2,FALSE)</f>
        <v>113.5</v>
      </c>
      <c r="C536">
        <f>VLOOKUP($A536,'STOCK DATA'!$A$2:H$521,3,FALSE)</f>
        <v>1798.1</v>
      </c>
      <c r="D536">
        <f>VLOOKUP($A536,'STOCK DATA'!$A$2:$H$521,3,FALSE)</f>
        <v>1798.1</v>
      </c>
      <c r="E536">
        <f>VLOOKUP($A536,'STOCK DATA'!$A$2:$H$521,3,FALSE)</f>
        <v>1798.1</v>
      </c>
      <c r="F536">
        <f>VLOOKUP($A536,'STOCK DATA'!$A$2:$H$521,3,FALSE)</f>
        <v>1798.1</v>
      </c>
      <c r="G536">
        <f>VLOOKUP($A536,'STOCK DATA'!$A$2:$H$521,3,FALSE)</f>
        <v>1798.1</v>
      </c>
      <c r="H536">
        <f>VLOOKUP($A536,'STOCK DATA'!$A$2:$H$521,3,FALSE)</f>
        <v>1798.1</v>
      </c>
      <c r="I536">
        <f>VLOOKUP(A536,'Short-term interest Rates daily'!$A:$E,2,FALSE)</f>
        <v>12.38</v>
      </c>
      <c r="J536">
        <f>VLOOKUP(A536,'Short-term interest Rates daily'!$A:$E,3,FALSE)</f>
        <v>8.34</v>
      </c>
      <c r="K536">
        <f>VLOOKUP(A536,'Short-term interest Rates daily'!$A:$E,4,FALSE)</f>
        <v>8.69</v>
      </c>
      <c r="L536">
        <f>VLOOKUP(A536,'Short-term interest Rates daily'!$A:$E,5,FALSE)</f>
        <v>5.66</v>
      </c>
    </row>
    <row r="537" spans="1:12" x14ac:dyDescent="0.3">
      <c r="A537" s="1">
        <v>31948</v>
      </c>
      <c r="B537" t="e">
        <f>VLOOKUP(A537,'STOCK DATA'!$A$2:$H$522,2,FALSE)</f>
        <v>#N/A</v>
      </c>
      <c r="C537" t="e">
        <f>VLOOKUP($A537,'STOCK DATA'!$A$2:H$521,3,FALSE)</f>
        <v>#N/A</v>
      </c>
      <c r="D537" t="e">
        <f>VLOOKUP($A537,'STOCK DATA'!$A$2:$H$521,3,FALSE)</f>
        <v>#N/A</v>
      </c>
      <c r="E537" t="e">
        <f>VLOOKUP($A537,'STOCK DATA'!$A$2:$H$521,3,FALSE)</f>
        <v>#N/A</v>
      </c>
      <c r="F537" t="e">
        <f>VLOOKUP($A537,'STOCK DATA'!$A$2:$H$521,3,FALSE)</f>
        <v>#N/A</v>
      </c>
      <c r="G537" t="e">
        <f>VLOOKUP($A537,'STOCK DATA'!$A$2:$H$521,3,FALSE)</f>
        <v>#N/A</v>
      </c>
      <c r="H537" t="e">
        <f>VLOOKUP($A537,'STOCK DATA'!$A$2:$H$521,3,FALSE)</f>
        <v>#N/A</v>
      </c>
      <c r="I537" t="e">
        <f>VLOOKUP(A537,'Short-term interest Rates daily'!$A:$E,2,FALSE)</f>
        <v>#N/A</v>
      </c>
      <c r="J537" t="e">
        <f>VLOOKUP(A537,'Short-term interest Rates daily'!$A:$E,3,FALSE)</f>
        <v>#N/A</v>
      </c>
      <c r="K537" t="e">
        <f>VLOOKUP(A537,'Short-term interest Rates daily'!$A:$E,4,FALSE)</f>
        <v>#N/A</v>
      </c>
      <c r="L537" t="e">
        <f>VLOOKUP(A537,'Short-term interest Rates daily'!$A:$E,5,FALSE)</f>
        <v>#N/A</v>
      </c>
    </row>
    <row r="538" spans="1:12" x14ac:dyDescent="0.3">
      <c r="A538" s="1">
        <v>31949</v>
      </c>
      <c r="B538" t="e">
        <f>VLOOKUP(A538,'STOCK DATA'!$A$2:$H$522,2,FALSE)</f>
        <v>#N/A</v>
      </c>
      <c r="C538" t="e">
        <f>VLOOKUP($A538,'STOCK DATA'!$A$2:H$521,3,FALSE)</f>
        <v>#N/A</v>
      </c>
      <c r="D538" t="e">
        <f>VLOOKUP($A538,'STOCK DATA'!$A$2:$H$521,3,FALSE)</f>
        <v>#N/A</v>
      </c>
      <c r="E538" t="e">
        <f>VLOOKUP($A538,'STOCK DATA'!$A$2:$H$521,3,FALSE)</f>
        <v>#N/A</v>
      </c>
      <c r="F538" t="e">
        <f>VLOOKUP($A538,'STOCK DATA'!$A$2:$H$521,3,FALSE)</f>
        <v>#N/A</v>
      </c>
      <c r="G538" t="e">
        <f>VLOOKUP($A538,'STOCK DATA'!$A$2:$H$521,3,FALSE)</f>
        <v>#N/A</v>
      </c>
      <c r="H538" t="e">
        <f>VLOOKUP($A538,'STOCK DATA'!$A$2:$H$521,3,FALSE)</f>
        <v>#N/A</v>
      </c>
      <c r="I538" t="e">
        <f>VLOOKUP(A538,'Short-term interest Rates daily'!$A:$E,2,FALSE)</f>
        <v>#N/A</v>
      </c>
      <c r="J538" t="e">
        <f>VLOOKUP(A538,'Short-term interest Rates daily'!$A:$E,3,FALSE)</f>
        <v>#N/A</v>
      </c>
      <c r="K538" t="e">
        <f>VLOOKUP(A538,'Short-term interest Rates daily'!$A:$E,4,FALSE)</f>
        <v>#N/A</v>
      </c>
      <c r="L538" t="e">
        <f>VLOOKUP(A538,'Short-term interest Rates daily'!$A:$E,5,FALSE)</f>
        <v>#N/A</v>
      </c>
    </row>
    <row r="539" spans="1:12" x14ac:dyDescent="0.3">
      <c r="A539" s="1">
        <v>31950</v>
      </c>
      <c r="B539">
        <f>VLOOKUP(A539,'STOCK DATA'!$A$2:$H$522,2,FALSE)</f>
        <v>115.4</v>
      </c>
      <c r="C539">
        <f>VLOOKUP($A539,'STOCK DATA'!$A$2:H$521,3,FALSE)</f>
        <v>1774.1</v>
      </c>
      <c r="D539">
        <f>VLOOKUP($A539,'STOCK DATA'!$A$2:$H$521,3,FALSE)</f>
        <v>1774.1</v>
      </c>
      <c r="E539">
        <f>VLOOKUP($A539,'STOCK DATA'!$A$2:$H$521,3,FALSE)</f>
        <v>1774.1</v>
      </c>
      <c r="F539">
        <f>VLOOKUP($A539,'STOCK DATA'!$A$2:$H$521,3,FALSE)</f>
        <v>1774.1</v>
      </c>
      <c r="G539">
        <f>VLOOKUP($A539,'STOCK DATA'!$A$2:$H$521,3,FALSE)</f>
        <v>1774.1</v>
      </c>
      <c r="H539">
        <f>VLOOKUP($A539,'STOCK DATA'!$A$2:$H$521,3,FALSE)</f>
        <v>1774.1</v>
      </c>
      <c r="I539">
        <f>VLOOKUP(A539,'Short-term interest Rates daily'!$A:$E,2,FALSE)</f>
        <v>12.38</v>
      </c>
      <c r="J539">
        <f>VLOOKUP(A539,'Short-term interest Rates daily'!$A:$E,3,FALSE)</f>
        <v>8.2799999999999994</v>
      </c>
      <c r="K539">
        <f>VLOOKUP(A539,'Short-term interest Rates daily'!$A:$E,4,FALSE)</f>
        <v>8.82</v>
      </c>
      <c r="L539">
        <f>VLOOKUP(A539,'Short-term interest Rates daily'!$A:$E,5,FALSE)</f>
        <v>5.66</v>
      </c>
    </row>
    <row r="540" spans="1:12" x14ac:dyDescent="0.3">
      <c r="A540" s="1">
        <v>31951</v>
      </c>
      <c r="B540">
        <f>VLOOKUP(A540,'STOCK DATA'!$A$2:$H$522,2,FALSE)</f>
        <v>115.25</v>
      </c>
      <c r="C540">
        <f>VLOOKUP($A540,'STOCK DATA'!$A$2:H$521,3,FALSE)</f>
        <v>1742</v>
      </c>
      <c r="D540">
        <f>VLOOKUP($A540,'STOCK DATA'!$A$2:$H$521,3,FALSE)</f>
        <v>1742</v>
      </c>
      <c r="E540">
        <f>VLOOKUP($A540,'STOCK DATA'!$A$2:$H$521,3,FALSE)</f>
        <v>1742</v>
      </c>
      <c r="F540">
        <f>VLOOKUP($A540,'STOCK DATA'!$A$2:$H$521,3,FALSE)</f>
        <v>1742</v>
      </c>
      <c r="G540">
        <f>VLOOKUP($A540,'STOCK DATA'!$A$2:$H$521,3,FALSE)</f>
        <v>1742</v>
      </c>
      <c r="H540">
        <f>VLOOKUP($A540,'STOCK DATA'!$A$2:$H$521,3,FALSE)</f>
        <v>1742</v>
      </c>
      <c r="I540">
        <f>VLOOKUP(A540,'Short-term interest Rates daily'!$A:$E,2,FALSE)</f>
        <v>12.25</v>
      </c>
      <c r="J540">
        <f>VLOOKUP(A540,'Short-term interest Rates daily'!$A:$E,3,FALSE)</f>
        <v>8.31</v>
      </c>
      <c r="K540">
        <f>VLOOKUP(A540,'Short-term interest Rates daily'!$A:$E,4,FALSE)</f>
        <v>8.86</v>
      </c>
      <c r="L540">
        <f>VLOOKUP(A540,'Short-term interest Rates daily'!$A:$E,5,FALSE)</f>
        <v>5.72</v>
      </c>
    </row>
    <row r="541" spans="1:12" x14ac:dyDescent="0.3">
      <c r="A541" s="1">
        <v>31952</v>
      </c>
      <c r="B541">
        <f>VLOOKUP(A541,'STOCK DATA'!$A$2:$H$522,2,FALSE)</f>
        <v>115</v>
      </c>
      <c r="C541">
        <f>VLOOKUP($A541,'STOCK DATA'!$A$2:H$521,3,FALSE)</f>
        <v>1739.5</v>
      </c>
      <c r="D541">
        <f>VLOOKUP($A541,'STOCK DATA'!$A$2:$H$521,3,FALSE)</f>
        <v>1739.5</v>
      </c>
      <c r="E541">
        <f>VLOOKUP($A541,'STOCK DATA'!$A$2:$H$521,3,FALSE)</f>
        <v>1739.5</v>
      </c>
      <c r="F541">
        <f>VLOOKUP($A541,'STOCK DATA'!$A$2:$H$521,3,FALSE)</f>
        <v>1739.5</v>
      </c>
      <c r="G541">
        <f>VLOOKUP($A541,'STOCK DATA'!$A$2:$H$521,3,FALSE)</f>
        <v>1739.5</v>
      </c>
      <c r="H541">
        <f>VLOOKUP($A541,'STOCK DATA'!$A$2:$H$521,3,FALSE)</f>
        <v>1739.5</v>
      </c>
      <c r="I541">
        <f>VLOOKUP(A541,'Short-term interest Rates daily'!$A:$E,2,FALSE)</f>
        <v>12</v>
      </c>
      <c r="J541">
        <f>VLOOKUP(A541,'Short-term interest Rates daily'!$A:$E,3,FALSE)</f>
        <v>8.33</v>
      </c>
      <c r="K541">
        <f>VLOOKUP(A541,'Short-term interest Rates daily'!$A:$E,4,FALSE)</f>
        <v>8.82</v>
      </c>
      <c r="L541">
        <f>VLOOKUP(A541,'Short-term interest Rates daily'!$A:$E,5,FALSE)</f>
        <v>5.83</v>
      </c>
    </row>
    <row r="542" spans="1:12" x14ac:dyDescent="0.3">
      <c r="A542" s="1">
        <v>31953</v>
      </c>
      <c r="B542">
        <f>VLOOKUP(A542,'STOCK DATA'!$A$2:$H$522,2,FALSE)</f>
        <v>117.14</v>
      </c>
      <c r="C542">
        <f>VLOOKUP($A542,'STOCK DATA'!$A$2:H$521,3,FALSE)</f>
        <v>1742.9</v>
      </c>
      <c r="D542">
        <f>VLOOKUP($A542,'STOCK DATA'!$A$2:$H$521,3,FALSE)</f>
        <v>1742.9</v>
      </c>
      <c r="E542">
        <f>VLOOKUP($A542,'STOCK DATA'!$A$2:$H$521,3,FALSE)</f>
        <v>1742.9</v>
      </c>
      <c r="F542">
        <f>VLOOKUP($A542,'STOCK DATA'!$A$2:$H$521,3,FALSE)</f>
        <v>1742.9</v>
      </c>
      <c r="G542">
        <f>VLOOKUP($A542,'STOCK DATA'!$A$2:$H$521,3,FALSE)</f>
        <v>1742.9</v>
      </c>
      <c r="H542">
        <f>VLOOKUP($A542,'STOCK DATA'!$A$2:$H$521,3,FALSE)</f>
        <v>1742.9</v>
      </c>
      <c r="I542">
        <f>VLOOKUP(A542,'Short-term interest Rates daily'!$A:$E,2,FALSE)</f>
        <v>12.38</v>
      </c>
      <c r="J542">
        <f>VLOOKUP(A542,'Short-term interest Rates daily'!$A:$E,3,FALSE)</f>
        <v>8.2899999999999991</v>
      </c>
      <c r="K542">
        <f>VLOOKUP(A542,'Short-term interest Rates daily'!$A:$E,4,FALSE)</f>
        <v>8.82</v>
      </c>
      <c r="L542">
        <f>VLOOKUP(A542,'Short-term interest Rates daily'!$A:$E,5,FALSE)</f>
        <v>5.84</v>
      </c>
    </row>
    <row r="543" spans="1:12" x14ac:dyDescent="0.3">
      <c r="A543" s="1">
        <v>31954</v>
      </c>
      <c r="B543">
        <f>VLOOKUP(A543,'STOCK DATA'!$A$2:$H$522,2,FALSE)</f>
        <v>117.6</v>
      </c>
      <c r="C543">
        <f>VLOOKUP($A543,'STOCK DATA'!$A$2:H$521,3,FALSE)</f>
        <v>1748.2</v>
      </c>
      <c r="D543">
        <f>VLOOKUP($A543,'STOCK DATA'!$A$2:$H$521,3,FALSE)</f>
        <v>1748.2</v>
      </c>
      <c r="E543">
        <f>VLOOKUP($A543,'STOCK DATA'!$A$2:$H$521,3,FALSE)</f>
        <v>1748.2</v>
      </c>
      <c r="F543">
        <f>VLOOKUP($A543,'STOCK DATA'!$A$2:$H$521,3,FALSE)</f>
        <v>1748.2</v>
      </c>
      <c r="G543">
        <f>VLOOKUP($A543,'STOCK DATA'!$A$2:$H$521,3,FALSE)</f>
        <v>1748.2</v>
      </c>
      <c r="H543">
        <f>VLOOKUP($A543,'STOCK DATA'!$A$2:$H$521,3,FALSE)</f>
        <v>1748.2</v>
      </c>
      <c r="I543">
        <f>VLOOKUP(A543,'Short-term interest Rates daily'!$A:$E,2,FALSE)</f>
        <v>12.63</v>
      </c>
      <c r="J543">
        <f>VLOOKUP(A543,'Short-term interest Rates daily'!$A:$E,3,FALSE)</f>
        <v>8.32</v>
      </c>
      <c r="K543">
        <f>VLOOKUP(A543,'Short-term interest Rates daily'!$A:$E,4,FALSE)</f>
        <v>8.82</v>
      </c>
      <c r="L543">
        <f>VLOOKUP(A543,'Short-term interest Rates daily'!$A:$E,5,FALSE)</f>
        <v>5.78</v>
      </c>
    </row>
    <row r="544" spans="1:12" x14ac:dyDescent="0.3">
      <c r="A544" s="1">
        <v>31955</v>
      </c>
      <c r="B544" t="e">
        <f>VLOOKUP(A544,'STOCK DATA'!$A$2:$H$522,2,FALSE)</f>
        <v>#N/A</v>
      </c>
      <c r="C544" t="e">
        <f>VLOOKUP($A544,'STOCK DATA'!$A$2:H$521,3,FALSE)</f>
        <v>#N/A</v>
      </c>
      <c r="D544" t="e">
        <f>VLOOKUP($A544,'STOCK DATA'!$A$2:$H$521,3,FALSE)</f>
        <v>#N/A</v>
      </c>
      <c r="E544" t="e">
        <f>VLOOKUP($A544,'STOCK DATA'!$A$2:$H$521,3,FALSE)</f>
        <v>#N/A</v>
      </c>
      <c r="F544" t="e">
        <f>VLOOKUP($A544,'STOCK DATA'!$A$2:$H$521,3,FALSE)</f>
        <v>#N/A</v>
      </c>
      <c r="G544" t="e">
        <f>VLOOKUP($A544,'STOCK DATA'!$A$2:$H$521,3,FALSE)</f>
        <v>#N/A</v>
      </c>
      <c r="H544" t="e">
        <f>VLOOKUP($A544,'STOCK DATA'!$A$2:$H$521,3,FALSE)</f>
        <v>#N/A</v>
      </c>
      <c r="I544" t="e">
        <f>VLOOKUP(A544,'Short-term interest Rates daily'!$A:$E,2,FALSE)</f>
        <v>#N/A</v>
      </c>
      <c r="J544" t="e">
        <f>VLOOKUP(A544,'Short-term interest Rates daily'!$A:$E,3,FALSE)</f>
        <v>#N/A</v>
      </c>
      <c r="K544" t="e">
        <f>VLOOKUP(A544,'Short-term interest Rates daily'!$A:$E,4,FALSE)</f>
        <v>#N/A</v>
      </c>
      <c r="L544" t="e">
        <f>VLOOKUP(A544,'Short-term interest Rates daily'!$A:$E,5,FALSE)</f>
        <v>#N/A</v>
      </c>
    </row>
    <row r="545" spans="1:12" x14ac:dyDescent="0.3">
      <c r="A545" s="1">
        <v>31956</v>
      </c>
      <c r="B545" t="e">
        <f>VLOOKUP(A545,'STOCK DATA'!$A$2:$H$522,2,FALSE)</f>
        <v>#N/A</v>
      </c>
      <c r="C545" t="e">
        <f>VLOOKUP($A545,'STOCK DATA'!$A$2:H$521,3,FALSE)</f>
        <v>#N/A</v>
      </c>
      <c r="D545" t="e">
        <f>VLOOKUP($A545,'STOCK DATA'!$A$2:$H$521,3,FALSE)</f>
        <v>#N/A</v>
      </c>
      <c r="E545" t="e">
        <f>VLOOKUP($A545,'STOCK DATA'!$A$2:$H$521,3,FALSE)</f>
        <v>#N/A</v>
      </c>
      <c r="F545" t="e">
        <f>VLOOKUP($A545,'STOCK DATA'!$A$2:$H$521,3,FALSE)</f>
        <v>#N/A</v>
      </c>
      <c r="G545" t="e">
        <f>VLOOKUP($A545,'STOCK DATA'!$A$2:$H$521,3,FALSE)</f>
        <v>#N/A</v>
      </c>
      <c r="H545" t="e">
        <f>VLOOKUP($A545,'STOCK DATA'!$A$2:$H$521,3,FALSE)</f>
        <v>#N/A</v>
      </c>
      <c r="I545" t="e">
        <f>VLOOKUP(A545,'Short-term interest Rates daily'!$A:$E,2,FALSE)</f>
        <v>#N/A</v>
      </c>
      <c r="J545" t="e">
        <f>VLOOKUP(A545,'Short-term interest Rates daily'!$A:$E,3,FALSE)</f>
        <v>#N/A</v>
      </c>
      <c r="K545" t="e">
        <f>VLOOKUP(A545,'Short-term interest Rates daily'!$A:$E,4,FALSE)</f>
        <v>#N/A</v>
      </c>
      <c r="L545" t="e">
        <f>VLOOKUP(A545,'Short-term interest Rates daily'!$A:$E,5,FALSE)</f>
        <v>#N/A</v>
      </c>
    </row>
    <row r="546" spans="1:12" x14ac:dyDescent="0.3">
      <c r="A546" s="1">
        <v>31957</v>
      </c>
      <c r="B546">
        <f>VLOOKUP(A546,'STOCK DATA'!$A$2:$H$522,2,FALSE)</f>
        <v>117.91</v>
      </c>
      <c r="C546">
        <f>VLOOKUP($A546,'STOCK DATA'!$A$2:H$521,3,FALSE)</f>
        <v>1761.9</v>
      </c>
      <c r="D546">
        <f>VLOOKUP($A546,'STOCK DATA'!$A$2:$H$521,3,FALSE)</f>
        <v>1761.9</v>
      </c>
      <c r="E546">
        <f>VLOOKUP($A546,'STOCK DATA'!$A$2:$H$521,3,FALSE)</f>
        <v>1761.9</v>
      </c>
      <c r="F546">
        <f>VLOOKUP($A546,'STOCK DATA'!$A$2:$H$521,3,FALSE)</f>
        <v>1761.9</v>
      </c>
      <c r="G546">
        <f>VLOOKUP($A546,'STOCK DATA'!$A$2:$H$521,3,FALSE)</f>
        <v>1761.9</v>
      </c>
      <c r="H546">
        <f>VLOOKUP($A546,'STOCK DATA'!$A$2:$H$521,3,FALSE)</f>
        <v>1761.9</v>
      </c>
      <c r="I546">
        <f>VLOOKUP(A546,'Short-term interest Rates daily'!$A:$E,2,FALSE)</f>
        <v>12.75</v>
      </c>
      <c r="J546">
        <f>VLOOKUP(A546,'Short-term interest Rates daily'!$A:$E,3,FALSE)</f>
        <v>8.36</v>
      </c>
      <c r="K546">
        <f>VLOOKUP(A546,'Short-term interest Rates daily'!$A:$E,4,FALSE)</f>
        <v>8.86</v>
      </c>
      <c r="L546">
        <f>VLOOKUP(A546,'Short-term interest Rates daily'!$A:$E,5,FALSE)</f>
        <v>5.67</v>
      </c>
    </row>
    <row r="547" spans="1:12" x14ac:dyDescent="0.3">
      <c r="A547" s="1">
        <v>31958</v>
      </c>
      <c r="B547">
        <f>VLOOKUP(A547,'STOCK DATA'!$A$2:$H$522,2,FALSE)</f>
        <v>117.56</v>
      </c>
      <c r="C547">
        <f>VLOOKUP($A547,'STOCK DATA'!$A$2:H$521,3,FALSE)</f>
        <v>1765.8</v>
      </c>
      <c r="D547">
        <f>VLOOKUP($A547,'STOCK DATA'!$A$2:$H$521,3,FALSE)</f>
        <v>1765.8</v>
      </c>
      <c r="E547">
        <f>VLOOKUP($A547,'STOCK DATA'!$A$2:$H$521,3,FALSE)</f>
        <v>1765.8</v>
      </c>
      <c r="F547">
        <f>VLOOKUP($A547,'STOCK DATA'!$A$2:$H$521,3,FALSE)</f>
        <v>1765.8</v>
      </c>
      <c r="G547">
        <f>VLOOKUP($A547,'STOCK DATA'!$A$2:$H$521,3,FALSE)</f>
        <v>1765.8</v>
      </c>
      <c r="H547">
        <f>VLOOKUP($A547,'STOCK DATA'!$A$2:$H$521,3,FALSE)</f>
        <v>1765.8</v>
      </c>
      <c r="I547">
        <f>VLOOKUP(A547,'Short-term interest Rates daily'!$A:$E,2,FALSE)</f>
        <v>14.25</v>
      </c>
      <c r="J547">
        <f>VLOOKUP(A547,'Short-term interest Rates daily'!$A:$E,3,FALSE)</f>
        <v>8.35</v>
      </c>
      <c r="K547">
        <f>VLOOKUP(A547,'Short-term interest Rates daily'!$A:$E,4,FALSE)</f>
        <v>8.8699999999999992</v>
      </c>
      <c r="L547">
        <f>VLOOKUP(A547,'Short-term interest Rates daily'!$A:$E,5,FALSE)</f>
        <v>5.73</v>
      </c>
    </row>
    <row r="548" spans="1:12" x14ac:dyDescent="0.3">
      <c r="A548" s="1">
        <v>31959</v>
      </c>
      <c r="B548">
        <f>VLOOKUP(A548,'STOCK DATA'!$A$2:$H$522,2,FALSE)</f>
        <v>116.39</v>
      </c>
      <c r="C548">
        <f>VLOOKUP($A548,'STOCK DATA'!$A$2:H$521,3,FALSE)</f>
        <v>1774</v>
      </c>
      <c r="D548">
        <f>VLOOKUP($A548,'STOCK DATA'!$A$2:$H$521,3,FALSE)</f>
        <v>1774</v>
      </c>
      <c r="E548">
        <f>VLOOKUP($A548,'STOCK DATA'!$A$2:$H$521,3,FALSE)</f>
        <v>1774</v>
      </c>
      <c r="F548">
        <f>VLOOKUP($A548,'STOCK DATA'!$A$2:$H$521,3,FALSE)</f>
        <v>1774</v>
      </c>
      <c r="G548">
        <f>VLOOKUP($A548,'STOCK DATA'!$A$2:$H$521,3,FALSE)</f>
        <v>1774</v>
      </c>
      <c r="H548">
        <f>VLOOKUP($A548,'STOCK DATA'!$A$2:$H$521,3,FALSE)</f>
        <v>1774</v>
      </c>
      <c r="I548">
        <f>VLOOKUP(A548,'Short-term interest Rates daily'!$A:$E,2,FALSE)</f>
        <v>12.75</v>
      </c>
      <c r="J548">
        <f>VLOOKUP(A548,'Short-term interest Rates daily'!$A:$E,3,FALSE)</f>
        <v>0</v>
      </c>
      <c r="K548">
        <f>VLOOKUP(A548,'Short-term interest Rates daily'!$A:$E,4,FALSE)</f>
        <v>8.84</v>
      </c>
      <c r="L548">
        <f>VLOOKUP(A548,'Short-term interest Rates daily'!$A:$E,5,FALSE)</f>
        <v>5.64</v>
      </c>
    </row>
    <row r="549" spans="1:12" x14ac:dyDescent="0.3">
      <c r="A549" s="1">
        <v>31960</v>
      </c>
      <c r="B549">
        <f>VLOOKUP(A549,'STOCK DATA'!$A$2:$H$522,2,FALSE)</f>
        <v>117.84</v>
      </c>
      <c r="C549">
        <f>VLOOKUP($A549,'STOCK DATA'!$A$2:H$521,3,FALSE)</f>
        <v>1800</v>
      </c>
      <c r="D549">
        <f>VLOOKUP($A549,'STOCK DATA'!$A$2:$H$521,3,FALSE)</f>
        <v>1800</v>
      </c>
      <c r="E549">
        <f>VLOOKUP($A549,'STOCK DATA'!$A$2:$H$521,3,FALSE)</f>
        <v>1800</v>
      </c>
      <c r="F549">
        <f>VLOOKUP($A549,'STOCK DATA'!$A$2:$H$521,3,FALSE)</f>
        <v>1800</v>
      </c>
      <c r="G549">
        <f>VLOOKUP($A549,'STOCK DATA'!$A$2:$H$521,3,FALSE)</f>
        <v>1800</v>
      </c>
      <c r="H549">
        <f>VLOOKUP($A549,'STOCK DATA'!$A$2:$H$521,3,FALSE)</f>
        <v>1800</v>
      </c>
      <c r="I549">
        <f>VLOOKUP(A549,'Short-term interest Rates daily'!$A:$E,2,FALSE)</f>
        <v>12.43</v>
      </c>
      <c r="J549">
        <f>VLOOKUP(A549,'Short-term interest Rates daily'!$A:$E,3,FALSE)</f>
        <v>8.36</v>
      </c>
      <c r="K549">
        <f>VLOOKUP(A549,'Short-term interest Rates daily'!$A:$E,4,FALSE)</f>
        <v>8.85</v>
      </c>
      <c r="L549">
        <f>VLOOKUP(A549,'Short-term interest Rates daily'!$A:$E,5,FALSE)</f>
        <v>5.66</v>
      </c>
    </row>
    <row r="550" spans="1:12" x14ac:dyDescent="0.3">
      <c r="A550" s="1">
        <v>31961</v>
      </c>
      <c r="B550">
        <f>VLOOKUP(A550,'STOCK DATA'!$A$2:$H$522,2,FALSE)</f>
        <v>119.28</v>
      </c>
      <c r="C550">
        <f>VLOOKUP($A550,'STOCK DATA'!$A$2:H$521,3,FALSE)</f>
        <v>1833.7</v>
      </c>
      <c r="D550">
        <f>VLOOKUP($A550,'STOCK DATA'!$A$2:$H$521,3,FALSE)</f>
        <v>1833.7</v>
      </c>
      <c r="E550">
        <f>VLOOKUP($A550,'STOCK DATA'!$A$2:$H$521,3,FALSE)</f>
        <v>1833.7</v>
      </c>
      <c r="F550">
        <f>VLOOKUP($A550,'STOCK DATA'!$A$2:$H$521,3,FALSE)</f>
        <v>1833.7</v>
      </c>
      <c r="G550">
        <f>VLOOKUP($A550,'STOCK DATA'!$A$2:$H$521,3,FALSE)</f>
        <v>1833.7</v>
      </c>
      <c r="H550">
        <f>VLOOKUP($A550,'STOCK DATA'!$A$2:$H$521,3,FALSE)</f>
        <v>1833.7</v>
      </c>
      <c r="I550">
        <f>VLOOKUP(A550,'Short-term interest Rates daily'!$A:$E,2,FALSE)</f>
        <v>12</v>
      </c>
      <c r="J550">
        <f>VLOOKUP(A550,'Short-term interest Rates daily'!$A:$E,3,FALSE)</f>
        <v>8.34</v>
      </c>
      <c r="K550">
        <f>VLOOKUP(A550,'Short-term interest Rates daily'!$A:$E,4,FALSE)</f>
        <v>8.8699999999999992</v>
      </c>
      <c r="L550">
        <f>VLOOKUP(A550,'Short-term interest Rates daily'!$A:$E,5,FALSE)</f>
        <v>0</v>
      </c>
    </row>
    <row r="551" spans="1:12" x14ac:dyDescent="0.3">
      <c r="A551" s="1">
        <v>31962</v>
      </c>
      <c r="B551" t="e">
        <f>VLOOKUP(A551,'STOCK DATA'!$A$2:$H$522,2,FALSE)</f>
        <v>#N/A</v>
      </c>
      <c r="C551" t="e">
        <f>VLOOKUP($A551,'STOCK DATA'!$A$2:H$521,3,FALSE)</f>
        <v>#N/A</v>
      </c>
      <c r="D551" t="e">
        <f>VLOOKUP($A551,'STOCK DATA'!$A$2:$H$521,3,FALSE)</f>
        <v>#N/A</v>
      </c>
      <c r="E551" t="e">
        <f>VLOOKUP($A551,'STOCK DATA'!$A$2:$H$521,3,FALSE)</f>
        <v>#N/A</v>
      </c>
      <c r="F551" t="e">
        <f>VLOOKUP($A551,'STOCK DATA'!$A$2:$H$521,3,FALSE)</f>
        <v>#N/A</v>
      </c>
      <c r="G551" t="e">
        <f>VLOOKUP($A551,'STOCK DATA'!$A$2:$H$521,3,FALSE)</f>
        <v>#N/A</v>
      </c>
      <c r="H551" t="e">
        <f>VLOOKUP($A551,'STOCK DATA'!$A$2:$H$521,3,FALSE)</f>
        <v>#N/A</v>
      </c>
      <c r="I551" t="e">
        <f>VLOOKUP(A551,'Short-term interest Rates daily'!$A:$E,2,FALSE)</f>
        <v>#N/A</v>
      </c>
      <c r="J551" t="e">
        <f>VLOOKUP(A551,'Short-term interest Rates daily'!$A:$E,3,FALSE)</f>
        <v>#N/A</v>
      </c>
      <c r="K551" t="e">
        <f>VLOOKUP(A551,'Short-term interest Rates daily'!$A:$E,4,FALSE)</f>
        <v>#N/A</v>
      </c>
      <c r="L551" t="e">
        <f>VLOOKUP(A551,'Short-term interest Rates daily'!$A:$E,5,FALSE)</f>
        <v>#N/A</v>
      </c>
    </row>
    <row r="552" spans="1:12" x14ac:dyDescent="0.3">
      <c r="A552" s="1">
        <v>31963</v>
      </c>
      <c r="B552" t="e">
        <f>VLOOKUP(A552,'STOCK DATA'!$A$2:$H$522,2,FALSE)</f>
        <v>#N/A</v>
      </c>
      <c r="C552" t="e">
        <f>VLOOKUP($A552,'STOCK DATA'!$A$2:H$521,3,FALSE)</f>
        <v>#N/A</v>
      </c>
      <c r="D552" t="e">
        <f>VLOOKUP($A552,'STOCK DATA'!$A$2:$H$521,3,FALSE)</f>
        <v>#N/A</v>
      </c>
      <c r="E552" t="e">
        <f>VLOOKUP($A552,'STOCK DATA'!$A$2:$H$521,3,FALSE)</f>
        <v>#N/A</v>
      </c>
      <c r="F552" t="e">
        <f>VLOOKUP($A552,'STOCK DATA'!$A$2:$H$521,3,FALSE)</f>
        <v>#N/A</v>
      </c>
      <c r="G552" t="e">
        <f>VLOOKUP($A552,'STOCK DATA'!$A$2:$H$521,3,FALSE)</f>
        <v>#N/A</v>
      </c>
      <c r="H552" t="e">
        <f>VLOOKUP($A552,'STOCK DATA'!$A$2:$H$521,3,FALSE)</f>
        <v>#N/A</v>
      </c>
      <c r="I552" t="e">
        <f>VLOOKUP(A552,'Short-term interest Rates daily'!$A:$E,2,FALSE)</f>
        <v>#N/A</v>
      </c>
      <c r="J552" t="e">
        <f>VLOOKUP(A552,'Short-term interest Rates daily'!$A:$E,3,FALSE)</f>
        <v>#N/A</v>
      </c>
      <c r="K552" t="e">
        <f>VLOOKUP(A552,'Short-term interest Rates daily'!$A:$E,4,FALSE)</f>
        <v>#N/A</v>
      </c>
      <c r="L552" t="e">
        <f>VLOOKUP(A552,'Short-term interest Rates daily'!$A:$E,5,FALSE)</f>
        <v>#N/A</v>
      </c>
    </row>
    <row r="553" spans="1:12" x14ac:dyDescent="0.3">
      <c r="A553" s="1">
        <v>31964</v>
      </c>
      <c r="B553">
        <f>VLOOKUP(A553,'STOCK DATA'!$A$2:$H$522,2,FALSE)</f>
        <v>120.27</v>
      </c>
      <c r="C553">
        <f>VLOOKUP($A553,'STOCK DATA'!$A$2:H$521,3,FALSE)</f>
        <v>1833.4</v>
      </c>
      <c r="D553">
        <f>VLOOKUP($A553,'STOCK DATA'!$A$2:$H$521,3,FALSE)</f>
        <v>1833.4</v>
      </c>
      <c r="E553">
        <f>VLOOKUP($A553,'STOCK DATA'!$A$2:$H$521,3,FALSE)</f>
        <v>1833.4</v>
      </c>
      <c r="F553">
        <f>VLOOKUP($A553,'STOCK DATA'!$A$2:$H$521,3,FALSE)</f>
        <v>1833.4</v>
      </c>
      <c r="G553">
        <f>VLOOKUP($A553,'STOCK DATA'!$A$2:$H$521,3,FALSE)</f>
        <v>1833.4</v>
      </c>
      <c r="H553">
        <f>VLOOKUP($A553,'STOCK DATA'!$A$2:$H$521,3,FALSE)</f>
        <v>1833.4</v>
      </c>
      <c r="I553">
        <f>VLOOKUP(A553,'Short-term interest Rates daily'!$A:$E,2,FALSE)</f>
        <v>12.23</v>
      </c>
      <c r="J553">
        <f>VLOOKUP(A553,'Short-term interest Rates daily'!$A:$E,3,FALSE)</f>
        <v>8.34</v>
      </c>
      <c r="K553">
        <f>VLOOKUP(A553,'Short-term interest Rates daily'!$A:$E,4,FALSE)</f>
        <v>8.86</v>
      </c>
      <c r="L553">
        <f>VLOOKUP(A553,'Short-term interest Rates daily'!$A:$E,5,FALSE)</f>
        <v>5.67</v>
      </c>
    </row>
    <row r="554" spans="1:12" x14ac:dyDescent="0.3">
      <c r="A554" s="1">
        <v>31965</v>
      </c>
      <c r="B554">
        <f>VLOOKUP(A554,'STOCK DATA'!$A$2:$H$522,2,FALSE)</f>
        <v>119.92</v>
      </c>
      <c r="C554">
        <f>VLOOKUP($A554,'STOCK DATA'!$A$2:H$521,3,FALSE)</f>
        <v>1862.8</v>
      </c>
      <c r="D554">
        <f>VLOOKUP($A554,'STOCK DATA'!$A$2:$H$521,3,FALSE)</f>
        <v>1862.8</v>
      </c>
      <c r="E554">
        <f>VLOOKUP($A554,'STOCK DATA'!$A$2:$H$521,3,FALSE)</f>
        <v>1862.8</v>
      </c>
      <c r="F554">
        <f>VLOOKUP($A554,'STOCK DATA'!$A$2:$H$521,3,FALSE)</f>
        <v>1862.8</v>
      </c>
      <c r="G554">
        <f>VLOOKUP($A554,'STOCK DATA'!$A$2:$H$521,3,FALSE)</f>
        <v>1862.8</v>
      </c>
      <c r="H554">
        <f>VLOOKUP($A554,'STOCK DATA'!$A$2:$H$521,3,FALSE)</f>
        <v>1862.8</v>
      </c>
      <c r="I554">
        <f>VLOOKUP(A554,'Short-term interest Rates daily'!$A:$E,2,FALSE)</f>
        <v>12.25</v>
      </c>
      <c r="J554">
        <f>VLOOKUP(A554,'Short-term interest Rates daily'!$A:$E,3,FALSE)</f>
        <v>8.34</v>
      </c>
      <c r="K554">
        <f>VLOOKUP(A554,'Short-term interest Rates daily'!$A:$E,4,FALSE)</f>
        <v>8.83</v>
      </c>
      <c r="L554">
        <f>VLOOKUP(A554,'Short-term interest Rates daily'!$A:$E,5,FALSE)</f>
        <v>5.6</v>
      </c>
    </row>
    <row r="555" spans="1:12" x14ac:dyDescent="0.3">
      <c r="A555" s="1">
        <v>31966</v>
      </c>
      <c r="B555">
        <f>VLOOKUP(A555,'STOCK DATA'!$A$2:$H$522,2,FALSE)</f>
        <v>119.38</v>
      </c>
      <c r="C555">
        <f>VLOOKUP($A555,'STOCK DATA'!$A$2:H$521,3,FALSE)</f>
        <v>1883.5</v>
      </c>
      <c r="D555">
        <f>VLOOKUP($A555,'STOCK DATA'!$A$2:$H$521,3,FALSE)</f>
        <v>1883.5</v>
      </c>
      <c r="E555">
        <f>VLOOKUP($A555,'STOCK DATA'!$A$2:$H$521,3,FALSE)</f>
        <v>1883.5</v>
      </c>
      <c r="F555">
        <f>VLOOKUP($A555,'STOCK DATA'!$A$2:$H$521,3,FALSE)</f>
        <v>1883.5</v>
      </c>
      <c r="G555">
        <f>VLOOKUP($A555,'STOCK DATA'!$A$2:$H$521,3,FALSE)</f>
        <v>1883.5</v>
      </c>
      <c r="H555">
        <f>VLOOKUP($A555,'STOCK DATA'!$A$2:$H$521,3,FALSE)</f>
        <v>1883.5</v>
      </c>
      <c r="I555">
        <f>VLOOKUP(A555,'Short-term interest Rates daily'!$A:$E,2,FALSE)</f>
        <v>12.63</v>
      </c>
      <c r="J555">
        <f>VLOOKUP(A555,'Short-term interest Rates daily'!$A:$E,3,FALSE)</f>
        <v>8.36</v>
      </c>
      <c r="K555">
        <f>VLOOKUP(A555,'Short-term interest Rates daily'!$A:$E,4,FALSE)</f>
        <v>8.81</v>
      </c>
      <c r="L555">
        <f>VLOOKUP(A555,'Short-term interest Rates daily'!$A:$E,5,FALSE)</f>
        <v>5.57</v>
      </c>
    </row>
    <row r="556" spans="1:12" x14ac:dyDescent="0.3">
      <c r="A556" s="1">
        <v>31967</v>
      </c>
      <c r="B556">
        <f>VLOOKUP(A556,'STOCK DATA'!$A$2:$H$522,2,FALSE)</f>
        <v>118.6</v>
      </c>
      <c r="C556">
        <f>VLOOKUP($A556,'STOCK DATA'!$A$2:H$521,3,FALSE)</f>
        <v>1898.6</v>
      </c>
      <c r="D556">
        <f>VLOOKUP($A556,'STOCK DATA'!$A$2:$H$521,3,FALSE)</f>
        <v>1898.6</v>
      </c>
      <c r="E556">
        <f>VLOOKUP($A556,'STOCK DATA'!$A$2:$H$521,3,FALSE)</f>
        <v>1898.6</v>
      </c>
      <c r="F556">
        <f>VLOOKUP($A556,'STOCK DATA'!$A$2:$H$521,3,FALSE)</f>
        <v>1898.6</v>
      </c>
      <c r="G556">
        <f>VLOOKUP($A556,'STOCK DATA'!$A$2:$H$521,3,FALSE)</f>
        <v>1898.6</v>
      </c>
      <c r="H556">
        <f>VLOOKUP($A556,'STOCK DATA'!$A$2:$H$521,3,FALSE)</f>
        <v>1898.6</v>
      </c>
      <c r="I556">
        <f>VLOOKUP(A556,'Short-term interest Rates daily'!$A:$E,2,FALSE)</f>
        <v>13.6</v>
      </c>
      <c r="J556">
        <f>VLOOKUP(A556,'Short-term interest Rates daily'!$A:$E,3,FALSE)</f>
        <v>8.43</v>
      </c>
      <c r="K556">
        <f>VLOOKUP(A556,'Short-term interest Rates daily'!$A:$E,4,FALSE)</f>
        <v>8.81</v>
      </c>
      <c r="L556">
        <f>VLOOKUP(A556,'Short-term interest Rates daily'!$A:$E,5,FALSE)</f>
        <v>5.61</v>
      </c>
    </row>
    <row r="557" spans="1:12" x14ac:dyDescent="0.3">
      <c r="A557" s="1">
        <v>31968</v>
      </c>
      <c r="B557">
        <f>VLOOKUP(A557,'STOCK DATA'!$A$2:$H$522,2,FALSE)</f>
        <v>118.9</v>
      </c>
      <c r="C557">
        <f>VLOOKUP($A557,'STOCK DATA'!$A$2:H$521,3,FALSE)</f>
        <v>1915.2</v>
      </c>
      <c r="D557">
        <f>VLOOKUP($A557,'STOCK DATA'!$A$2:$H$521,3,FALSE)</f>
        <v>1915.2</v>
      </c>
      <c r="E557">
        <f>VLOOKUP($A557,'STOCK DATA'!$A$2:$H$521,3,FALSE)</f>
        <v>1915.2</v>
      </c>
      <c r="F557">
        <f>VLOOKUP($A557,'STOCK DATA'!$A$2:$H$521,3,FALSE)</f>
        <v>1915.2</v>
      </c>
      <c r="G557">
        <f>VLOOKUP($A557,'STOCK DATA'!$A$2:$H$521,3,FALSE)</f>
        <v>1915.2</v>
      </c>
      <c r="H557">
        <f>VLOOKUP($A557,'STOCK DATA'!$A$2:$H$521,3,FALSE)</f>
        <v>1915.2</v>
      </c>
      <c r="I557">
        <f>VLOOKUP(A557,'Short-term interest Rates daily'!$A:$E,2,FALSE)</f>
        <v>14.13</v>
      </c>
      <c r="J557">
        <f>VLOOKUP(A557,'Short-term interest Rates daily'!$A:$E,3,FALSE)</f>
        <v>8.43</v>
      </c>
      <c r="K557">
        <f>VLOOKUP(A557,'Short-term interest Rates daily'!$A:$E,4,FALSE)</f>
        <v>8.81</v>
      </c>
      <c r="L557">
        <f>VLOOKUP(A557,'Short-term interest Rates daily'!$A:$E,5,FALSE)</f>
        <v>5.59</v>
      </c>
    </row>
    <row r="558" spans="1:12" x14ac:dyDescent="0.3">
      <c r="A558" s="1">
        <v>31969</v>
      </c>
      <c r="B558" t="e">
        <f>VLOOKUP(A558,'STOCK DATA'!$A$2:$H$522,2,FALSE)</f>
        <v>#N/A</v>
      </c>
      <c r="C558" t="e">
        <f>VLOOKUP($A558,'STOCK DATA'!$A$2:H$521,3,FALSE)</f>
        <v>#N/A</v>
      </c>
      <c r="D558" t="e">
        <f>VLOOKUP($A558,'STOCK DATA'!$A$2:$H$521,3,FALSE)</f>
        <v>#N/A</v>
      </c>
      <c r="E558" t="e">
        <f>VLOOKUP($A558,'STOCK DATA'!$A$2:$H$521,3,FALSE)</f>
        <v>#N/A</v>
      </c>
      <c r="F558" t="e">
        <f>VLOOKUP($A558,'STOCK DATA'!$A$2:$H$521,3,FALSE)</f>
        <v>#N/A</v>
      </c>
      <c r="G558" t="e">
        <f>VLOOKUP($A558,'STOCK DATA'!$A$2:$H$521,3,FALSE)</f>
        <v>#N/A</v>
      </c>
      <c r="H558" t="e">
        <f>VLOOKUP($A558,'STOCK DATA'!$A$2:$H$521,3,FALSE)</f>
        <v>#N/A</v>
      </c>
      <c r="I558" t="e">
        <f>VLOOKUP(A558,'Short-term interest Rates daily'!$A:$E,2,FALSE)</f>
        <v>#N/A</v>
      </c>
      <c r="J558" t="e">
        <f>VLOOKUP(A558,'Short-term interest Rates daily'!$A:$E,3,FALSE)</f>
        <v>#N/A</v>
      </c>
      <c r="K558" t="e">
        <f>VLOOKUP(A558,'Short-term interest Rates daily'!$A:$E,4,FALSE)</f>
        <v>#N/A</v>
      </c>
      <c r="L558" t="e">
        <f>VLOOKUP(A558,'Short-term interest Rates daily'!$A:$E,5,FALSE)</f>
        <v>#N/A</v>
      </c>
    </row>
    <row r="559" spans="1:12" x14ac:dyDescent="0.3">
      <c r="A559" s="1">
        <v>31970</v>
      </c>
      <c r="B559" t="e">
        <f>VLOOKUP(A559,'STOCK DATA'!$A$2:$H$522,2,FALSE)</f>
        <v>#N/A</v>
      </c>
      <c r="C559" t="e">
        <f>VLOOKUP($A559,'STOCK DATA'!$A$2:H$521,3,FALSE)</f>
        <v>#N/A</v>
      </c>
      <c r="D559" t="e">
        <f>VLOOKUP($A559,'STOCK DATA'!$A$2:$H$521,3,FALSE)</f>
        <v>#N/A</v>
      </c>
      <c r="E559" t="e">
        <f>VLOOKUP($A559,'STOCK DATA'!$A$2:$H$521,3,FALSE)</f>
        <v>#N/A</v>
      </c>
      <c r="F559" t="e">
        <f>VLOOKUP($A559,'STOCK DATA'!$A$2:$H$521,3,FALSE)</f>
        <v>#N/A</v>
      </c>
      <c r="G559" t="e">
        <f>VLOOKUP($A559,'STOCK DATA'!$A$2:$H$521,3,FALSE)</f>
        <v>#N/A</v>
      </c>
      <c r="H559" t="e">
        <f>VLOOKUP($A559,'STOCK DATA'!$A$2:$H$521,3,FALSE)</f>
        <v>#N/A</v>
      </c>
      <c r="I559" t="e">
        <f>VLOOKUP(A559,'Short-term interest Rates daily'!$A:$E,2,FALSE)</f>
        <v>#N/A</v>
      </c>
      <c r="J559" t="e">
        <f>VLOOKUP(A559,'Short-term interest Rates daily'!$A:$E,3,FALSE)</f>
        <v>#N/A</v>
      </c>
      <c r="K559" t="e">
        <f>VLOOKUP(A559,'Short-term interest Rates daily'!$A:$E,4,FALSE)</f>
        <v>#N/A</v>
      </c>
      <c r="L559" t="e">
        <f>VLOOKUP(A559,'Short-term interest Rates daily'!$A:$E,5,FALSE)</f>
        <v>#N/A</v>
      </c>
    </row>
    <row r="560" spans="1:12" x14ac:dyDescent="0.3">
      <c r="A560" s="1">
        <v>31971</v>
      </c>
      <c r="B560">
        <f>VLOOKUP(A560,'STOCK DATA'!$A$2:$H$522,2,FALSE)</f>
        <v>119.49</v>
      </c>
      <c r="C560">
        <f>VLOOKUP($A560,'STOCK DATA'!$A$2:H$521,3,FALSE)</f>
        <v>1930.7</v>
      </c>
      <c r="D560">
        <f>VLOOKUP($A560,'STOCK DATA'!$A$2:$H$521,3,FALSE)</f>
        <v>1930.7</v>
      </c>
      <c r="E560">
        <f>VLOOKUP($A560,'STOCK DATA'!$A$2:$H$521,3,FALSE)</f>
        <v>1930.7</v>
      </c>
      <c r="F560">
        <f>VLOOKUP($A560,'STOCK DATA'!$A$2:$H$521,3,FALSE)</f>
        <v>1930.7</v>
      </c>
      <c r="G560">
        <f>VLOOKUP($A560,'STOCK DATA'!$A$2:$H$521,3,FALSE)</f>
        <v>1930.7</v>
      </c>
      <c r="H560">
        <f>VLOOKUP($A560,'STOCK DATA'!$A$2:$H$521,3,FALSE)</f>
        <v>1930.7</v>
      </c>
      <c r="I560">
        <f>VLOOKUP(A560,'Short-term interest Rates daily'!$A:$E,2,FALSE)</f>
        <v>12.63</v>
      </c>
      <c r="J560">
        <f>VLOOKUP(A560,'Short-term interest Rates daily'!$A:$E,3,FALSE)</f>
        <v>8.4600000000000009</v>
      </c>
      <c r="K560">
        <f>VLOOKUP(A560,'Short-term interest Rates daily'!$A:$E,4,FALSE)</f>
        <v>8.81</v>
      </c>
      <c r="L560">
        <f>VLOOKUP(A560,'Short-term interest Rates daily'!$A:$E,5,FALSE)</f>
        <v>5.61</v>
      </c>
    </row>
    <row r="561" spans="1:12" x14ac:dyDescent="0.3">
      <c r="A561" s="1">
        <v>31972</v>
      </c>
      <c r="B561">
        <f>VLOOKUP(A561,'STOCK DATA'!$A$2:$H$522,2,FALSE)</f>
        <v>120.24</v>
      </c>
      <c r="C561">
        <f>VLOOKUP($A561,'STOCK DATA'!$A$2:H$521,3,FALSE)</f>
        <v>1927</v>
      </c>
      <c r="D561">
        <f>VLOOKUP($A561,'STOCK DATA'!$A$2:$H$521,3,FALSE)</f>
        <v>1927</v>
      </c>
      <c r="E561">
        <f>VLOOKUP($A561,'STOCK DATA'!$A$2:$H$521,3,FALSE)</f>
        <v>1927</v>
      </c>
      <c r="F561">
        <f>VLOOKUP($A561,'STOCK DATA'!$A$2:$H$521,3,FALSE)</f>
        <v>1927</v>
      </c>
      <c r="G561">
        <f>VLOOKUP($A561,'STOCK DATA'!$A$2:$H$521,3,FALSE)</f>
        <v>1927</v>
      </c>
      <c r="H561">
        <f>VLOOKUP($A561,'STOCK DATA'!$A$2:$H$521,3,FALSE)</f>
        <v>1927</v>
      </c>
      <c r="I561">
        <f>VLOOKUP(A561,'Short-term interest Rates daily'!$A:$E,2,FALSE)</f>
        <v>12.88</v>
      </c>
      <c r="J561">
        <f>VLOOKUP(A561,'Short-term interest Rates daily'!$A:$E,3,FALSE)</f>
        <v>8.44</v>
      </c>
      <c r="K561">
        <f>VLOOKUP(A561,'Short-term interest Rates daily'!$A:$E,4,FALSE)</f>
        <v>8.83</v>
      </c>
      <c r="L561">
        <f>VLOOKUP(A561,'Short-term interest Rates daily'!$A:$E,5,FALSE)</f>
        <v>5.55</v>
      </c>
    </row>
    <row r="562" spans="1:12" x14ac:dyDescent="0.3">
      <c r="A562" s="1">
        <v>31973</v>
      </c>
      <c r="B562">
        <f>VLOOKUP(A562,'STOCK DATA'!$A$2:$H$522,2,FALSE)</f>
        <v>120.02</v>
      </c>
      <c r="C562">
        <f>VLOOKUP($A562,'STOCK DATA'!$A$2:H$521,3,FALSE)</f>
        <v>1934.2</v>
      </c>
      <c r="D562">
        <f>VLOOKUP($A562,'STOCK DATA'!$A$2:$H$521,3,FALSE)</f>
        <v>1934.2</v>
      </c>
      <c r="E562">
        <f>VLOOKUP($A562,'STOCK DATA'!$A$2:$H$521,3,FALSE)</f>
        <v>1934.2</v>
      </c>
      <c r="F562">
        <f>VLOOKUP($A562,'STOCK DATA'!$A$2:$H$521,3,FALSE)</f>
        <v>1934.2</v>
      </c>
      <c r="G562">
        <f>VLOOKUP($A562,'STOCK DATA'!$A$2:$H$521,3,FALSE)</f>
        <v>1934.2</v>
      </c>
      <c r="H562">
        <f>VLOOKUP($A562,'STOCK DATA'!$A$2:$H$521,3,FALSE)</f>
        <v>1934.2</v>
      </c>
      <c r="I562">
        <f>VLOOKUP(A562,'Short-term interest Rates daily'!$A:$E,2,FALSE)</f>
        <v>12.13</v>
      </c>
      <c r="J562">
        <f>VLOOKUP(A562,'Short-term interest Rates daily'!$A:$E,3,FALSE)</f>
        <v>8.4499999999999993</v>
      </c>
      <c r="K562">
        <f>VLOOKUP(A562,'Short-term interest Rates daily'!$A:$E,4,FALSE)</f>
        <v>8.83</v>
      </c>
      <c r="L562">
        <f>VLOOKUP(A562,'Short-term interest Rates daily'!$A:$E,5,FALSE)</f>
        <v>5.58</v>
      </c>
    </row>
    <row r="563" spans="1:12" x14ac:dyDescent="0.3">
      <c r="A563" s="1">
        <v>31974</v>
      </c>
      <c r="B563">
        <f>VLOOKUP(A563,'STOCK DATA'!$A$2:$H$522,2,FALSE)</f>
        <v>121.59</v>
      </c>
      <c r="C563">
        <f>VLOOKUP($A563,'STOCK DATA'!$A$2:H$521,3,FALSE)</f>
        <v>1960</v>
      </c>
      <c r="D563">
        <f>VLOOKUP($A563,'STOCK DATA'!$A$2:$H$521,3,FALSE)</f>
        <v>1960</v>
      </c>
      <c r="E563">
        <f>VLOOKUP($A563,'STOCK DATA'!$A$2:$H$521,3,FALSE)</f>
        <v>1960</v>
      </c>
      <c r="F563">
        <f>VLOOKUP($A563,'STOCK DATA'!$A$2:$H$521,3,FALSE)</f>
        <v>1960</v>
      </c>
      <c r="G563">
        <f>VLOOKUP($A563,'STOCK DATA'!$A$2:$H$521,3,FALSE)</f>
        <v>1960</v>
      </c>
      <c r="H563">
        <f>VLOOKUP($A563,'STOCK DATA'!$A$2:$H$521,3,FALSE)</f>
        <v>1960</v>
      </c>
      <c r="I563">
        <f>VLOOKUP(A563,'Short-term interest Rates daily'!$A:$E,2,FALSE)</f>
        <v>12</v>
      </c>
      <c r="J563">
        <f>VLOOKUP(A563,'Short-term interest Rates daily'!$A:$E,3,FALSE)</f>
        <v>8.43</v>
      </c>
      <c r="K563">
        <f>VLOOKUP(A563,'Short-term interest Rates daily'!$A:$E,4,FALSE)</f>
        <v>8.83</v>
      </c>
      <c r="L563">
        <f>VLOOKUP(A563,'Short-term interest Rates daily'!$A:$E,5,FALSE)</f>
        <v>5.58</v>
      </c>
    </row>
    <row r="564" spans="1:12" x14ac:dyDescent="0.3">
      <c r="A564" s="1">
        <v>31975</v>
      </c>
      <c r="B564">
        <f>VLOOKUP(A564,'STOCK DATA'!$A$2:$H$522,2,FALSE)</f>
        <v>123.3</v>
      </c>
      <c r="C564">
        <f>VLOOKUP($A564,'STOCK DATA'!$A$2:H$521,3,FALSE)</f>
        <v>1975.4</v>
      </c>
      <c r="D564">
        <f>VLOOKUP($A564,'STOCK DATA'!$A$2:$H$521,3,FALSE)</f>
        <v>1975.4</v>
      </c>
      <c r="E564">
        <f>VLOOKUP($A564,'STOCK DATA'!$A$2:$H$521,3,FALSE)</f>
        <v>1975.4</v>
      </c>
      <c r="F564">
        <f>VLOOKUP($A564,'STOCK DATA'!$A$2:$H$521,3,FALSE)</f>
        <v>1975.4</v>
      </c>
      <c r="G564">
        <f>VLOOKUP($A564,'STOCK DATA'!$A$2:$H$521,3,FALSE)</f>
        <v>1975.4</v>
      </c>
      <c r="H564">
        <f>VLOOKUP($A564,'STOCK DATA'!$A$2:$H$521,3,FALSE)</f>
        <v>1975.4</v>
      </c>
      <c r="I564">
        <f>VLOOKUP(A564,'Short-term interest Rates daily'!$A:$E,2,FALSE)</f>
        <v>12.25</v>
      </c>
      <c r="J564">
        <f>VLOOKUP(A564,'Short-term interest Rates daily'!$A:$E,3,FALSE)</f>
        <v>8.3800000000000008</v>
      </c>
      <c r="K564">
        <f>VLOOKUP(A564,'Short-term interest Rates daily'!$A:$E,4,FALSE)</f>
        <v>8.82</v>
      </c>
      <c r="L564">
        <f>VLOOKUP(A564,'Short-term interest Rates daily'!$A:$E,5,FALSE)</f>
        <v>5.56</v>
      </c>
    </row>
    <row r="565" spans="1:12" x14ac:dyDescent="0.3">
      <c r="A565" s="1">
        <v>31976</v>
      </c>
      <c r="B565" t="e">
        <f>VLOOKUP(A565,'STOCK DATA'!$A$2:$H$522,2,FALSE)</f>
        <v>#N/A</v>
      </c>
      <c r="C565" t="e">
        <f>VLOOKUP($A565,'STOCK DATA'!$A$2:H$521,3,FALSE)</f>
        <v>#N/A</v>
      </c>
      <c r="D565" t="e">
        <f>VLOOKUP($A565,'STOCK DATA'!$A$2:$H$521,3,FALSE)</f>
        <v>#N/A</v>
      </c>
      <c r="E565" t="e">
        <f>VLOOKUP($A565,'STOCK DATA'!$A$2:$H$521,3,FALSE)</f>
        <v>#N/A</v>
      </c>
      <c r="F565" t="e">
        <f>VLOOKUP($A565,'STOCK DATA'!$A$2:$H$521,3,FALSE)</f>
        <v>#N/A</v>
      </c>
      <c r="G565" t="e">
        <f>VLOOKUP($A565,'STOCK DATA'!$A$2:$H$521,3,FALSE)</f>
        <v>#N/A</v>
      </c>
      <c r="H565" t="e">
        <f>VLOOKUP($A565,'STOCK DATA'!$A$2:$H$521,3,FALSE)</f>
        <v>#N/A</v>
      </c>
      <c r="I565" t="e">
        <f>VLOOKUP(A565,'Short-term interest Rates daily'!$A:$E,2,FALSE)</f>
        <v>#N/A</v>
      </c>
      <c r="J565" t="e">
        <f>VLOOKUP(A565,'Short-term interest Rates daily'!$A:$E,3,FALSE)</f>
        <v>#N/A</v>
      </c>
      <c r="K565" t="e">
        <f>VLOOKUP(A565,'Short-term interest Rates daily'!$A:$E,4,FALSE)</f>
        <v>#N/A</v>
      </c>
      <c r="L565" t="e">
        <f>VLOOKUP(A565,'Short-term interest Rates daily'!$A:$E,5,FALSE)</f>
        <v>#N/A</v>
      </c>
    </row>
    <row r="566" spans="1:12" x14ac:dyDescent="0.3">
      <c r="A566" s="1">
        <v>31977</v>
      </c>
      <c r="B566" t="e">
        <f>VLOOKUP(A566,'STOCK DATA'!$A$2:$H$522,2,FALSE)</f>
        <v>#N/A</v>
      </c>
      <c r="C566" t="e">
        <f>VLOOKUP($A566,'STOCK DATA'!$A$2:H$521,3,FALSE)</f>
        <v>#N/A</v>
      </c>
      <c r="D566" t="e">
        <f>VLOOKUP($A566,'STOCK DATA'!$A$2:$H$521,3,FALSE)</f>
        <v>#N/A</v>
      </c>
      <c r="E566" t="e">
        <f>VLOOKUP($A566,'STOCK DATA'!$A$2:$H$521,3,FALSE)</f>
        <v>#N/A</v>
      </c>
      <c r="F566" t="e">
        <f>VLOOKUP($A566,'STOCK DATA'!$A$2:$H$521,3,FALSE)</f>
        <v>#N/A</v>
      </c>
      <c r="G566" t="e">
        <f>VLOOKUP($A566,'STOCK DATA'!$A$2:$H$521,3,FALSE)</f>
        <v>#N/A</v>
      </c>
      <c r="H566" t="e">
        <f>VLOOKUP($A566,'STOCK DATA'!$A$2:$H$521,3,FALSE)</f>
        <v>#N/A</v>
      </c>
      <c r="I566" t="e">
        <f>VLOOKUP(A566,'Short-term interest Rates daily'!$A:$E,2,FALSE)</f>
        <v>#N/A</v>
      </c>
      <c r="J566" t="e">
        <f>VLOOKUP(A566,'Short-term interest Rates daily'!$A:$E,3,FALSE)</f>
        <v>#N/A</v>
      </c>
      <c r="K566" t="e">
        <f>VLOOKUP(A566,'Short-term interest Rates daily'!$A:$E,4,FALSE)</f>
        <v>#N/A</v>
      </c>
      <c r="L566" t="e">
        <f>VLOOKUP(A566,'Short-term interest Rates daily'!$A:$E,5,FALSE)</f>
        <v>#N/A</v>
      </c>
    </row>
    <row r="567" spans="1:12" x14ac:dyDescent="0.3">
      <c r="A567" s="1">
        <v>31978</v>
      </c>
      <c r="B567">
        <f>VLOOKUP(A567,'STOCK DATA'!$A$2:$H$522,2,FALSE)</f>
        <v>123.1</v>
      </c>
      <c r="C567">
        <f>VLOOKUP($A567,'STOCK DATA'!$A$2:H$521,3,FALSE)</f>
        <v>1977.7</v>
      </c>
      <c r="D567">
        <f>VLOOKUP($A567,'STOCK DATA'!$A$2:$H$521,3,FALSE)</f>
        <v>1977.7</v>
      </c>
      <c r="E567">
        <f>VLOOKUP($A567,'STOCK DATA'!$A$2:$H$521,3,FALSE)</f>
        <v>1977.7</v>
      </c>
      <c r="F567">
        <f>VLOOKUP($A567,'STOCK DATA'!$A$2:$H$521,3,FALSE)</f>
        <v>1977.7</v>
      </c>
      <c r="G567">
        <f>VLOOKUP($A567,'STOCK DATA'!$A$2:$H$521,3,FALSE)</f>
        <v>1977.7</v>
      </c>
      <c r="H567">
        <f>VLOOKUP($A567,'STOCK DATA'!$A$2:$H$521,3,FALSE)</f>
        <v>1977.7</v>
      </c>
      <c r="I567">
        <f>VLOOKUP(A567,'Short-term interest Rates daily'!$A:$E,2,FALSE)</f>
        <v>12.43</v>
      </c>
      <c r="J567">
        <f>VLOOKUP(A567,'Short-term interest Rates daily'!$A:$E,3,FALSE)</f>
        <v>8.4</v>
      </c>
      <c r="K567">
        <f>VLOOKUP(A567,'Short-term interest Rates daily'!$A:$E,4,FALSE)</f>
        <v>8.81</v>
      </c>
      <c r="L567">
        <f>VLOOKUP(A567,'Short-term interest Rates daily'!$A:$E,5,FALSE)</f>
        <v>5.55</v>
      </c>
    </row>
    <row r="568" spans="1:12" x14ac:dyDescent="0.3">
      <c r="A568" s="1">
        <v>31979</v>
      </c>
      <c r="B568">
        <f>VLOOKUP(A568,'STOCK DATA'!$A$2:$H$522,2,FALSE)</f>
        <v>123.64</v>
      </c>
      <c r="C568">
        <f>VLOOKUP($A568,'STOCK DATA'!$A$2:H$521,3,FALSE)</f>
        <v>1973.3</v>
      </c>
      <c r="D568">
        <f>VLOOKUP($A568,'STOCK DATA'!$A$2:$H$521,3,FALSE)</f>
        <v>1973.3</v>
      </c>
      <c r="E568">
        <f>VLOOKUP($A568,'STOCK DATA'!$A$2:$H$521,3,FALSE)</f>
        <v>1973.3</v>
      </c>
      <c r="F568">
        <f>VLOOKUP($A568,'STOCK DATA'!$A$2:$H$521,3,FALSE)</f>
        <v>1973.3</v>
      </c>
      <c r="G568">
        <f>VLOOKUP($A568,'STOCK DATA'!$A$2:$H$521,3,FALSE)</f>
        <v>1973.3</v>
      </c>
      <c r="H568">
        <f>VLOOKUP($A568,'STOCK DATA'!$A$2:$H$521,3,FALSE)</f>
        <v>1973.3</v>
      </c>
      <c r="I568">
        <f>VLOOKUP(A568,'Short-term interest Rates daily'!$A:$E,2,FALSE)</f>
        <v>12.6</v>
      </c>
      <c r="J568">
        <f>VLOOKUP(A568,'Short-term interest Rates daily'!$A:$E,3,FALSE)</f>
        <v>8.43</v>
      </c>
      <c r="K568">
        <f>VLOOKUP(A568,'Short-term interest Rates daily'!$A:$E,4,FALSE)</f>
        <v>8.86</v>
      </c>
      <c r="L568">
        <f>VLOOKUP(A568,'Short-term interest Rates daily'!$A:$E,5,FALSE)</f>
        <v>5.69</v>
      </c>
    </row>
    <row r="569" spans="1:12" x14ac:dyDescent="0.3">
      <c r="A569" s="1">
        <v>31980</v>
      </c>
      <c r="B569">
        <f>VLOOKUP(A569,'STOCK DATA'!$A$2:$H$522,2,FALSE)</f>
        <v>122.37</v>
      </c>
      <c r="C569">
        <f>VLOOKUP($A569,'STOCK DATA'!$A$2:H$521,3,FALSE)</f>
        <v>1961.5</v>
      </c>
      <c r="D569">
        <f>VLOOKUP($A569,'STOCK DATA'!$A$2:$H$521,3,FALSE)</f>
        <v>1961.5</v>
      </c>
      <c r="E569">
        <f>VLOOKUP($A569,'STOCK DATA'!$A$2:$H$521,3,FALSE)</f>
        <v>1961.5</v>
      </c>
      <c r="F569">
        <f>VLOOKUP($A569,'STOCK DATA'!$A$2:$H$521,3,FALSE)</f>
        <v>1961.5</v>
      </c>
      <c r="G569">
        <f>VLOOKUP($A569,'STOCK DATA'!$A$2:$H$521,3,FALSE)</f>
        <v>1961.5</v>
      </c>
      <c r="H569">
        <f>VLOOKUP($A569,'STOCK DATA'!$A$2:$H$521,3,FALSE)</f>
        <v>1961.5</v>
      </c>
      <c r="I569">
        <f>VLOOKUP(A569,'Short-term interest Rates daily'!$A:$E,2,FALSE)</f>
        <v>12.18</v>
      </c>
      <c r="J569">
        <f>VLOOKUP(A569,'Short-term interest Rates daily'!$A:$E,3,FALSE)</f>
        <v>8.4499999999999993</v>
      </c>
      <c r="K569">
        <f>VLOOKUP(A569,'Short-term interest Rates daily'!$A:$E,4,FALSE)</f>
        <v>8.89</v>
      </c>
      <c r="L569">
        <f>VLOOKUP(A569,'Short-term interest Rates daily'!$A:$E,5,FALSE)</f>
        <v>5.66</v>
      </c>
    </row>
    <row r="570" spans="1:12" x14ac:dyDescent="0.3">
      <c r="A570" s="1">
        <v>31981</v>
      </c>
      <c r="B570">
        <f>VLOOKUP(A570,'STOCK DATA'!$A$2:$H$522,2,FALSE)</f>
        <v>121.6</v>
      </c>
      <c r="C570">
        <f>VLOOKUP($A570,'STOCK DATA'!$A$2:H$521,3,FALSE)</f>
        <v>1984.9</v>
      </c>
      <c r="D570">
        <f>VLOOKUP($A570,'STOCK DATA'!$A$2:$H$521,3,FALSE)</f>
        <v>1984.9</v>
      </c>
      <c r="E570">
        <f>VLOOKUP($A570,'STOCK DATA'!$A$2:$H$521,3,FALSE)</f>
        <v>1984.9</v>
      </c>
      <c r="F570">
        <f>VLOOKUP($A570,'STOCK DATA'!$A$2:$H$521,3,FALSE)</f>
        <v>1984.9</v>
      </c>
      <c r="G570">
        <f>VLOOKUP($A570,'STOCK DATA'!$A$2:$H$521,3,FALSE)</f>
        <v>1984.9</v>
      </c>
      <c r="H570">
        <f>VLOOKUP($A570,'STOCK DATA'!$A$2:$H$521,3,FALSE)</f>
        <v>1984.9</v>
      </c>
      <c r="I570">
        <f>VLOOKUP(A570,'Short-term interest Rates daily'!$A:$E,2,FALSE)</f>
        <v>12.05</v>
      </c>
      <c r="J570">
        <f>VLOOKUP(A570,'Short-term interest Rates daily'!$A:$E,3,FALSE)</f>
        <v>8.51</v>
      </c>
      <c r="K570">
        <f>VLOOKUP(A570,'Short-term interest Rates daily'!$A:$E,4,FALSE)</f>
        <v>8.91</v>
      </c>
      <c r="L570">
        <f>VLOOKUP(A570,'Short-term interest Rates daily'!$A:$E,5,FALSE)</f>
        <v>5.67</v>
      </c>
    </row>
    <row r="571" spans="1:12" x14ac:dyDescent="0.3">
      <c r="A571" s="1">
        <v>31982</v>
      </c>
      <c r="B571">
        <f>VLOOKUP(A571,'STOCK DATA'!$A$2:$H$522,2,FALSE)</f>
        <v>121.72</v>
      </c>
      <c r="C571">
        <f>VLOOKUP($A571,'STOCK DATA'!$A$2:H$521,3,FALSE)</f>
        <v>1998</v>
      </c>
      <c r="D571">
        <f>VLOOKUP($A571,'STOCK DATA'!$A$2:$H$521,3,FALSE)</f>
        <v>1998</v>
      </c>
      <c r="E571">
        <f>VLOOKUP($A571,'STOCK DATA'!$A$2:$H$521,3,FALSE)</f>
        <v>1998</v>
      </c>
      <c r="F571">
        <f>VLOOKUP($A571,'STOCK DATA'!$A$2:$H$521,3,FALSE)</f>
        <v>1998</v>
      </c>
      <c r="G571">
        <f>VLOOKUP($A571,'STOCK DATA'!$A$2:$H$521,3,FALSE)</f>
        <v>1998</v>
      </c>
      <c r="H571">
        <f>VLOOKUP($A571,'STOCK DATA'!$A$2:$H$521,3,FALSE)</f>
        <v>1998</v>
      </c>
      <c r="I571">
        <f>VLOOKUP(A571,'Short-term interest Rates daily'!$A:$E,2,FALSE)</f>
        <v>11.93</v>
      </c>
      <c r="J571">
        <f>VLOOKUP(A571,'Short-term interest Rates daily'!$A:$E,3,FALSE)</f>
        <v>8.56</v>
      </c>
      <c r="K571">
        <f>VLOOKUP(A571,'Short-term interest Rates daily'!$A:$E,4,FALSE)</f>
        <v>8.89</v>
      </c>
      <c r="L571">
        <f>VLOOKUP(A571,'Short-term interest Rates daily'!$A:$E,5,FALSE)</f>
        <v>5.75</v>
      </c>
    </row>
    <row r="572" spans="1:12" x14ac:dyDescent="0.3">
      <c r="A572" s="1">
        <v>31983</v>
      </c>
      <c r="B572" t="e">
        <f>VLOOKUP(A572,'STOCK DATA'!$A$2:$H$522,2,FALSE)</f>
        <v>#N/A</v>
      </c>
      <c r="C572" t="e">
        <f>VLOOKUP($A572,'STOCK DATA'!$A$2:H$521,3,FALSE)</f>
        <v>#N/A</v>
      </c>
      <c r="D572" t="e">
        <f>VLOOKUP($A572,'STOCK DATA'!$A$2:$H$521,3,FALSE)</f>
        <v>#N/A</v>
      </c>
      <c r="E572" t="e">
        <f>VLOOKUP($A572,'STOCK DATA'!$A$2:$H$521,3,FALSE)</f>
        <v>#N/A</v>
      </c>
      <c r="F572" t="e">
        <f>VLOOKUP($A572,'STOCK DATA'!$A$2:$H$521,3,FALSE)</f>
        <v>#N/A</v>
      </c>
      <c r="G572" t="e">
        <f>VLOOKUP($A572,'STOCK DATA'!$A$2:$H$521,3,FALSE)</f>
        <v>#N/A</v>
      </c>
      <c r="H572" t="e">
        <f>VLOOKUP($A572,'STOCK DATA'!$A$2:$H$521,3,FALSE)</f>
        <v>#N/A</v>
      </c>
      <c r="I572" t="e">
        <f>VLOOKUP(A572,'Short-term interest Rates daily'!$A:$E,2,FALSE)</f>
        <v>#N/A</v>
      </c>
      <c r="J572" t="e">
        <f>VLOOKUP(A572,'Short-term interest Rates daily'!$A:$E,3,FALSE)</f>
        <v>#N/A</v>
      </c>
      <c r="K572" t="e">
        <f>VLOOKUP(A572,'Short-term interest Rates daily'!$A:$E,4,FALSE)</f>
        <v>#N/A</v>
      </c>
      <c r="L572" t="e">
        <f>VLOOKUP(A572,'Short-term interest Rates daily'!$A:$E,5,FALSE)</f>
        <v>#N/A</v>
      </c>
    </row>
    <row r="573" spans="1:12" x14ac:dyDescent="0.3">
      <c r="A573" s="1">
        <v>31984</v>
      </c>
      <c r="B573" t="e">
        <f>VLOOKUP(A573,'STOCK DATA'!$A$2:$H$522,2,FALSE)</f>
        <v>#N/A</v>
      </c>
      <c r="C573" t="e">
        <f>VLOOKUP($A573,'STOCK DATA'!$A$2:H$521,3,FALSE)</f>
        <v>#N/A</v>
      </c>
      <c r="D573" t="e">
        <f>VLOOKUP($A573,'STOCK DATA'!$A$2:$H$521,3,FALSE)</f>
        <v>#N/A</v>
      </c>
      <c r="E573" t="e">
        <f>VLOOKUP($A573,'STOCK DATA'!$A$2:$H$521,3,FALSE)</f>
        <v>#N/A</v>
      </c>
      <c r="F573" t="e">
        <f>VLOOKUP($A573,'STOCK DATA'!$A$2:$H$521,3,FALSE)</f>
        <v>#N/A</v>
      </c>
      <c r="G573" t="e">
        <f>VLOOKUP($A573,'STOCK DATA'!$A$2:$H$521,3,FALSE)</f>
        <v>#N/A</v>
      </c>
      <c r="H573" t="e">
        <f>VLOOKUP($A573,'STOCK DATA'!$A$2:$H$521,3,FALSE)</f>
        <v>#N/A</v>
      </c>
      <c r="I573" t="e">
        <f>VLOOKUP(A573,'Short-term interest Rates daily'!$A:$E,2,FALSE)</f>
        <v>#N/A</v>
      </c>
      <c r="J573" t="e">
        <f>VLOOKUP(A573,'Short-term interest Rates daily'!$A:$E,3,FALSE)</f>
        <v>#N/A</v>
      </c>
      <c r="K573" t="e">
        <f>VLOOKUP(A573,'Short-term interest Rates daily'!$A:$E,4,FALSE)</f>
        <v>#N/A</v>
      </c>
      <c r="L573" t="e">
        <f>VLOOKUP(A573,'Short-term interest Rates daily'!$A:$E,5,FALSE)</f>
        <v>#N/A</v>
      </c>
    </row>
    <row r="574" spans="1:12" x14ac:dyDescent="0.3">
      <c r="A574" s="1">
        <v>31985</v>
      </c>
      <c r="B574">
        <f>VLOOKUP(A574,'STOCK DATA'!$A$2:$H$522,2,FALSE)</f>
        <v>121.96</v>
      </c>
      <c r="C574">
        <f>VLOOKUP($A574,'STOCK DATA'!$A$2:H$521,3,FALSE)</f>
        <v>1998.1</v>
      </c>
      <c r="D574">
        <f>VLOOKUP($A574,'STOCK DATA'!$A$2:$H$521,3,FALSE)</f>
        <v>1998.1</v>
      </c>
      <c r="E574">
        <f>VLOOKUP($A574,'STOCK DATA'!$A$2:$H$521,3,FALSE)</f>
        <v>1998.1</v>
      </c>
      <c r="F574">
        <f>VLOOKUP($A574,'STOCK DATA'!$A$2:$H$521,3,FALSE)</f>
        <v>1998.1</v>
      </c>
      <c r="G574">
        <f>VLOOKUP($A574,'STOCK DATA'!$A$2:$H$521,3,FALSE)</f>
        <v>1998.1</v>
      </c>
      <c r="H574">
        <f>VLOOKUP($A574,'STOCK DATA'!$A$2:$H$521,3,FALSE)</f>
        <v>1998.1</v>
      </c>
      <c r="I574">
        <f>VLOOKUP(A574,'Short-term interest Rates daily'!$A:$E,2,FALSE)</f>
        <v>11.95</v>
      </c>
      <c r="J574">
        <f>VLOOKUP(A574,'Short-term interest Rates daily'!$A:$E,3,FALSE)</f>
        <v>8.67</v>
      </c>
      <c r="K574">
        <f>VLOOKUP(A574,'Short-term interest Rates daily'!$A:$E,4,FALSE)</f>
        <v>8.89</v>
      </c>
      <c r="L574">
        <f>VLOOKUP(A574,'Short-term interest Rates daily'!$A:$E,5,FALSE)</f>
        <v>5.81</v>
      </c>
    </row>
    <row r="575" spans="1:12" x14ac:dyDescent="0.3">
      <c r="A575" s="1">
        <v>31986</v>
      </c>
      <c r="B575">
        <f>VLOOKUP(A575,'STOCK DATA'!$A$2:$H$522,2,FALSE)</f>
        <v>122.06</v>
      </c>
      <c r="C575">
        <f>VLOOKUP($A575,'STOCK DATA'!$A$2:H$521,3,FALSE)</f>
        <v>1981</v>
      </c>
      <c r="D575">
        <f>VLOOKUP($A575,'STOCK DATA'!$A$2:$H$521,3,FALSE)</f>
        <v>1981</v>
      </c>
      <c r="E575">
        <f>VLOOKUP($A575,'STOCK DATA'!$A$2:$H$521,3,FALSE)</f>
        <v>1981</v>
      </c>
      <c r="F575">
        <f>VLOOKUP($A575,'STOCK DATA'!$A$2:$H$521,3,FALSE)</f>
        <v>1981</v>
      </c>
      <c r="G575">
        <f>VLOOKUP($A575,'STOCK DATA'!$A$2:$H$521,3,FALSE)</f>
        <v>1981</v>
      </c>
      <c r="H575">
        <f>VLOOKUP($A575,'STOCK DATA'!$A$2:$H$521,3,FALSE)</f>
        <v>1981</v>
      </c>
      <c r="I575">
        <f>VLOOKUP(A575,'Short-term interest Rates daily'!$A:$E,2,FALSE)</f>
        <v>11.85</v>
      </c>
      <c r="J575">
        <f>VLOOKUP(A575,'Short-term interest Rates daily'!$A:$E,3,FALSE)</f>
        <v>8.7799999999999994</v>
      </c>
      <c r="K575">
        <f>VLOOKUP(A575,'Short-term interest Rates daily'!$A:$E,4,FALSE)</f>
        <v>8.92</v>
      </c>
      <c r="L575">
        <f>VLOOKUP(A575,'Short-term interest Rates daily'!$A:$E,5,FALSE)</f>
        <v>5.86</v>
      </c>
    </row>
    <row r="576" spans="1:12" x14ac:dyDescent="0.3">
      <c r="A576" s="1">
        <v>31987</v>
      </c>
      <c r="B576">
        <f>VLOOKUP(A576,'STOCK DATA'!$A$2:$H$522,2,FALSE)</f>
        <v>122.96</v>
      </c>
      <c r="C576">
        <f>VLOOKUP($A576,'STOCK DATA'!$A$2:H$521,3,FALSE)</f>
        <v>1999.9</v>
      </c>
      <c r="D576">
        <f>VLOOKUP($A576,'STOCK DATA'!$A$2:$H$521,3,FALSE)</f>
        <v>1999.9</v>
      </c>
      <c r="E576">
        <f>VLOOKUP($A576,'STOCK DATA'!$A$2:$H$521,3,FALSE)</f>
        <v>1999.9</v>
      </c>
      <c r="F576">
        <f>VLOOKUP($A576,'STOCK DATA'!$A$2:$H$521,3,FALSE)</f>
        <v>1999.9</v>
      </c>
      <c r="G576">
        <f>VLOOKUP($A576,'STOCK DATA'!$A$2:$H$521,3,FALSE)</f>
        <v>1999.9</v>
      </c>
      <c r="H576">
        <f>VLOOKUP($A576,'STOCK DATA'!$A$2:$H$521,3,FALSE)</f>
        <v>1999.9</v>
      </c>
      <c r="I576">
        <f>VLOOKUP(A576,'Short-term interest Rates daily'!$A:$E,2,FALSE)</f>
        <v>12.05</v>
      </c>
      <c r="J576">
        <f>VLOOKUP(A576,'Short-term interest Rates daily'!$A:$E,3,FALSE)</f>
        <v>8.94</v>
      </c>
      <c r="K576">
        <f>VLOOKUP(A576,'Short-term interest Rates daily'!$A:$E,4,FALSE)</f>
        <v>8.9</v>
      </c>
      <c r="L576">
        <f>VLOOKUP(A576,'Short-term interest Rates daily'!$A:$E,5,FALSE)</f>
        <v>5.88</v>
      </c>
    </row>
    <row r="577" spans="1:12" x14ac:dyDescent="0.3">
      <c r="A577" s="1">
        <v>31988</v>
      </c>
      <c r="B577">
        <f>VLOOKUP(A577,'STOCK DATA'!$A$2:$H$522,2,FALSE)</f>
        <v>124.67</v>
      </c>
      <c r="C577">
        <f>VLOOKUP($A577,'STOCK DATA'!$A$2:H$521,3,FALSE)</f>
        <v>2022.4</v>
      </c>
      <c r="D577">
        <f>VLOOKUP($A577,'STOCK DATA'!$A$2:$H$521,3,FALSE)</f>
        <v>2022.4</v>
      </c>
      <c r="E577">
        <f>VLOOKUP($A577,'STOCK DATA'!$A$2:$H$521,3,FALSE)</f>
        <v>2022.4</v>
      </c>
      <c r="F577">
        <f>VLOOKUP($A577,'STOCK DATA'!$A$2:$H$521,3,FALSE)</f>
        <v>2022.4</v>
      </c>
      <c r="G577">
        <f>VLOOKUP($A577,'STOCK DATA'!$A$2:$H$521,3,FALSE)</f>
        <v>2022.4</v>
      </c>
      <c r="H577">
        <f>VLOOKUP($A577,'STOCK DATA'!$A$2:$H$521,3,FALSE)</f>
        <v>2022.4</v>
      </c>
      <c r="I577">
        <f>VLOOKUP(A577,'Short-term interest Rates daily'!$A:$E,2,FALSE)</f>
        <v>12.43</v>
      </c>
      <c r="J577">
        <f>VLOOKUP(A577,'Short-term interest Rates daily'!$A:$E,3,FALSE)</f>
        <v>9.08</v>
      </c>
      <c r="K577">
        <f>VLOOKUP(A577,'Short-term interest Rates daily'!$A:$E,4,FALSE)</f>
        <v>8.89</v>
      </c>
      <c r="L577">
        <f>VLOOKUP(A577,'Short-term interest Rates daily'!$A:$E,5,FALSE)</f>
        <v>6.07</v>
      </c>
    </row>
    <row r="578" spans="1:12" x14ac:dyDescent="0.3">
      <c r="A578" s="1">
        <v>31989</v>
      </c>
      <c r="B578">
        <f>VLOOKUP(A578,'STOCK DATA'!$A$2:$H$522,2,FALSE)</f>
        <v>124.14</v>
      </c>
      <c r="C578">
        <f>VLOOKUP($A578,'STOCK DATA'!$A$2:H$521,3,FALSE)</f>
        <v>2030.2</v>
      </c>
      <c r="D578">
        <f>VLOOKUP($A578,'STOCK DATA'!$A$2:$H$521,3,FALSE)</f>
        <v>2030.2</v>
      </c>
      <c r="E578">
        <f>VLOOKUP($A578,'STOCK DATA'!$A$2:$H$521,3,FALSE)</f>
        <v>2030.2</v>
      </c>
      <c r="F578">
        <f>VLOOKUP($A578,'STOCK DATA'!$A$2:$H$521,3,FALSE)</f>
        <v>2030.2</v>
      </c>
      <c r="G578">
        <f>VLOOKUP($A578,'STOCK DATA'!$A$2:$H$521,3,FALSE)</f>
        <v>2030.2</v>
      </c>
      <c r="H578">
        <f>VLOOKUP($A578,'STOCK DATA'!$A$2:$H$521,3,FALSE)</f>
        <v>2030.2</v>
      </c>
      <c r="I578">
        <f>VLOOKUP(A578,'Short-term interest Rates daily'!$A:$E,2,FALSE)</f>
        <v>12.5</v>
      </c>
      <c r="J578">
        <f>VLOOKUP(A578,'Short-term interest Rates daily'!$A:$E,3,FALSE)</f>
        <v>9.0500000000000007</v>
      </c>
      <c r="K578">
        <f>VLOOKUP(A578,'Short-term interest Rates daily'!$A:$E,4,FALSE)</f>
        <v>8.93</v>
      </c>
      <c r="L578">
        <f>VLOOKUP(A578,'Short-term interest Rates daily'!$A:$E,5,FALSE)</f>
        <v>6.07</v>
      </c>
    </row>
    <row r="579" spans="1:12" x14ac:dyDescent="0.3">
      <c r="A579" s="1">
        <v>31990</v>
      </c>
      <c r="B579" t="e">
        <f>VLOOKUP(A579,'STOCK DATA'!$A$2:$H$522,2,FALSE)</f>
        <v>#N/A</v>
      </c>
      <c r="C579" t="e">
        <f>VLOOKUP($A579,'STOCK DATA'!$A$2:H$521,3,FALSE)</f>
        <v>#N/A</v>
      </c>
      <c r="D579" t="e">
        <f>VLOOKUP($A579,'STOCK DATA'!$A$2:$H$521,3,FALSE)</f>
        <v>#N/A</v>
      </c>
      <c r="E579" t="e">
        <f>VLOOKUP($A579,'STOCK DATA'!$A$2:$H$521,3,FALSE)</f>
        <v>#N/A</v>
      </c>
      <c r="F579" t="e">
        <f>VLOOKUP($A579,'STOCK DATA'!$A$2:$H$521,3,FALSE)</f>
        <v>#N/A</v>
      </c>
      <c r="G579" t="e">
        <f>VLOOKUP($A579,'STOCK DATA'!$A$2:$H$521,3,FALSE)</f>
        <v>#N/A</v>
      </c>
      <c r="H579" t="e">
        <f>VLOOKUP($A579,'STOCK DATA'!$A$2:$H$521,3,FALSE)</f>
        <v>#N/A</v>
      </c>
      <c r="I579" t="e">
        <f>VLOOKUP(A579,'Short-term interest Rates daily'!$A:$E,2,FALSE)</f>
        <v>#N/A</v>
      </c>
      <c r="J579" t="e">
        <f>VLOOKUP(A579,'Short-term interest Rates daily'!$A:$E,3,FALSE)</f>
        <v>#N/A</v>
      </c>
      <c r="K579" t="e">
        <f>VLOOKUP(A579,'Short-term interest Rates daily'!$A:$E,4,FALSE)</f>
        <v>#N/A</v>
      </c>
      <c r="L579" t="e">
        <f>VLOOKUP(A579,'Short-term interest Rates daily'!$A:$E,5,FALSE)</f>
        <v>#N/A</v>
      </c>
    </row>
    <row r="580" spans="1:12" x14ac:dyDescent="0.3">
      <c r="A580" s="1">
        <v>31991</v>
      </c>
      <c r="B580" t="e">
        <f>VLOOKUP(A580,'STOCK DATA'!$A$2:$H$522,2,FALSE)</f>
        <v>#N/A</v>
      </c>
      <c r="C580" t="e">
        <f>VLOOKUP($A580,'STOCK DATA'!$A$2:H$521,3,FALSE)</f>
        <v>#N/A</v>
      </c>
      <c r="D580" t="e">
        <f>VLOOKUP($A580,'STOCK DATA'!$A$2:$H$521,3,FALSE)</f>
        <v>#N/A</v>
      </c>
      <c r="E580" t="e">
        <f>VLOOKUP($A580,'STOCK DATA'!$A$2:$H$521,3,FALSE)</f>
        <v>#N/A</v>
      </c>
      <c r="F580" t="e">
        <f>VLOOKUP($A580,'STOCK DATA'!$A$2:$H$521,3,FALSE)</f>
        <v>#N/A</v>
      </c>
      <c r="G580" t="e">
        <f>VLOOKUP($A580,'STOCK DATA'!$A$2:$H$521,3,FALSE)</f>
        <v>#N/A</v>
      </c>
      <c r="H580" t="e">
        <f>VLOOKUP($A580,'STOCK DATA'!$A$2:$H$521,3,FALSE)</f>
        <v>#N/A</v>
      </c>
      <c r="I580" t="e">
        <f>VLOOKUP(A580,'Short-term interest Rates daily'!$A:$E,2,FALSE)</f>
        <v>#N/A</v>
      </c>
      <c r="J580" t="e">
        <f>VLOOKUP(A580,'Short-term interest Rates daily'!$A:$E,3,FALSE)</f>
        <v>#N/A</v>
      </c>
      <c r="K580" t="e">
        <f>VLOOKUP(A580,'Short-term interest Rates daily'!$A:$E,4,FALSE)</f>
        <v>#N/A</v>
      </c>
      <c r="L580" t="e">
        <f>VLOOKUP(A580,'Short-term interest Rates daily'!$A:$E,5,FALSE)</f>
        <v>#N/A</v>
      </c>
    </row>
    <row r="581" spans="1:12" x14ac:dyDescent="0.3">
      <c r="A581" s="1">
        <v>31992</v>
      </c>
      <c r="B581">
        <f>VLOOKUP(A581,'STOCK DATA'!$A$2:$H$522,2,FALSE)</f>
        <v>122.65</v>
      </c>
      <c r="C581">
        <f>VLOOKUP($A581,'STOCK DATA'!$A$2:H$521,3,FALSE)</f>
        <v>2060.6</v>
      </c>
      <c r="D581">
        <f>VLOOKUP($A581,'STOCK DATA'!$A$2:$H$521,3,FALSE)</f>
        <v>2060.6</v>
      </c>
      <c r="E581">
        <f>VLOOKUP($A581,'STOCK DATA'!$A$2:$H$521,3,FALSE)</f>
        <v>2060.6</v>
      </c>
      <c r="F581">
        <f>VLOOKUP($A581,'STOCK DATA'!$A$2:$H$521,3,FALSE)</f>
        <v>2060.6</v>
      </c>
      <c r="G581">
        <f>VLOOKUP($A581,'STOCK DATA'!$A$2:$H$521,3,FALSE)</f>
        <v>2060.6</v>
      </c>
      <c r="H581">
        <f>VLOOKUP($A581,'STOCK DATA'!$A$2:$H$521,3,FALSE)</f>
        <v>2060.6</v>
      </c>
      <c r="I581">
        <f>VLOOKUP(A581,'Short-term interest Rates daily'!$A:$E,2,FALSE)</f>
        <v>12.65</v>
      </c>
      <c r="J581">
        <f>VLOOKUP(A581,'Short-term interest Rates daily'!$A:$E,3,FALSE)</f>
        <v>0</v>
      </c>
      <c r="K581">
        <f>VLOOKUP(A581,'Short-term interest Rates daily'!$A:$E,4,FALSE)</f>
        <v>9.2200000000000006</v>
      </c>
      <c r="L581">
        <f>VLOOKUP(A581,'Short-term interest Rates daily'!$A:$E,5,FALSE)</f>
        <v>6.05</v>
      </c>
    </row>
    <row r="582" spans="1:12" x14ac:dyDescent="0.3">
      <c r="A582" s="1">
        <v>31993</v>
      </c>
      <c r="B582">
        <f>VLOOKUP(A582,'STOCK DATA'!$A$2:$H$522,2,FALSE)</f>
        <v>124.95</v>
      </c>
      <c r="C582">
        <f>VLOOKUP($A582,'STOCK DATA'!$A$2:H$521,3,FALSE)</f>
        <v>2087.8000000000002</v>
      </c>
      <c r="D582">
        <f>VLOOKUP($A582,'STOCK DATA'!$A$2:$H$521,3,FALSE)</f>
        <v>2087.8000000000002</v>
      </c>
      <c r="E582">
        <f>VLOOKUP($A582,'STOCK DATA'!$A$2:$H$521,3,FALSE)</f>
        <v>2087.8000000000002</v>
      </c>
      <c r="F582">
        <f>VLOOKUP($A582,'STOCK DATA'!$A$2:$H$521,3,FALSE)</f>
        <v>2087.8000000000002</v>
      </c>
      <c r="G582">
        <f>VLOOKUP($A582,'STOCK DATA'!$A$2:$H$521,3,FALSE)</f>
        <v>2087.8000000000002</v>
      </c>
      <c r="H582">
        <f>VLOOKUP($A582,'STOCK DATA'!$A$2:$H$521,3,FALSE)</f>
        <v>2087.8000000000002</v>
      </c>
      <c r="I582">
        <f>VLOOKUP(A582,'Short-term interest Rates daily'!$A:$E,2,FALSE)</f>
        <v>12.5</v>
      </c>
      <c r="J582">
        <f>VLOOKUP(A582,'Short-term interest Rates daily'!$A:$E,3,FALSE)</f>
        <v>9.07</v>
      </c>
      <c r="K582">
        <f>VLOOKUP(A582,'Short-term interest Rates daily'!$A:$E,4,FALSE)</f>
        <v>9.2200000000000006</v>
      </c>
      <c r="L582">
        <f>VLOOKUP(A582,'Short-term interest Rates daily'!$A:$E,5,FALSE)</f>
        <v>5.85</v>
      </c>
    </row>
    <row r="583" spans="1:12" x14ac:dyDescent="0.3">
      <c r="A583" s="1">
        <v>31994</v>
      </c>
      <c r="B583">
        <f>VLOOKUP(A583,'STOCK DATA'!$A$2:$H$522,2,FALSE)</f>
        <v>126.73</v>
      </c>
      <c r="C583">
        <f>VLOOKUP($A583,'STOCK DATA'!$A$2:H$521,3,FALSE)</f>
        <v>2088.1</v>
      </c>
      <c r="D583">
        <f>VLOOKUP($A583,'STOCK DATA'!$A$2:$H$521,3,FALSE)</f>
        <v>2088.1</v>
      </c>
      <c r="E583">
        <f>VLOOKUP($A583,'STOCK DATA'!$A$2:$H$521,3,FALSE)</f>
        <v>2088.1</v>
      </c>
      <c r="F583">
        <f>VLOOKUP($A583,'STOCK DATA'!$A$2:$H$521,3,FALSE)</f>
        <v>2088.1</v>
      </c>
      <c r="G583">
        <f>VLOOKUP($A583,'STOCK DATA'!$A$2:$H$521,3,FALSE)</f>
        <v>2088.1</v>
      </c>
      <c r="H583">
        <f>VLOOKUP($A583,'STOCK DATA'!$A$2:$H$521,3,FALSE)</f>
        <v>2088.1</v>
      </c>
      <c r="I583">
        <f>VLOOKUP(A583,'Short-term interest Rates daily'!$A:$E,2,FALSE)</f>
        <v>12.2</v>
      </c>
      <c r="J583">
        <f>VLOOKUP(A583,'Short-term interest Rates daily'!$A:$E,3,FALSE)</f>
        <v>8.91</v>
      </c>
      <c r="K583">
        <f>VLOOKUP(A583,'Short-term interest Rates daily'!$A:$E,4,FALSE)</f>
        <v>9.06</v>
      </c>
      <c r="L583">
        <f>VLOOKUP(A583,'Short-term interest Rates daily'!$A:$E,5,FALSE)</f>
        <v>5.85</v>
      </c>
    </row>
    <row r="584" spans="1:12" x14ac:dyDescent="0.3">
      <c r="A584" s="1">
        <v>31995</v>
      </c>
      <c r="B584">
        <f>VLOOKUP(A584,'STOCK DATA'!$A$2:$H$522,2,FALSE)</f>
        <v>127.51</v>
      </c>
      <c r="C584">
        <f>VLOOKUP($A584,'STOCK DATA'!$A$2:H$521,3,FALSE)</f>
        <v>2083.4</v>
      </c>
      <c r="D584">
        <f>VLOOKUP($A584,'STOCK DATA'!$A$2:$H$521,3,FALSE)</f>
        <v>2083.4</v>
      </c>
      <c r="E584">
        <f>VLOOKUP($A584,'STOCK DATA'!$A$2:$H$521,3,FALSE)</f>
        <v>2083.4</v>
      </c>
      <c r="F584">
        <f>VLOOKUP($A584,'STOCK DATA'!$A$2:$H$521,3,FALSE)</f>
        <v>2083.4</v>
      </c>
      <c r="G584">
        <f>VLOOKUP($A584,'STOCK DATA'!$A$2:$H$521,3,FALSE)</f>
        <v>2083.4</v>
      </c>
      <c r="H584">
        <f>VLOOKUP($A584,'STOCK DATA'!$A$2:$H$521,3,FALSE)</f>
        <v>2083.4</v>
      </c>
      <c r="I584">
        <f>VLOOKUP(A584,'Short-term interest Rates daily'!$A:$E,2,FALSE)</f>
        <v>12</v>
      </c>
      <c r="J584">
        <f>VLOOKUP(A584,'Short-term interest Rates daily'!$A:$E,3,FALSE)</f>
        <v>8.9</v>
      </c>
      <c r="K584">
        <f>VLOOKUP(A584,'Short-term interest Rates daily'!$A:$E,4,FALSE)</f>
        <v>9.0500000000000007</v>
      </c>
      <c r="L584">
        <f>VLOOKUP(A584,'Short-term interest Rates daily'!$A:$E,5,FALSE)</f>
        <v>5.74</v>
      </c>
    </row>
    <row r="585" spans="1:12" x14ac:dyDescent="0.3">
      <c r="A585" s="1">
        <v>31996</v>
      </c>
      <c r="B585">
        <f>VLOOKUP(A585,'STOCK DATA'!$A$2:$H$522,2,FALSE)</f>
        <v>128.53</v>
      </c>
      <c r="C585">
        <f>VLOOKUP($A585,'STOCK DATA'!$A$2:H$521,3,FALSE)</f>
        <v>2083.8000000000002</v>
      </c>
      <c r="D585">
        <f>VLOOKUP($A585,'STOCK DATA'!$A$2:$H$521,3,FALSE)</f>
        <v>2083.8000000000002</v>
      </c>
      <c r="E585">
        <f>VLOOKUP($A585,'STOCK DATA'!$A$2:$H$521,3,FALSE)</f>
        <v>2083.8000000000002</v>
      </c>
      <c r="F585">
        <f>VLOOKUP($A585,'STOCK DATA'!$A$2:$H$521,3,FALSE)</f>
        <v>2083.8000000000002</v>
      </c>
      <c r="G585">
        <f>VLOOKUP($A585,'STOCK DATA'!$A$2:$H$521,3,FALSE)</f>
        <v>2083.8000000000002</v>
      </c>
      <c r="H585">
        <f>VLOOKUP($A585,'STOCK DATA'!$A$2:$H$521,3,FALSE)</f>
        <v>2083.8000000000002</v>
      </c>
      <c r="I585">
        <f>VLOOKUP(A585,'Short-term interest Rates daily'!$A:$E,2,FALSE)</f>
        <v>12</v>
      </c>
      <c r="J585">
        <f>VLOOKUP(A585,'Short-term interest Rates daily'!$A:$E,3,FALSE)</f>
        <v>8.8000000000000007</v>
      </c>
      <c r="K585">
        <f>VLOOKUP(A585,'Short-term interest Rates daily'!$A:$E,4,FALSE)</f>
        <v>9.85</v>
      </c>
      <c r="L585">
        <f>VLOOKUP(A585,'Short-term interest Rates daily'!$A:$E,5,FALSE)</f>
        <v>5.85</v>
      </c>
    </row>
    <row r="586" spans="1:12" x14ac:dyDescent="0.3">
      <c r="A586" s="1">
        <v>31997</v>
      </c>
      <c r="B586" t="e">
        <f>VLOOKUP(A586,'STOCK DATA'!$A$2:$H$522,2,FALSE)</f>
        <v>#N/A</v>
      </c>
      <c r="C586" t="e">
        <f>VLOOKUP($A586,'STOCK DATA'!$A$2:H$521,3,FALSE)</f>
        <v>#N/A</v>
      </c>
      <c r="D586" t="e">
        <f>VLOOKUP($A586,'STOCK DATA'!$A$2:$H$521,3,FALSE)</f>
        <v>#N/A</v>
      </c>
      <c r="E586" t="e">
        <f>VLOOKUP($A586,'STOCK DATA'!$A$2:$H$521,3,FALSE)</f>
        <v>#N/A</v>
      </c>
      <c r="F586" t="e">
        <f>VLOOKUP($A586,'STOCK DATA'!$A$2:$H$521,3,FALSE)</f>
        <v>#N/A</v>
      </c>
      <c r="G586" t="e">
        <f>VLOOKUP($A586,'STOCK DATA'!$A$2:$H$521,3,FALSE)</f>
        <v>#N/A</v>
      </c>
      <c r="H586" t="e">
        <f>VLOOKUP($A586,'STOCK DATA'!$A$2:$H$521,3,FALSE)</f>
        <v>#N/A</v>
      </c>
      <c r="I586" t="e">
        <f>VLOOKUP(A586,'Short-term interest Rates daily'!$A:$E,2,FALSE)</f>
        <v>#N/A</v>
      </c>
      <c r="J586" t="e">
        <f>VLOOKUP(A586,'Short-term interest Rates daily'!$A:$E,3,FALSE)</f>
        <v>#N/A</v>
      </c>
      <c r="K586" t="e">
        <f>VLOOKUP(A586,'Short-term interest Rates daily'!$A:$E,4,FALSE)</f>
        <v>#N/A</v>
      </c>
      <c r="L586" t="e">
        <f>VLOOKUP(A586,'Short-term interest Rates daily'!$A:$E,5,FALSE)</f>
        <v>#N/A</v>
      </c>
    </row>
    <row r="587" spans="1:12" x14ac:dyDescent="0.3">
      <c r="A587" s="1">
        <v>31998</v>
      </c>
      <c r="B587" t="e">
        <f>VLOOKUP(A587,'STOCK DATA'!$A$2:$H$522,2,FALSE)</f>
        <v>#N/A</v>
      </c>
      <c r="C587" t="e">
        <f>VLOOKUP($A587,'STOCK DATA'!$A$2:H$521,3,FALSE)</f>
        <v>#N/A</v>
      </c>
      <c r="D587" t="e">
        <f>VLOOKUP($A587,'STOCK DATA'!$A$2:$H$521,3,FALSE)</f>
        <v>#N/A</v>
      </c>
      <c r="E587" t="e">
        <f>VLOOKUP($A587,'STOCK DATA'!$A$2:$H$521,3,FALSE)</f>
        <v>#N/A</v>
      </c>
      <c r="F587" t="e">
        <f>VLOOKUP($A587,'STOCK DATA'!$A$2:$H$521,3,FALSE)</f>
        <v>#N/A</v>
      </c>
      <c r="G587" t="e">
        <f>VLOOKUP($A587,'STOCK DATA'!$A$2:$H$521,3,FALSE)</f>
        <v>#N/A</v>
      </c>
      <c r="H587" t="e">
        <f>VLOOKUP($A587,'STOCK DATA'!$A$2:$H$521,3,FALSE)</f>
        <v>#N/A</v>
      </c>
      <c r="I587" t="e">
        <f>VLOOKUP(A587,'Short-term interest Rates daily'!$A:$E,2,FALSE)</f>
        <v>#N/A</v>
      </c>
      <c r="J587" t="e">
        <f>VLOOKUP(A587,'Short-term interest Rates daily'!$A:$E,3,FALSE)</f>
        <v>#N/A</v>
      </c>
      <c r="K587" t="e">
        <f>VLOOKUP(A587,'Short-term interest Rates daily'!$A:$E,4,FALSE)</f>
        <v>#N/A</v>
      </c>
      <c r="L587" t="e">
        <f>VLOOKUP(A587,'Short-term interest Rates daily'!$A:$E,5,FALSE)</f>
        <v>#N/A</v>
      </c>
    </row>
    <row r="588" spans="1:12" x14ac:dyDescent="0.3">
      <c r="A588" s="1">
        <v>31999</v>
      </c>
      <c r="B588">
        <f>VLOOKUP(A588,'STOCK DATA'!$A$2:$H$522,2,FALSE)</f>
        <v>129.30000000000001</v>
      </c>
      <c r="C588">
        <f>VLOOKUP($A588,'STOCK DATA'!$A$2:H$521,3,FALSE)</f>
        <v>2079.3000000000002</v>
      </c>
      <c r="D588">
        <f>VLOOKUP($A588,'STOCK DATA'!$A$2:$H$521,3,FALSE)</f>
        <v>2079.3000000000002</v>
      </c>
      <c r="E588">
        <f>VLOOKUP($A588,'STOCK DATA'!$A$2:$H$521,3,FALSE)</f>
        <v>2079.3000000000002</v>
      </c>
      <c r="F588">
        <f>VLOOKUP($A588,'STOCK DATA'!$A$2:$H$521,3,FALSE)</f>
        <v>2079.3000000000002</v>
      </c>
      <c r="G588">
        <f>VLOOKUP($A588,'STOCK DATA'!$A$2:$H$521,3,FALSE)</f>
        <v>2079.3000000000002</v>
      </c>
      <c r="H588">
        <f>VLOOKUP($A588,'STOCK DATA'!$A$2:$H$521,3,FALSE)</f>
        <v>2079.3000000000002</v>
      </c>
      <c r="I588">
        <f>VLOOKUP(A588,'Short-term interest Rates daily'!$A:$E,2,FALSE)</f>
        <v>12.35</v>
      </c>
      <c r="J588">
        <f>VLOOKUP(A588,'Short-term interest Rates daily'!$A:$E,3,FALSE)</f>
        <v>8.83</v>
      </c>
      <c r="K588">
        <f>VLOOKUP(A588,'Short-term interest Rates daily'!$A:$E,4,FALSE)</f>
        <v>9.9</v>
      </c>
      <c r="L588">
        <f>VLOOKUP(A588,'Short-term interest Rates daily'!$A:$E,5,FALSE)</f>
        <v>5.91</v>
      </c>
    </row>
    <row r="589" spans="1:12" x14ac:dyDescent="0.3">
      <c r="A589" s="1">
        <v>32000</v>
      </c>
      <c r="B589">
        <f>VLOOKUP(A589,'STOCK DATA'!$A$2:$H$522,2,FALSE)</f>
        <v>129.80000000000001</v>
      </c>
      <c r="C589">
        <f>VLOOKUP($A589,'STOCK DATA'!$A$2:H$521,3,FALSE)</f>
        <v>2084.1999999999998</v>
      </c>
      <c r="D589">
        <f>VLOOKUP($A589,'STOCK DATA'!$A$2:$H$521,3,FALSE)</f>
        <v>2084.1999999999998</v>
      </c>
      <c r="E589">
        <f>VLOOKUP($A589,'STOCK DATA'!$A$2:$H$521,3,FALSE)</f>
        <v>2084.1999999999998</v>
      </c>
      <c r="F589">
        <f>VLOOKUP($A589,'STOCK DATA'!$A$2:$H$521,3,FALSE)</f>
        <v>2084.1999999999998</v>
      </c>
      <c r="G589">
        <f>VLOOKUP($A589,'STOCK DATA'!$A$2:$H$521,3,FALSE)</f>
        <v>2084.1999999999998</v>
      </c>
      <c r="H589">
        <f>VLOOKUP($A589,'STOCK DATA'!$A$2:$H$521,3,FALSE)</f>
        <v>2084.1999999999998</v>
      </c>
      <c r="I589">
        <f>VLOOKUP(A589,'Short-term interest Rates daily'!$A:$E,2,FALSE)</f>
        <v>12.55</v>
      </c>
      <c r="J589">
        <f>VLOOKUP(A589,'Short-term interest Rates daily'!$A:$E,3,FALSE)</f>
        <v>8.83</v>
      </c>
      <c r="K589">
        <f>VLOOKUP(A589,'Short-term interest Rates daily'!$A:$E,4,FALSE)</f>
        <v>9.85</v>
      </c>
      <c r="L589">
        <f>VLOOKUP(A589,'Short-term interest Rates daily'!$A:$E,5,FALSE)</f>
        <v>5.94</v>
      </c>
    </row>
    <row r="590" spans="1:12" x14ac:dyDescent="0.3">
      <c r="A590" s="1">
        <v>32001</v>
      </c>
      <c r="B590">
        <f>VLOOKUP(A590,'STOCK DATA'!$A$2:$H$522,2,FALSE)</f>
        <v>128.44999999999999</v>
      </c>
      <c r="C590">
        <f>VLOOKUP($A590,'STOCK DATA'!$A$2:H$521,3,FALSE)</f>
        <v>2095.9</v>
      </c>
      <c r="D590">
        <f>VLOOKUP($A590,'STOCK DATA'!$A$2:$H$521,3,FALSE)</f>
        <v>2095.9</v>
      </c>
      <c r="E590">
        <f>VLOOKUP($A590,'STOCK DATA'!$A$2:$H$521,3,FALSE)</f>
        <v>2095.9</v>
      </c>
      <c r="F590">
        <f>VLOOKUP($A590,'STOCK DATA'!$A$2:$H$521,3,FALSE)</f>
        <v>2095.9</v>
      </c>
      <c r="G590">
        <f>VLOOKUP($A590,'STOCK DATA'!$A$2:$H$521,3,FALSE)</f>
        <v>2095.9</v>
      </c>
      <c r="H590">
        <f>VLOOKUP($A590,'STOCK DATA'!$A$2:$H$521,3,FALSE)</f>
        <v>2095.9</v>
      </c>
      <c r="I590">
        <f>VLOOKUP(A590,'Short-term interest Rates daily'!$A:$E,2,FALSE)</f>
        <v>12.03</v>
      </c>
      <c r="J590">
        <f>VLOOKUP(A590,'Short-term interest Rates daily'!$A:$E,3,FALSE)</f>
        <v>8.84</v>
      </c>
      <c r="K590">
        <f>VLOOKUP(A590,'Short-term interest Rates daily'!$A:$E,4,FALSE)</f>
        <v>9.8000000000000007</v>
      </c>
      <c r="L590">
        <f>VLOOKUP(A590,'Short-term interest Rates daily'!$A:$E,5,FALSE)</f>
        <v>5.95</v>
      </c>
    </row>
    <row r="591" spans="1:12" x14ac:dyDescent="0.3">
      <c r="A591" s="1">
        <v>32002</v>
      </c>
      <c r="B591">
        <f>VLOOKUP(A591,'STOCK DATA'!$A$2:$H$522,2,FALSE)</f>
        <v>128.24</v>
      </c>
      <c r="C591">
        <f>VLOOKUP($A591,'STOCK DATA'!$A$2:H$521,3,FALSE)</f>
        <v>2104.6</v>
      </c>
      <c r="D591">
        <f>VLOOKUP($A591,'STOCK DATA'!$A$2:$H$521,3,FALSE)</f>
        <v>2104.6</v>
      </c>
      <c r="E591">
        <f>VLOOKUP($A591,'STOCK DATA'!$A$2:$H$521,3,FALSE)</f>
        <v>2104.6</v>
      </c>
      <c r="F591">
        <f>VLOOKUP($A591,'STOCK DATA'!$A$2:$H$521,3,FALSE)</f>
        <v>2104.6</v>
      </c>
      <c r="G591">
        <f>VLOOKUP($A591,'STOCK DATA'!$A$2:$H$521,3,FALSE)</f>
        <v>2104.6</v>
      </c>
      <c r="H591">
        <f>VLOOKUP($A591,'STOCK DATA'!$A$2:$H$521,3,FALSE)</f>
        <v>2104.6</v>
      </c>
      <c r="I591">
        <f>VLOOKUP(A591,'Short-term interest Rates daily'!$A:$E,2,FALSE)</f>
        <v>12</v>
      </c>
      <c r="J591">
        <f>VLOOKUP(A591,'Short-term interest Rates daily'!$A:$E,3,FALSE)</f>
        <v>8.8800000000000008</v>
      </c>
      <c r="K591">
        <f>VLOOKUP(A591,'Short-term interest Rates daily'!$A:$E,4,FALSE)</f>
        <v>9.7799999999999994</v>
      </c>
      <c r="L591">
        <f>VLOOKUP(A591,'Short-term interest Rates daily'!$A:$E,5,FALSE)</f>
        <v>5.96</v>
      </c>
    </row>
    <row r="592" spans="1:12" x14ac:dyDescent="0.3">
      <c r="A592" s="1">
        <v>32003</v>
      </c>
      <c r="B592">
        <f>VLOOKUP(A592,'STOCK DATA'!$A$2:$H$522,2,FALSE)</f>
        <v>127.8</v>
      </c>
      <c r="C592">
        <f>VLOOKUP($A592,'STOCK DATA'!$A$2:H$521,3,FALSE)</f>
        <v>2114.5</v>
      </c>
      <c r="D592">
        <f>VLOOKUP($A592,'STOCK DATA'!$A$2:$H$521,3,FALSE)</f>
        <v>2114.5</v>
      </c>
      <c r="E592">
        <f>VLOOKUP($A592,'STOCK DATA'!$A$2:$H$521,3,FALSE)</f>
        <v>2114.5</v>
      </c>
      <c r="F592">
        <f>VLOOKUP($A592,'STOCK DATA'!$A$2:$H$521,3,FALSE)</f>
        <v>2114.5</v>
      </c>
      <c r="G592">
        <f>VLOOKUP($A592,'STOCK DATA'!$A$2:$H$521,3,FALSE)</f>
        <v>2114.5</v>
      </c>
      <c r="H592">
        <f>VLOOKUP($A592,'STOCK DATA'!$A$2:$H$521,3,FALSE)</f>
        <v>2114.5</v>
      </c>
      <c r="I592">
        <f>VLOOKUP(A592,'Short-term interest Rates daily'!$A:$E,2,FALSE)</f>
        <v>11.6</v>
      </c>
      <c r="J592">
        <f>VLOOKUP(A592,'Short-term interest Rates daily'!$A:$E,3,FALSE)</f>
        <v>8.91</v>
      </c>
      <c r="K592">
        <f>VLOOKUP(A592,'Short-term interest Rates daily'!$A:$E,4,FALSE)</f>
        <v>9.7899999999999991</v>
      </c>
      <c r="L592">
        <f>VLOOKUP(A592,'Short-term interest Rates daily'!$A:$E,5,FALSE)</f>
        <v>5.96</v>
      </c>
    </row>
    <row r="593" spans="1:12" x14ac:dyDescent="0.3">
      <c r="A593" s="1">
        <v>32004</v>
      </c>
      <c r="B593" t="e">
        <f>VLOOKUP(A593,'STOCK DATA'!$A$2:$H$522,2,FALSE)</f>
        <v>#N/A</v>
      </c>
      <c r="C593" t="e">
        <f>VLOOKUP($A593,'STOCK DATA'!$A$2:H$521,3,FALSE)</f>
        <v>#N/A</v>
      </c>
      <c r="D593" t="e">
        <f>VLOOKUP($A593,'STOCK DATA'!$A$2:$H$521,3,FALSE)</f>
        <v>#N/A</v>
      </c>
      <c r="E593" t="e">
        <f>VLOOKUP($A593,'STOCK DATA'!$A$2:$H$521,3,FALSE)</f>
        <v>#N/A</v>
      </c>
      <c r="F593" t="e">
        <f>VLOOKUP($A593,'STOCK DATA'!$A$2:$H$521,3,FALSE)</f>
        <v>#N/A</v>
      </c>
      <c r="G593" t="e">
        <f>VLOOKUP($A593,'STOCK DATA'!$A$2:$H$521,3,FALSE)</f>
        <v>#N/A</v>
      </c>
      <c r="H593" t="e">
        <f>VLOOKUP($A593,'STOCK DATA'!$A$2:$H$521,3,FALSE)</f>
        <v>#N/A</v>
      </c>
      <c r="I593" t="e">
        <f>VLOOKUP(A593,'Short-term interest Rates daily'!$A:$E,2,FALSE)</f>
        <v>#N/A</v>
      </c>
      <c r="J593" t="e">
        <f>VLOOKUP(A593,'Short-term interest Rates daily'!$A:$E,3,FALSE)</f>
        <v>#N/A</v>
      </c>
      <c r="K593" t="e">
        <f>VLOOKUP(A593,'Short-term interest Rates daily'!$A:$E,4,FALSE)</f>
        <v>#N/A</v>
      </c>
      <c r="L593" t="e">
        <f>VLOOKUP(A593,'Short-term interest Rates daily'!$A:$E,5,FALSE)</f>
        <v>#N/A</v>
      </c>
    </row>
    <row r="594" spans="1:12" x14ac:dyDescent="0.3">
      <c r="A594" s="1">
        <v>32005</v>
      </c>
      <c r="B594" t="e">
        <f>VLOOKUP(A594,'STOCK DATA'!$A$2:$H$522,2,FALSE)</f>
        <v>#N/A</v>
      </c>
      <c r="C594" t="e">
        <f>VLOOKUP($A594,'STOCK DATA'!$A$2:H$521,3,FALSE)</f>
        <v>#N/A</v>
      </c>
      <c r="D594" t="e">
        <f>VLOOKUP($A594,'STOCK DATA'!$A$2:$H$521,3,FALSE)</f>
        <v>#N/A</v>
      </c>
      <c r="E594" t="e">
        <f>VLOOKUP($A594,'STOCK DATA'!$A$2:$H$521,3,FALSE)</f>
        <v>#N/A</v>
      </c>
      <c r="F594" t="e">
        <f>VLOOKUP($A594,'STOCK DATA'!$A$2:$H$521,3,FALSE)</f>
        <v>#N/A</v>
      </c>
      <c r="G594" t="e">
        <f>VLOOKUP($A594,'STOCK DATA'!$A$2:$H$521,3,FALSE)</f>
        <v>#N/A</v>
      </c>
      <c r="H594" t="e">
        <f>VLOOKUP($A594,'STOCK DATA'!$A$2:$H$521,3,FALSE)</f>
        <v>#N/A</v>
      </c>
      <c r="I594" t="e">
        <f>VLOOKUP(A594,'Short-term interest Rates daily'!$A:$E,2,FALSE)</f>
        <v>#N/A</v>
      </c>
      <c r="J594" t="e">
        <f>VLOOKUP(A594,'Short-term interest Rates daily'!$A:$E,3,FALSE)</f>
        <v>#N/A</v>
      </c>
      <c r="K594" t="e">
        <f>VLOOKUP(A594,'Short-term interest Rates daily'!$A:$E,4,FALSE)</f>
        <v>#N/A</v>
      </c>
      <c r="L594" t="e">
        <f>VLOOKUP(A594,'Short-term interest Rates daily'!$A:$E,5,FALSE)</f>
        <v>#N/A</v>
      </c>
    </row>
    <row r="595" spans="1:12" x14ac:dyDescent="0.3">
      <c r="A595" s="1">
        <v>32006</v>
      </c>
      <c r="B595">
        <f>VLOOKUP(A595,'STOCK DATA'!$A$2:$H$522,2,FALSE)</f>
        <v>128.02000000000001</v>
      </c>
      <c r="C595">
        <f>VLOOKUP($A595,'STOCK DATA'!$A$2:H$521,3,FALSE)</f>
        <v>2110.4</v>
      </c>
      <c r="D595">
        <f>VLOOKUP($A595,'STOCK DATA'!$A$2:$H$521,3,FALSE)</f>
        <v>2110.4</v>
      </c>
      <c r="E595">
        <f>VLOOKUP($A595,'STOCK DATA'!$A$2:$H$521,3,FALSE)</f>
        <v>2110.4</v>
      </c>
      <c r="F595">
        <f>VLOOKUP($A595,'STOCK DATA'!$A$2:$H$521,3,FALSE)</f>
        <v>2110.4</v>
      </c>
      <c r="G595">
        <f>VLOOKUP($A595,'STOCK DATA'!$A$2:$H$521,3,FALSE)</f>
        <v>2110.4</v>
      </c>
      <c r="H595">
        <f>VLOOKUP($A595,'STOCK DATA'!$A$2:$H$521,3,FALSE)</f>
        <v>2110.4</v>
      </c>
      <c r="I595">
        <f>VLOOKUP(A595,'Short-term interest Rates daily'!$A:$E,2,FALSE)</f>
        <v>11.78</v>
      </c>
      <c r="J595">
        <f>VLOOKUP(A595,'Short-term interest Rates daily'!$A:$E,3,FALSE)</f>
        <v>8.92</v>
      </c>
      <c r="K595">
        <f>VLOOKUP(A595,'Short-term interest Rates daily'!$A:$E,4,FALSE)</f>
        <v>9.73</v>
      </c>
      <c r="L595">
        <f>VLOOKUP(A595,'Short-term interest Rates daily'!$A:$E,5,FALSE)</f>
        <v>5.98</v>
      </c>
    </row>
    <row r="596" spans="1:12" x14ac:dyDescent="0.3">
      <c r="A596" s="1">
        <v>32007</v>
      </c>
      <c r="B596">
        <f>VLOOKUP(A596,'STOCK DATA'!$A$2:$H$522,2,FALSE)</f>
        <v>124.97</v>
      </c>
      <c r="C596">
        <f>VLOOKUP($A596,'STOCK DATA'!$A$2:H$521,3,FALSE)</f>
        <v>2108.5</v>
      </c>
      <c r="D596">
        <f>VLOOKUP($A596,'STOCK DATA'!$A$2:$H$521,3,FALSE)</f>
        <v>2108.5</v>
      </c>
      <c r="E596">
        <f>VLOOKUP($A596,'STOCK DATA'!$A$2:$H$521,3,FALSE)</f>
        <v>2108.5</v>
      </c>
      <c r="F596">
        <f>VLOOKUP($A596,'STOCK DATA'!$A$2:$H$521,3,FALSE)</f>
        <v>2108.5</v>
      </c>
      <c r="G596">
        <f>VLOOKUP($A596,'STOCK DATA'!$A$2:$H$521,3,FALSE)</f>
        <v>2108.5</v>
      </c>
      <c r="H596">
        <f>VLOOKUP($A596,'STOCK DATA'!$A$2:$H$521,3,FALSE)</f>
        <v>2108.5</v>
      </c>
      <c r="I596">
        <f>VLOOKUP(A596,'Short-term interest Rates daily'!$A:$E,2,FALSE)</f>
        <v>12.65</v>
      </c>
      <c r="J596">
        <f>VLOOKUP(A596,'Short-term interest Rates daily'!$A:$E,3,FALSE)</f>
        <v>9</v>
      </c>
      <c r="K596">
        <f>VLOOKUP(A596,'Short-term interest Rates daily'!$A:$E,4,FALSE)</f>
        <v>9.8000000000000007</v>
      </c>
      <c r="L596">
        <f>VLOOKUP(A596,'Short-term interest Rates daily'!$A:$E,5,FALSE)</f>
        <v>6.02</v>
      </c>
    </row>
    <row r="597" spans="1:12" x14ac:dyDescent="0.3">
      <c r="A597" s="1">
        <v>32008</v>
      </c>
      <c r="B597">
        <f>VLOOKUP(A597,'STOCK DATA'!$A$2:$H$522,2,FALSE)</f>
        <v>125.43</v>
      </c>
      <c r="C597">
        <f>VLOOKUP($A597,'STOCK DATA'!$A$2:H$521,3,FALSE)</f>
        <v>2103</v>
      </c>
      <c r="D597">
        <f>VLOOKUP($A597,'STOCK DATA'!$A$2:$H$521,3,FALSE)</f>
        <v>2103</v>
      </c>
      <c r="E597">
        <f>VLOOKUP($A597,'STOCK DATA'!$A$2:$H$521,3,FALSE)</f>
        <v>2103</v>
      </c>
      <c r="F597">
        <f>VLOOKUP($A597,'STOCK DATA'!$A$2:$H$521,3,FALSE)</f>
        <v>2103</v>
      </c>
      <c r="G597">
        <f>VLOOKUP($A597,'STOCK DATA'!$A$2:$H$521,3,FALSE)</f>
        <v>2103</v>
      </c>
      <c r="H597">
        <f>VLOOKUP($A597,'STOCK DATA'!$A$2:$H$521,3,FALSE)</f>
        <v>2103</v>
      </c>
      <c r="I597">
        <f>VLOOKUP(A597,'Short-term interest Rates daily'!$A:$E,2,FALSE)</f>
        <v>12.3</v>
      </c>
      <c r="J597">
        <f>VLOOKUP(A597,'Short-term interest Rates daily'!$A:$E,3,FALSE)</f>
        <v>9</v>
      </c>
      <c r="K597">
        <f>VLOOKUP(A597,'Short-term interest Rates daily'!$A:$E,4,FALSE)</f>
        <v>9.81</v>
      </c>
      <c r="L597">
        <f>VLOOKUP(A597,'Short-term interest Rates daily'!$A:$E,5,FALSE)</f>
        <v>6.04</v>
      </c>
    </row>
    <row r="598" spans="1:12" x14ac:dyDescent="0.3">
      <c r="A598" s="1">
        <v>32009</v>
      </c>
      <c r="B598">
        <f>VLOOKUP(A598,'STOCK DATA'!$A$2:$H$522,2,FALSE)</f>
        <v>126.6</v>
      </c>
      <c r="C598">
        <f>VLOOKUP($A598,'STOCK DATA'!$A$2:H$521,3,FALSE)</f>
        <v>2085.1</v>
      </c>
      <c r="D598">
        <f>VLOOKUP($A598,'STOCK DATA'!$A$2:$H$521,3,FALSE)</f>
        <v>2085.1</v>
      </c>
      <c r="E598">
        <f>VLOOKUP($A598,'STOCK DATA'!$A$2:$H$521,3,FALSE)</f>
        <v>2085.1</v>
      </c>
      <c r="F598">
        <f>VLOOKUP($A598,'STOCK DATA'!$A$2:$H$521,3,FALSE)</f>
        <v>2085.1</v>
      </c>
      <c r="G598">
        <f>VLOOKUP($A598,'STOCK DATA'!$A$2:$H$521,3,FALSE)</f>
        <v>2085.1</v>
      </c>
      <c r="H598">
        <f>VLOOKUP($A598,'STOCK DATA'!$A$2:$H$521,3,FALSE)</f>
        <v>2085.1</v>
      </c>
      <c r="I598">
        <f>VLOOKUP(A598,'Short-term interest Rates daily'!$A:$E,2,FALSE)</f>
        <v>12.2</v>
      </c>
      <c r="J598">
        <f>VLOOKUP(A598,'Short-term interest Rates daily'!$A:$E,3,FALSE)</f>
        <v>9</v>
      </c>
      <c r="K598">
        <f>VLOOKUP(A598,'Short-term interest Rates daily'!$A:$E,4,FALSE)</f>
        <v>9.81</v>
      </c>
      <c r="L598">
        <f>VLOOKUP(A598,'Short-term interest Rates daily'!$A:$E,5,FALSE)</f>
        <v>6.11</v>
      </c>
    </row>
    <row r="599" spans="1:12" x14ac:dyDescent="0.3">
      <c r="A599" s="1">
        <v>32010</v>
      </c>
      <c r="B599">
        <f>VLOOKUP(A599,'STOCK DATA'!$A$2:$H$522,2,FALSE)</f>
        <v>127.15</v>
      </c>
      <c r="C599">
        <f>VLOOKUP($A599,'STOCK DATA'!$A$2:H$521,3,FALSE)</f>
        <v>2087.1</v>
      </c>
      <c r="D599">
        <f>VLOOKUP($A599,'STOCK DATA'!$A$2:$H$521,3,FALSE)</f>
        <v>2087.1</v>
      </c>
      <c r="E599">
        <f>VLOOKUP($A599,'STOCK DATA'!$A$2:$H$521,3,FALSE)</f>
        <v>2087.1</v>
      </c>
      <c r="F599">
        <f>VLOOKUP($A599,'STOCK DATA'!$A$2:$H$521,3,FALSE)</f>
        <v>2087.1</v>
      </c>
      <c r="G599">
        <f>VLOOKUP($A599,'STOCK DATA'!$A$2:$H$521,3,FALSE)</f>
        <v>2087.1</v>
      </c>
      <c r="H599">
        <f>VLOOKUP($A599,'STOCK DATA'!$A$2:$H$521,3,FALSE)</f>
        <v>2087.1</v>
      </c>
      <c r="I599">
        <f>VLOOKUP(A599,'Short-term interest Rates daily'!$A:$E,2,FALSE)</f>
        <v>12.23</v>
      </c>
      <c r="J599">
        <f>VLOOKUP(A599,'Short-term interest Rates daily'!$A:$E,3,FALSE)</f>
        <v>8.99</v>
      </c>
      <c r="K599">
        <f>VLOOKUP(A599,'Short-term interest Rates daily'!$A:$E,4,FALSE)</f>
        <v>9.8699999999999992</v>
      </c>
      <c r="L599">
        <f>VLOOKUP(A599,'Short-term interest Rates daily'!$A:$E,5,FALSE)</f>
        <v>6.1</v>
      </c>
    </row>
    <row r="600" spans="1:12" x14ac:dyDescent="0.3">
      <c r="A600" s="1">
        <v>32011</v>
      </c>
      <c r="B600" t="e">
        <f>VLOOKUP(A600,'STOCK DATA'!$A$2:$H$522,2,FALSE)</f>
        <v>#N/A</v>
      </c>
      <c r="C600" t="e">
        <f>VLOOKUP($A600,'STOCK DATA'!$A$2:H$521,3,FALSE)</f>
        <v>#N/A</v>
      </c>
      <c r="D600" t="e">
        <f>VLOOKUP($A600,'STOCK DATA'!$A$2:$H$521,3,FALSE)</f>
        <v>#N/A</v>
      </c>
      <c r="E600" t="e">
        <f>VLOOKUP($A600,'STOCK DATA'!$A$2:$H$521,3,FALSE)</f>
        <v>#N/A</v>
      </c>
      <c r="F600" t="e">
        <f>VLOOKUP($A600,'STOCK DATA'!$A$2:$H$521,3,FALSE)</f>
        <v>#N/A</v>
      </c>
      <c r="G600" t="e">
        <f>VLOOKUP($A600,'STOCK DATA'!$A$2:$H$521,3,FALSE)</f>
        <v>#N/A</v>
      </c>
      <c r="H600" t="e">
        <f>VLOOKUP($A600,'STOCK DATA'!$A$2:$H$521,3,FALSE)</f>
        <v>#N/A</v>
      </c>
      <c r="I600" t="e">
        <f>VLOOKUP(A600,'Short-term interest Rates daily'!$A:$E,2,FALSE)</f>
        <v>#N/A</v>
      </c>
      <c r="J600" t="e">
        <f>VLOOKUP(A600,'Short-term interest Rates daily'!$A:$E,3,FALSE)</f>
        <v>#N/A</v>
      </c>
      <c r="K600" t="e">
        <f>VLOOKUP(A600,'Short-term interest Rates daily'!$A:$E,4,FALSE)</f>
        <v>#N/A</v>
      </c>
      <c r="L600" t="e">
        <f>VLOOKUP(A600,'Short-term interest Rates daily'!$A:$E,5,FALSE)</f>
        <v>#N/A</v>
      </c>
    </row>
    <row r="601" spans="1:12" x14ac:dyDescent="0.3">
      <c r="A601" s="1">
        <v>32012</v>
      </c>
      <c r="B601" t="e">
        <f>VLOOKUP(A601,'STOCK DATA'!$A$2:$H$522,2,FALSE)</f>
        <v>#N/A</v>
      </c>
      <c r="C601" t="e">
        <f>VLOOKUP($A601,'STOCK DATA'!$A$2:H$521,3,FALSE)</f>
        <v>#N/A</v>
      </c>
      <c r="D601" t="e">
        <f>VLOOKUP($A601,'STOCK DATA'!$A$2:$H$521,3,FALSE)</f>
        <v>#N/A</v>
      </c>
      <c r="E601" t="e">
        <f>VLOOKUP($A601,'STOCK DATA'!$A$2:$H$521,3,FALSE)</f>
        <v>#N/A</v>
      </c>
      <c r="F601" t="e">
        <f>VLOOKUP($A601,'STOCK DATA'!$A$2:$H$521,3,FALSE)</f>
        <v>#N/A</v>
      </c>
      <c r="G601" t="e">
        <f>VLOOKUP($A601,'STOCK DATA'!$A$2:$H$521,3,FALSE)</f>
        <v>#N/A</v>
      </c>
      <c r="H601" t="e">
        <f>VLOOKUP($A601,'STOCK DATA'!$A$2:$H$521,3,FALSE)</f>
        <v>#N/A</v>
      </c>
      <c r="I601" t="e">
        <f>VLOOKUP(A601,'Short-term interest Rates daily'!$A:$E,2,FALSE)</f>
        <v>#N/A</v>
      </c>
      <c r="J601" t="e">
        <f>VLOOKUP(A601,'Short-term interest Rates daily'!$A:$E,3,FALSE)</f>
        <v>#N/A</v>
      </c>
      <c r="K601" t="e">
        <f>VLOOKUP(A601,'Short-term interest Rates daily'!$A:$E,4,FALSE)</f>
        <v>#N/A</v>
      </c>
      <c r="L601" t="e">
        <f>VLOOKUP(A601,'Short-term interest Rates daily'!$A:$E,5,FALSE)</f>
        <v>#N/A</v>
      </c>
    </row>
    <row r="602" spans="1:12" x14ac:dyDescent="0.3">
      <c r="A602" s="1">
        <v>32013</v>
      </c>
      <c r="B602">
        <f>VLOOKUP(A602,'STOCK DATA'!$A$2:$H$522,2,FALSE)</f>
        <v>127.24</v>
      </c>
      <c r="C602">
        <f>VLOOKUP($A602,'STOCK DATA'!$A$2:H$521,3,FALSE)</f>
        <v>2085.6</v>
      </c>
      <c r="D602">
        <f>VLOOKUP($A602,'STOCK DATA'!$A$2:$H$521,3,FALSE)</f>
        <v>2085.6</v>
      </c>
      <c r="E602">
        <f>VLOOKUP($A602,'STOCK DATA'!$A$2:$H$521,3,FALSE)</f>
        <v>2085.6</v>
      </c>
      <c r="F602">
        <f>VLOOKUP($A602,'STOCK DATA'!$A$2:$H$521,3,FALSE)</f>
        <v>2085.6</v>
      </c>
      <c r="G602">
        <f>VLOOKUP($A602,'STOCK DATA'!$A$2:$H$521,3,FALSE)</f>
        <v>2085.6</v>
      </c>
      <c r="H602">
        <f>VLOOKUP($A602,'STOCK DATA'!$A$2:$H$521,3,FALSE)</f>
        <v>2085.6</v>
      </c>
      <c r="I602">
        <f>VLOOKUP(A602,'Short-term interest Rates daily'!$A:$E,2,FALSE)</f>
        <v>12.13</v>
      </c>
      <c r="J602">
        <f>VLOOKUP(A602,'Short-term interest Rates daily'!$A:$E,3,FALSE)</f>
        <v>8.99</v>
      </c>
      <c r="K602">
        <f>VLOOKUP(A602,'Short-term interest Rates daily'!$A:$E,4,FALSE)</f>
        <v>9.8800000000000008</v>
      </c>
      <c r="L602">
        <f>VLOOKUP(A602,'Short-term interest Rates daily'!$A:$E,5,FALSE)</f>
        <v>6.17</v>
      </c>
    </row>
    <row r="603" spans="1:12" x14ac:dyDescent="0.3">
      <c r="A603" s="1">
        <v>32014</v>
      </c>
      <c r="B603">
        <f>VLOOKUP(A603,'STOCK DATA'!$A$2:$H$522,2,FALSE)</f>
        <v>128.24</v>
      </c>
      <c r="C603">
        <f>VLOOKUP($A603,'STOCK DATA'!$A$2:H$521,3,FALSE)</f>
        <v>2102.5</v>
      </c>
      <c r="D603">
        <f>VLOOKUP($A603,'STOCK DATA'!$A$2:$H$521,3,FALSE)</f>
        <v>2102.5</v>
      </c>
      <c r="E603">
        <f>VLOOKUP($A603,'STOCK DATA'!$A$2:$H$521,3,FALSE)</f>
        <v>2102.5</v>
      </c>
      <c r="F603">
        <f>VLOOKUP($A603,'STOCK DATA'!$A$2:$H$521,3,FALSE)</f>
        <v>2102.5</v>
      </c>
      <c r="G603">
        <f>VLOOKUP($A603,'STOCK DATA'!$A$2:$H$521,3,FALSE)</f>
        <v>2102.5</v>
      </c>
      <c r="H603">
        <f>VLOOKUP($A603,'STOCK DATA'!$A$2:$H$521,3,FALSE)</f>
        <v>2102.5</v>
      </c>
      <c r="I603">
        <f>VLOOKUP(A603,'Short-term interest Rates daily'!$A:$E,2,FALSE)</f>
        <v>12.05</v>
      </c>
      <c r="J603">
        <f>VLOOKUP(A603,'Short-term interest Rates daily'!$A:$E,3,FALSE)</f>
        <v>8.9600000000000009</v>
      </c>
      <c r="K603">
        <f>VLOOKUP(A603,'Short-term interest Rates daily'!$A:$E,4,FALSE)</f>
        <v>9.9</v>
      </c>
      <c r="L603">
        <f>VLOOKUP(A603,'Short-term interest Rates daily'!$A:$E,5,FALSE)</f>
        <v>6.18</v>
      </c>
    </row>
    <row r="604" spans="1:12" x14ac:dyDescent="0.3">
      <c r="A604" s="1">
        <v>32015</v>
      </c>
      <c r="B604">
        <f>VLOOKUP(A604,'STOCK DATA'!$A$2:$H$522,2,FALSE)</f>
        <v>128.19999999999999</v>
      </c>
      <c r="C604">
        <f>VLOOKUP($A604,'STOCK DATA'!$A$2:H$521,3,FALSE)</f>
        <v>2120.6999999999998</v>
      </c>
      <c r="D604">
        <f>VLOOKUP($A604,'STOCK DATA'!$A$2:$H$521,3,FALSE)</f>
        <v>2120.6999999999998</v>
      </c>
      <c r="E604">
        <f>VLOOKUP($A604,'STOCK DATA'!$A$2:$H$521,3,FALSE)</f>
        <v>2120.6999999999998</v>
      </c>
      <c r="F604">
        <f>VLOOKUP($A604,'STOCK DATA'!$A$2:$H$521,3,FALSE)</f>
        <v>2120.6999999999998</v>
      </c>
      <c r="G604">
        <f>VLOOKUP($A604,'STOCK DATA'!$A$2:$H$521,3,FALSE)</f>
        <v>2120.6999999999998</v>
      </c>
      <c r="H604">
        <f>VLOOKUP($A604,'STOCK DATA'!$A$2:$H$521,3,FALSE)</f>
        <v>2120.6999999999998</v>
      </c>
      <c r="I604">
        <f>VLOOKUP(A604,'Short-term interest Rates daily'!$A:$E,2,FALSE)</f>
        <v>12</v>
      </c>
      <c r="J604">
        <f>VLOOKUP(A604,'Short-term interest Rates daily'!$A:$E,3,FALSE)</f>
        <v>8.98</v>
      </c>
      <c r="K604">
        <f>VLOOKUP(A604,'Short-term interest Rates daily'!$A:$E,4,FALSE)</f>
        <v>9.9600000000000009</v>
      </c>
      <c r="L604">
        <f>VLOOKUP(A604,'Short-term interest Rates daily'!$A:$E,5,FALSE)</f>
        <v>6.25</v>
      </c>
    </row>
    <row r="605" spans="1:12" x14ac:dyDescent="0.3">
      <c r="A605" s="1">
        <v>32016</v>
      </c>
      <c r="B605">
        <f>VLOOKUP(A605,'STOCK DATA'!$A$2:$H$522,2,FALSE)</f>
        <v>125.86</v>
      </c>
      <c r="C605">
        <f>VLOOKUP($A605,'STOCK DATA'!$A$2:H$521,3,FALSE)</f>
        <v>2155.5</v>
      </c>
      <c r="D605">
        <f>VLOOKUP($A605,'STOCK DATA'!$A$2:$H$521,3,FALSE)</f>
        <v>2155.5</v>
      </c>
      <c r="E605">
        <f>VLOOKUP($A605,'STOCK DATA'!$A$2:$H$521,3,FALSE)</f>
        <v>2155.5</v>
      </c>
      <c r="F605">
        <f>VLOOKUP($A605,'STOCK DATA'!$A$2:$H$521,3,FALSE)</f>
        <v>2155.5</v>
      </c>
      <c r="G605">
        <f>VLOOKUP($A605,'STOCK DATA'!$A$2:$H$521,3,FALSE)</f>
        <v>2155.5</v>
      </c>
      <c r="H605">
        <f>VLOOKUP($A605,'STOCK DATA'!$A$2:$H$521,3,FALSE)</f>
        <v>2155.5</v>
      </c>
      <c r="I605">
        <f>VLOOKUP(A605,'Short-term interest Rates daily'!$A:$E,2,FALSE)</f>
        <v>12.18</v>
      </c>
      <c r="J605">
        <f>VLOOKUP(A605,'Short-term interest Rates daily'!$A:$E,3,FALSE)</f>
        <v>9.02</v>
      </c>
      <c r="K605">
        <f>VLOOKUP(A605,'Short-term interest Rates daily'!$A:$E,4,FALSE)</f>
        <v>9.9700000000000006</v>
      </c>
      <c r="L605">
        <f>VLOOKUP(A605,'Short-term interest Rates daily'!$A:$E,5,FALSE)</f>
        <v>6.29</v>
      </c>
    </row>
    <row r="606" spans="1:12" x14ac:dyDescent="0.3">
      <c r="A606" s="1">
        <v>32017</v>
      </c>
      <c r="B606">
        <f>VLOOKUP(A606,'STOCK DATA'!$A$2:$H$522,2,FALSE)</f>
        <v>125.12</v>
      </c>
      <c r="C606">
        <f>VLOOKUP($A606,'STOCK DATA'!$A$2:H$521,3,FALSE)</f>
        <v>2163.1</v>
      </c>
      <c r="D606">
        <f>VLOOKUP($A606,'STOCK DATA'!$A$2:$H$521,3,FALSE)</f>
        <v>2163.1</v>
      </c>
      <c r="E606">
        <f>VLOOKUP($A606,'STOCK DATA'!$A$2:$H$521,3,FALSE)</f>
        <v>2163.1</v>
      </c>
      <c r="F606">
        <f>VLOOKUP($A606,'STOCK DATA'!$A$2:$H$521,3,FALSE)</f>
        <v>2163.1</v>
      </c>
      <c r="G606">
        <f>VLOOKUP($A606,'STOCK DATA'!$A$2:$H$521,3,FALSE)</f>
        <v>2163.1</v>
      </c>
      <c r="H606">
        <f>VLOOKUP($A606,'STOCK DATA'!$A$2:$H$521,3,FALSE)</f>
        <v>2163.1</v>
      </c>
      <c r="I606">
        <f>VLOOKUP(A606,'Short-term interest Rates daily'!$A:$E,2,FALSE)</f>
        <v>12</v>
      </c>
      <c r="J606">
        <f>VLOOKUP(A606,'Short-term interest Rates daily'!$A:$E,3,FALSE)</f>
        <v>9.06</v>
      </c>
      <c r="K606">
        <f>VLOOKUP(A606,'Short-term interest Rates daily'!$A:$E,4,FALSE)</f>
        <v>10.06</v>
      </c>
      <c r="L606">
        <f>VLOOKUP(A606,'Short-term interest Rates daily'!$A:$E,5,FALSE)</f>
        <v>6.31</v>
      </c>
    </row>
    <row r="607" spans="1:12" x14ac:dyDescent="0.3">
      <c r="A607" s="1">
        <v>32018</v>
      </c>
      <c r="B607" t="e">
        <f>VLOOKUP(A607,'STOCK DATA'!$A$2:$H$522,2,FALSE)</f>
        <v>#N/A</v>
      </c>
      <c r="C607" t="e">
        <f>VLOOKUP($A607,'STOCK DATA'!$A$2:H$521,3,FALSE)</f>
        <v>#N/A</v>
      </c>
      <c r="D607" t="e">
        <f>VLOOKUP($A607,'STOCK DATA'!$A$2:$H$521,3,FALSE)</f>
        <v>#N/A</v>
      </c>
      <c r="E607" t="e">
        <f>VLOOKUP($A607,'STOCK DATA'!$A$2:$H$521,3,FALSE)</f>
        <v>#N/A</v>
      </c>
      <c r="F607" t="e">
        <f>VLOOKUP($A607,'STOCK DATA'!$A$2:$H$521,3,FALSE)</f>
        <v>#N/A</v>
      </c>
      <c r="G607" t="e">
        <f>VLOOKUP($A607,'STOCK DATA'!$A$2:$H$521,3,FALSE)</f>
        <v>#N/A</v>
      </c>
      <c r="H607" t="e">
        <f>VLOOKUP($A607,'STOCK DATA'!$A$2:$H$521,3,FALSE)</f>
        <v>#N/A</v>
      </c>
      <c r="I607" t="e">
        <f>VLOOKUP(A607,'Short-term interest Rates daily'!$A:$E,2,FALSE)</f>
        <v>#N/A</v>
      </c>
      <c r="J607" t="e">
        <f>VLOOKUP(A607,'Short-term interest Rates daily'!$A:$E,3,FALSE)</f>
        <v>#N/A</v>
      </c>
      <c r="K607" t="e">
        <f>VLOOKUP(A607,'Short-term interest Rates daily'!$A:$E,4,FALSE)</f>
        <v>#N/A</v>
      </c>
      <c r="L607" t="e">
        <f>VLOOKUP(A607,'Short-term interest Rates daily'!$A:$E,5,FALSE)</f>
        <v>#N/A</v>
      </c>
    </row>
    <row r="608" spans="1:12" x14ac:dyDescent="0.3">
      <c r="A608" s="1">
        <v>32019</v>
      </c>
      <c r="B608" t="e">
        <f>VLOOKUP(A608,'STOCK DATA'!$A$2:$H$522,2,FALSE)</f>
        <v>#N/A</v>
      </c>
      <c r="C608" t="e">
        <f>VLOOKUP($A608,'STOCK DATA'!$A$2:H$521,3,FALSE)</f>
        <v>#N/A</v>
      </c>
      <c r="D608" t="e">
        <f>VLOOKUP($A608,'STOCK DATA'!$A$2:$H$521,3,FALSE)</f>
        <v>#N/A</v>
      </c>
      <c r="E608" t="e">
        <f>VLOOKUP($A608,'STOCK DATA'!$A$2:$H$521,3,FALSE)</f>
        <v>#N/A</v>
      </c>
      <c r="F608" t="e">
        <f>VLOOKUP($A608,'STOCK DATA'!$A$2:$H$521,3,FALSE)</f>
        <v>#N/A</v>
      </c>
      <c r="G608" t="e">
        <f>VLOOKUP($A608,'STOCK DATA'!$A$2:$H$521,3,FALSE)</f>
        <v>#N/A</v>
      </c>
      <c r="H608" t="e">
        <f>VLOOKUP($A608,'STOCK DATA'!$A$2:$H$521,3,FALSE)</f>
        <v>#N/A</v>
      </c>
      <c r="I608" t="e">
        <f>VLOOKUP(A608,'Short-term interest Rates daily'!$A:$E,2,FALSE)</f>
        <v>#N/A</v>
      </c>
      <c r="J608" t="e">
        <f>VLOOKUP(A608,'Short-term interest Rates daily'!$A:$E,3,FALSE)</f>
        <v>#N/A</v>
      </c>
      <c r="K608" t="e">
        <f>VLOOKUP(A608,'Short-term interest Rates daily'!$A:$E,4,FALSE)</f>
        <v>#N/A</v>
      </c>
      <c r="L608" t="e">
        <f>VLOOKUP(A608,'Short-term interest Rates daily'!$A:$E,5,FALSE)</f>
        <v>#N/A</v>
      </c>
    </row>
    <row r="609" spans="1:12" x14ac:dyDescent="0.3">
      <c r="A609" s="1">
        <v>32020</v>
      </c>
      <c r="B609">
        <f>VLOOKUP(A609,'STOCK DATA'!$A$2:$H$522,2,FALSE)</f>
        <v>123.57</v>
      </c>
      <c r="C609">
        <f>VLOOKUP($A609,'STOCK DATA'!$A$2:H$521,3,FALSE)</f>
        <v>2150</v>
      </c>
      <c r="D609">
        <f>VLOOKUP($A609,'STOCK DATA'!$A$2:$H$521,3,FALSE)</f>
        <v>2150</v>
      </c>
      <c r="E609">
        <f>VLOOKUP($A609,'STOCK DATA'!$A$2:$H$521,3,FALSE)</f>
        <v>2150</v>
      </c>
      <c r="F609">
        <f>VLOOKUP($A609,'STOCK DATA'!$A$2:$H$521,3,FALSE)</f>
        <v>2150</v>
      </c>
      <c r="G609">
        <f>VLOOKUP($A609,'STOCK DATA'!$A$2:$H$521,3,FALSE)</f>
        <v>2150</v>
      </c>
      <c r="H609">
        <f>VLOOKUP($A609,'STOCK DATA'!$A$2:$H$521,3,FALSE)</f>
        <v>2150</v>
      </c>
      <c r="I609">
        <f>VLOOKUP(A609,'Short-term interest Rates daily'!$A:$E,2,FALSE)</f>
        <v>12.05</v>
      </c>
      <c r="J609">
        <f>VLOOKUP(A609,'Short-term interest Rates daily'!$A:$E,3,FALSE)</f>
        <v>9.06</v>
      </c>
      <c r="K609">
        <f>VLOOKUP(A609,'Short-term interest Rates daily'!$A:$E,4,FALSE)</f>
        <v>10.06</v>
      </c>
      <c r="L609">
        <f>VLOOKUP(A609,'Short-term interest Rates daily'!$A:$E,5,FALSE)</f>
        <v>6.25</v>
      </c>
    </row>
    <row r="610" spans="1:12" x14ac:dyDescent="0.3">
      <c r="A610" s="1">
        <v>32021</v>
      </c>
      <c r="B610">
        <f>VLOOKUP(A610,'STOCK DATA'!$A$2:$H$522,2,FALSE)</f>
        <v>124.7</v>
      </c>
      <c r="C610">
        <f>VLOOKUP($A610,'STOCK DATA'!$A$2:H$521,3,FALSE)</f>
        <v>2157.6999999999998</v>
      </c>
      <c r="D610">
        <f>VLOOKUP($A610,'STOCK DATA'!$A$2:$H$521,3,FALSE)</f>
        <v>2157.6999999999998</v>
      </c>
      <c r="E610">
        <f>VLOOKUP($A610,'STOCK DATA'!$A$2:$H$521,3,FALSE)</f>
        <v>2157.6999999999998</v>
      </c>
      <c r="F610">
        <f>VLOOKUP($A610,'STOCK DATA'!$A$2:$H$521,3,FALSE)</f>
        <v>2157.6999999999998</v>
      </c>
      <c r="G610">
        <f>VLOOKUP($A610,'STOCK DATA'!$A$2:$H$521,3,FALSE)</f>
        <v>2157.6999999999998</v>
      </c>
      <c r="H610">
        <f>VLOOKUP($A610,'STOCK DATA'!$A$2:$H$521,3,FALSE)</f>
        <v>2157.6999999999998</v>
      </c>
      <c r="I610">
        <f>VLOOKUP(A610,'Short-term interest Rates daily'!$A:$E,2,FALSE)</f>
        <v>12.05</v>
      </c>
      <c r="J610">
        <f>VLOOKUP(A610,'Short-term interest Rates daily'!$A:$E,3,FALSE)</f>
        <v>9.0500000000000007</v>
      </c>
      <c r="K610">
        <f>VLOOKUP(A610,'Short-term interest Rates daily'!$A:$E,4,FALSE)</f>
        <v>9.99</v>
      </c>
      <c r="L610">
        <f>VLOOKUP(A610,'Short-term interest Rates daily'!$A:$E,5,FALSE)</f>
        <v>6.12</v>
      </c>
    </row>
    <row r="611" spans="1:12" x14ac:dyDescent="0.3">
      <c r="A611" s="1">
        <v>32022</v>
      </c>
      <c r="B611">
        <f>VLOOKUP(A611,'STOCK DATA'!$A$2:$H$522,2,FALSE)</f>
        <v>122.52</v>
      </c>
      <c r="C611">
        <f>VLOOKUP($A611,'STOCK DATA'!$A$2:H$521,3,FALSE)</f>
        <v>2176.9</v>
      </c>
      <c r="D611">
        <f>VLOOKUP($A611,'STOCK DATA'!$A$2:$H$521,3,FALSE)</f>
        <v>2176.9</v>
      </c>
      <c r="E611">
        <f>VLOOKUP($A611,'STOCK DATA'!$A$2:$H$521,3,FALSE)</f>
        <v>2176.9</v>
      </c>
      <c r="F611">
        <f>VLOOKUP($A611,'STOCK DATA'!$A$2:$H$521,3,FALSE)</f>
        <v>2176.9</v>
      </c>
      <c r="G611">
        <f>VLOOKUP($A611,'STOCK DATA'!$A$2:$H$521,3,FALSE)</f>
        <v>2176.9</v>
      </c>
      <c r="H611">
        <f>VLOOKUP($A611,'STOCK DATA'!$A$2:$H$521,3,FALSE)</f>
        <v>2176.9</v>
      </c>
      <c r="I611">
        <f>VLOOKUP(A611,'Short-term interest Rates daily'!$A:$E,2,FALSE)</f>
        <v>11.9</v>
      </c>
      <c r="J611">
        <f>VLOOKUP(A611,'Short-term interest Rates daily'!$A:$E,3,FALSE)</f>
        <v>9.06</v>
      </c>
      <c r="K611">
        <f>VLOOKUP(A611,'Short-term interest Rates daily'!$A:$E,4,FALSE)</f>
        <v>9.89</v>
      </c>
      <c r="L611">
        <f>VLOOKUP(A611,'Short-term interest Rates daily'!$A:$E,5,FALSE)</f>
        <v>6.09</v>
      </c>
    </row>
    <row r="612" spans="1:12" x14ac:dyDescent="0.3">
      <c r="A612" s="1">
        <v>32023</v>
      </c>
      <c r="B612">
        <f>VLOOKUP(A612,'STOCK DATA'!$A$2:$H$522,2,FALSE)</f>
        <v>122.15</v>
      </c>
      <c r="C612">
        <f>VLOOKUP($A612,'STOCK DATA'!$A$2:H$521,3,FALSE)</f>
        <v>2203.6999999999998</v>
      </c>
      <c r="D612">
        <f>VLOOKUP($A612,'STOCK DATA'!$A$2:$H$521,3,FALSE)</f>
        <v>2203.6999999999998</v>
      </c>
      <c r="E612">
        <f>VLOOKUP($A612,'STOCK DATA'!$A$2:$H$521,3,FALSE)</f>
        <v>2203.6999999999998</v>
      </c>
      <c r="F612">
        <f>VLOOKUP($A612,'STOCK DATA'!$A$2:$H$521,3,FALSE)</f>
        <v>2203.6999999999998</v>
      </c>
      <c r="G612">
        <f>VLOOKUP($A612,'STOCK DATA'!$A$2:$H$521,3,FALSE)</f>
        <v>2203.6999999999998</v>
      </c>
      <c r="H612">
        <f>VLOOKUP($A612,'STOCK DATA'!$A$2:$H$521,3,FALSE)</f>
        <v>2203.6999999999998</v>
      </c>
      <c r="I612">
        <f>VLOOKUP(A612,'Short-term interest Rates daily'!$A:$E,2,FALSE)</f>
        <v>11.8</v>
      </c>
      <c r="J612">
        <f>VLOOKUP(A612,'Short-term interest Rates daily'!$A:$E,3,FALSE)</f>
        <v>9.07</v>
      </c>
      <c r="K612">
        <f>VLOOKUP(A612,'Short-term interest Rates daily'!$A:$E,4,FALSE)</f>
        <v>9.86</v>
      </c>
      <c r="L612">
        <f>VLOOKUP(A612,'Short-term interest Rates daily'!$A:$E,5,FALSE)</f>
        <v>6.19</v>
      </c>
    </row>
    <row r="613" spans="1:12" x14ac:dyDescent="0.3">
      <c r="A613" s="1">
        <v>32024</v>
      </c>
      <c r="B613">
        <f>VLOOKUP(A613,'STOCK DATA'!$A$2:$H$522,2,FALSE)</f>
        <v>121.14</v>
      </c>
      <c r="C613">
        <f>VLOOKUP($A613,'STOCK DATA'!$A$2:H$521,3,FALSE)</f>
        <v>2194.9</v>
      </c>
      <c r="D613">
        <f>VLOOKUP($A613,'STOCK DATA'!$A$2:$H$521,3,FALSE)</f>
        <v>2194.9</v>
      </c>
      <c r="E613">
        <f>VLOOKUP($A613,'STOCK DATA'!$A$2:$H$521,3,FALSE)</f>
        <v>2194.9</v>
      </c>
      <c r="F613">
        <f>VLOOKUP($A613,'STOCK DATA'!$A$2:$H$521,3,FALSE)</f>
        <v>2194.9</v>
      </c>
      <c r="G613">
        <f>VLOOKUP($A613,'STOCK DATA'!$A$2:$H$521,3,FALSE)</f>
        <v>2194.9</v>
      </c>
      <c r="H613">
        <f>VLOOKUP($A613,'STOCK DATA'!$A$2:$H$521,3,FALSE)</f>
        <v>2194.9</v>
      </c>
      <c r="I613">
        <f>VLOOKUP(A613,'Short-term interest Rates daily'!$A:$E,2,FALSE)</f>
        <v>11.75</v>
      </c>
      <c r="J613">
        <f>VLOOKUP(A613,'Short-term interest Rates daily'!$A:$E,3,FALSE)</f>
        <v>9.0399999999999991</v>
      </c>
      <c r="K613">
        <f>VLOOKUP(A613,'Short-term interest Rates daily'!$A:$E,4,FALSE)</f>
        <v>9.86</v>
      </c>
      <c r="L613">
        <f>VLOOKUP(A613,'Short-term interest Rates daily'!$A:$E,5,FALSE)</f>
        <v>6.38</v>
      </c>
    </row>
    <row r="614" spans="1:12" x14ac:dyDescent="0.3">
      <c r="A614" s="1">
        <v>32025</v>
      </c>
      <c r="B614" t="e">
        <f>VLOOKUP(A614,'STOCK DATA'!$A$2:$H$522,2,FALSE)</f>
        <v>#N/A</v>
      </c>
      <c r="C614" t="e">
        <f>VLOOKUP($A614,'STOCK DATA'!$A$2:H$521,3,FALSE)</f>
        <v>#N/A</v>
      </c>
      <c r="D614" t="e">
        <f>VLOOKUP($A614,'STOCK DATA'!$A$2:$H$521,3,FALSE)</f>
        <v>#N/A</v>
      </c>
      <c r="E614" t="e">
        <f>VLOOKUP($A614,'STOCK DATA'!$A$2:$H$521,3,FALSE)</f>
        <v>#N/A</v>
      </c>
      <c r="F614" t="e">
        <f>VLOOKUP($A614,'STOCK DATA'!$A$2:$H$521,3,FALSE)</f>
        <v>#N/A</v>
      </c>
      <c r="G614" t="e">
        <f>VLOOKUP($A614,'STOCK DATA'!$A$2:$H$521,3,FALSE)</f>
        <v>#N/A</v>
      </c>
      <c r="H614" t="e">
        <f>VLOOKUP($A614,'STOCK DATA'!$A$2:$H$521,3,FALSE)</f>
        <v>#N/A</v>
      </c>
      <c r="I614" t="e">
        <f>VLOOKUP(A614,'Short-term interest Rates daily'!$A:$E,2,FALSE)</f>
        <v>#N/A</v>
      </c>
      <c r="J614" t="e">
        <f>VLOOKUP(A614,'Short-term interest Rates daily'!$A:$E,3,FALSE)</f>
        <v>#N/A</v>
      </c>
      <c r="K614" t="e">
        <f>VLOOKUP(A614,'Short-term interest Rates daily'!$A:$E,4,FALSE)</f>
        <v>#N/A</v>
      </c>
      <c r="L614" t="e">
        <f>VLOOKUP(A614,'Short-term interest Rates daily'!$A:$E,5,FALSE)</f>
        <v>#N/A</v>
      </c>
    </row>
    <row r="615" spans="1:12" x14ac:dyDescent="0.3">
      <c r="A615" s="1">
        <v>32026</v>
      </c>
      <c r="B615" t="e">
        <f>VLOOKUP(A615,'STOCK DATA'!$A$2:$H$522,2,FALSE)</f>
        <v>#N/A</v>
      </c>
      <c r="C615" t="e">
        <f>VLOOKUP($A615,'STOCK DATA'!$A$2:H$521,3,FALSE)</f>
        <v>#N/A</v>
      </c>
      <c r="D615" t="e">
        <f>VLOOKUP($A615,'STOCK DATA'!$A$2:$H$521,3,FALSE)</f>
        <v>#N/A</v>
      </c>
      <c r="E615" t="e">
        <f>VLOOKUP($A615,'STOCK DATA'!$A$2:$H$521,3,FALSE)</f>
        <v>#N/A</v>
      </c>
      <c r="F615" t="e">
        <f>VLOOKUP($A615,'STOCK DATA'!$A$2:$H$521,3,FALSE)</f>
        <v>#N/A</v>
      </c>
      <c r="G615" t="e">
        <f>VLOOKUP($A615,'STOCK DATA'!$A$2:$H$521,3,FALSE)</f>
        <v>#N/A</v>
      </c>
      <c r="H615" t="e">
        <f>VLOOKUP($A615,'STOCK DATA'!$A$2:$H$521,3,FALSE)</f>
        <v>#N/A</v>
      </c>
      <c r="I615" t="e">
        <f>VLOOKUP(A615,'Short-term interest Rates daily'!$A:$E,2,FALSE)</f>
        <v>#N/A</v>
      </c>
      <c r="J615" t="e">
        <f>VLOOKUP(A615,'Short-term interest Rates daily'!$A:$E,3,FALSE)</f>
        <v>#N/A</v>
      </c>
      <c r="K615" t="e">
        <f>VLOOKUP(A615,'Short-term interest Rates daily'!$A:$E,4,FALSE)</f>
        <v>#N/A</v>
      </c>
      <c r="L615" t="e">
        <f>VLOOKUP(A615,'Short-term interest Rates daily'!$A:$E,5,FALSE)</f>
        <v>#N/A</v>
      </c>
    </row>
    <row r="616" spans="1:12" x14ac:dyDescent="0.3">
      <c r="A616" s="1">
        <v>32027</v>
      </c>
      <c r="B616">
        <f>VLOOKUP(A616,'STOCK DATA'!$A$2:$H$522,2,FALSE)</f>
        <v>119.05</v>
      </c>
      <c r="C616">
        <f>VLOOKUP($A616,'STOCK DATA'!$A$2:H$521,3,FALSE)</f>
        <v>2210.1999999999998</v>
      </c>
      <c r="D616">
        <f>VLOOKUP($A616,'STOCK DATA'!$A$2:$H$521,3,FALSE)</f>
        <v>2210.1999999999998</v>
      </c>
      <c r="E616">
        <f>VLOOKUP($A616,'STOCK DATA'!$A$2:$H$521,3,FALSE)</f>
        <v>2210.1999999999998</v>
      </c>
      <c r="F616">
        <f>VLOOKUP($A616,'STOCK DATA'!$A$2:$H$521,3,FALSE)</f>
        <v>2210.1999999999998</v>
      </c>
      <c r="G616">
        <f>VLOOKUP($A616,'STOCK DATA'!$A$2:$H$521,3,FALSE)</f>
        <v>2210.1999999999998</v>
      </c>
      <c r="H616">
        <f>VLOOKUP($A616,'STOCK DATA'!$A$2:$H$521,3,FALSE)</f>
        <v>2210.1999999999998</v>
      </c>
      <c r="I616">
        <f>VLOOKUP(A616,'Short-term interest Rates daily'!$A:$E,2,FALSE)</f>
        <v>11.95</v>
      </c>
      <c r="J616">
        <f>VLOOKUP(A616,'Short-term interest Rates daily'!$A:$E,3,FALSE)</f>
        <v>0</v>
      </c>
      <c r="K616">
        <f>VLOOKUP(A616,'Short-term interest Rates daily'!$A:$E,4,FALSE)</f>
        <v>9.83</v>
      </c>
      <c r="L616">
        <f>VLOOKUP(A616,'Short-term interest Rates daily'!$A:$E,5,FALSE)</f>
        <v>0</v>
      </c>
    </row>
    <row r="617" spans="1:12" x14ac:dyDescent="0.3">
      <c r="A617" s="1">
        <v>32028</v>
      </c>
      <c r="B617">
        <f>VLOOKUP(A617,'STOCK DATA'!$A$2:$H$522,2,FALSE)</f>
        <v>120.51</v>
      </c>
      <c r="C617">
        <f>VLOOKUP($A617,'STOCK DATA'!$A$2:H$521,3,FALSE)</f>
        <v>2207.8000000000002</v>
      </c>
      <c r="D617">
        <f>VLOOKUP($A617,'STOCK DATA'!$A$2:$H$521,3,FALSE)</f>
        <v>2207.8000000000002</v>
      </c>
      <c r="E617">
        <f>VLOOKUP($A617,'STOCK DATA'!$A$2:$H$521,3,FALSE)</f>
        <v>2207.8000000000002</v>
      </c>
      <c r="F617">
        <f>VLOOKUP($A617,'STOCK DATA'!$A$2:$H$521,3,FALSE)</f>
        <v>2207.8000000000002</v>
      </c>
      <c r="G617">
        <f>VLOOKUP($A617,'STOCK DATA'!$A$2:$H$521,3,FALSE)</f>
        <v>2207.8000000000002</v>
      </c>
      <c r="H617">
        <f>VLOOKUP($A617,'STOCK DATA'!$A$2:$H$521,3,FALSE)</f>
        <v>2207.8000000000002</v>
      </c>
      <c r="I617">
        <f>VLOOKUP(A617,'Short-term interest Rates daily'!$A:$E,2,FALSE)</f>
        <v>12.1</v>
      </c>
      <c r="J617">
        <f>VLOOKUP(A617,'Short-term interest Rates daily'!$A:$E,3,FALSE)</f>
        <v>9.09</v>
      </c>
      <c r="K617">
        <f>VLOOKUP(A617,'Short-term interest Rates daily'!$A:$E,4,FALSE)</f>
        <v>9.81</v>
      </c>
      <c r="L617">
        <f>VLOOKUP(A617,'Short-term interest Rates daily'!$A:$E,5,FALSE)</f>
        <v>6.44</v>
      </c>
    </row>
    <row r="618" spans="1:12" x14ac:dyDescent="0.3">
      <c r="A618" s="1">
        <v>32029</v>
      </c>
      <c r="B618">
        <f>VLOOKUP(A618,'STOCK DATA'!$A$2:$H$522,2,FALSE)</f>
        <v>120.96</v>
      </c>
      <c r="C618">
        <f>VLOOKUP($A618,'STOCK DATA'!$A$2:H$521,3,FALSE)</f>
        <v>2188.5</v>
      </c>
      <c r="D618">
        <f>VLOOKUP($A618,'STOCK DATA'!$A$2:$H$521,3,FALSE)</f>
        <v>2188.5</v>
      </c>
      <c r="E618">
        <f>VLOOKUP($A618,'STOCK DATA'!$A$2:$H$521,3,FALSE)</f>
        <v>2188.5</v>
      </c>
      <c r="F618">
        <f>VLOOKUP($A618,'STOCK DATA'!$A$2:$H$521,3,FALSE)</f>
        <v>2188.5</v>
      </c>
      <c r="G618">
        <f>VLOOKUP($A618,'STOCK DATA'!$A$2:$H$521,3,FALSE)</f>
        <v>2188.5</v>
      </c>
      <c r="H618">
        <f>VLOOKUP($A618,'STOCK DATA'!$A$2:$H$521,3,FALSE)</f>
        <v>2188.5</v>
      </c>
      <c r="I618">
        <f>VLOOKUP(A618,'Short-term interest Rates daily'!$A:$E,2,FALSE)</f>
        <v>12.38</v>
      </c>
      <c r="J618">
        <f>VLOOKUP(A618,'Short-term interest Rates daily'!$A:$E,3,FALSE)</f>
        <v>9.14</v>
      </c>
      <c r="K618">
        <f>VLOOKUP(A618,'Short-term interest Rates daily'!$A:$E,4,FALSE)</f>
        <v>9.84</v>
      </c>
      <c r="L618">
        <f>VLOOKUP(A618,'Short-term interest Rates daily'!$A:$E,5,FALSE)</f>
        <v>6.43</v>
      </c>
    </row>
    <row r="619" spans="1:12" x14ac:dyDescent="0.3">
      <c r="A619" s="1">
        <v>32030</v>
      </c>
      <c r="B619">
        <f>VLOOKUP(A619,'STOCK DATA'!$A$2:$H$522,2,FALSE)</f>
        <v>122.39</v>
      </c>
      <c r="C619">
        <f>VLOOKUP($A619,'STOCK DATA'!$A$2:H$521,3,FALSE)</f>
        <v>2185</v>
      </c>
      <c r="D619">
        <f>VLOOKUP($A619,'STOCK DATA'!$A$2:$H$521,3,FALSE)</f>
        <v>2185</v>
      </c>
      <c r="E619">
        <f>VLOOKUP($A619,'STOCK DATA'!$A$2:$H$521,3,FALSE)</f>
        <v>2185</v>
      </c>
      <c r="F619">
        <f>VLOOKUP($A619,'STOCK DATA'!$A$2:$H$521,3,FALSE)</f>
        <v>2185</v>
      </c>
      <c r="G619">
        <f>VLOOKUP($A619,'STOCK DATA'!$A$2:$H$521,3,FALSE)</f>
        <v>2185</v>
      </c>
      <c r="H619">
        <f>VLOOKUP($A619,'STOCK DATA'!$A$2:$H$521,3,FALSE)</f>
        <v>2185</v>
      </c>
      <c r="I619">
        <f>VLOOKUP(A619,'Short-term interest Rates daily'!$A:$E,2,FALSE)</f>
        <v>12</v>
      </c>
      <c r="J619">
        <f>VLOOKUP(A619,'Short-term interest Rates daily'!$A:$E,3,FALSE)</f>
        <v>9.2100000000000009</v>
      </c>
      <c r="K619">
        <f>VLOOKUP(A619,'Short-term interest Rates daily'!$A:$E,4,FALSE)</f>
        <v>9.83</v>
      </c>
      <c r="L619">
        <f>VLOOKUP(A619,'Short-term interest Rates daily'!$A:$E,5,FALSE)</f>
        <v>6.33</v>
      </c>
    </row>
    <row r="620" spans="1:12" x14ac:dyDescent="0.3">
      <c r="A620" s="1">
        <v>32031</v>
      </c>
      <c r="B620">
        <f>VLOOKUP(A620,'STOCK DATA'!$A$2:$H$522,2,FALSE)</f>
        <v>121.72</v>
      </c>
      <c r="C620">
        <f>VLOOKUP($A620,'STOCK DATA'!$A$2:H$521,3,FALSE)</f>
        <v>2206.6999999999998</v>
      </c>
      <c r="D620">
        <f>VLOOKUP($A620,'STOCK DATA'!$A$2:$H$521,3,FALSE)</f>
        <v>2206.6999999999998</v>
      </c>
      <c r="E620">
        <f>VLOOKUP($A620,'STOCK DATA'!$A$2:$H$521,3,FALSE)</f>
        <v>2206.6999999999998</v>
      </c>
      <c r="F620">
        <f>VLOOKUP($A620,'STOCK DATA'!$A$2:$H$521,3,FALSE)</f>
        <v>2206.6999999999998</v>
      </c>
      <c r="G620">
        <f>VLOOKUP($A620,'STOCK DATA'!$A$2:$H$521,3,FALSE)</f>
        <v>2206.6999999999998</v>
      </c>
      <c r="H620">
        <f>VLOOKUP($A620,'STOCK DATA'!$A$2:$H$521,3,FALSE)</f>
        <v>2206.6999999999998</v>
      </c>
      <c r="I620">
        <f>VLOOKUP(A620,'Short-term interest Rates daily'!$A:$E,2,FALSE)</f>
        <v>11.95</v>
      </c>
      <c r="J620">
        <f>VLOOKUP(A620,'Short-term interest Rates daily'!$A:$E,3,FALSE)</f>
        <v>9.19</v>
      </c>
      <c r="K620">
        <f>VLOOKUP(A620,'Short-term interest Rates daily'!$A:$E,4,FALSE)</f>
        <v>9.82</v>
      </c>
      <c r="L620">
        <f>VLOOKUP(A620,'Short-term interest Rates daily'!$A:$E,5,FALSE)</f>
        <v>6.35</v>
      </c>
    </row>
    <row r="621" spans="1:12" x14ac:dyDescent="0.3">
      <c r="A621" s="1">
        <v>32032</v>
      </c>
      <c r="B621" t="e">
        <f>VLOOKUP(A621,'STOCK DATA'!$A$2:$H$522,2,FALSE)</f>
        <v>#N/A</v>
      </c>
      <c r="C621" t="e">
        <f>VLOOKUP($A621,'STOCK DATA'!$A$2:H$521,3,FALSE)</f>
        <v>#N/A</v>
      </c>
      <c r="D621" t="e">
        <f>VLOOKUP($A621,'STOCK DATA'!$A$2:$H$521,3,FALSE)</f>
        <v>#N/A</v>
      </c>
      <c r="E621" t="e">
        <f>VLOOKUP($A621,'STOCK DATA'!$A$2:$H$521,3,FALSE)</f>
        <v>#N/A</v>
      </c>
      <c r="F621" t="e">
        <f>VLOOKUP($A621,'STOCK DATA'!$A$2:$H$521,3,FALSE)</f>
        <v>#N/A</v>
      </c>
      <c r="G621" t="e">
        <f>VLOOKUP($A621,'STOCK DATA'!$A$2:$H$521,3,FALSE)</f>
        <v>#N/A</v>
      </c>
      <c r="H621" t="e">
        <f>VLOOKUP($A621,'STOCK DATA'!$A$2:$H$521,3,FALSE)</f>
        <v>#N/A</v>
      </c>
      <c r="I621" t="e">
        <f>VLOOKUP(A621,'Short-term interest Rates daily'!$A:$E,2,FALSE)</f>
        <v>#N/A</v>
      </c>
      <c r="J621" t="e">
        <f>VLOOKUP(A621,'Short-term interest Rates daily'!$A:$E,3,FALSE)</f>
        <v>#N/A</v>
      </c>
      <c r="K621" t="e">
        <f>VLOOKUP(A621,'Short-term interest Rates daily'!$A:$E,4,FALSE)</f>
        <v>#N/A</v>
      </c>
      <c r="L621" t="e">
        <f>VLOOKUP(A621,'Short-term interest Rates daily'!$A:$E,5,FALSE)</f>
        <v>#N/A</v>
      </c>
    </row>
    <row r="622" spans="1:12" x14ac:dyDescent="0.3">
      <c r="A622" s="1">
        <v>32033</v>
      </c>
      <c r="B622" t="e">
        <f>VLOOKUP(A622,'STOCK DATA'!$A$2:$H$522,2,FALSE)</f>
        <v>#N/A</v>
      </c>
      <c r="C622" t="e">
        <f>VLOOKUP($A622,'STOCK DATA'!$A$2:H$521,3,FALSE)</f>
        <v>#N/A</v>
      </c>
      <c r="D622" t="e">
        <f>VLOOKUP($A622,'STOCK DATA'!$A$2:$H$521,3,FALSE)</f>
        <v>#N/A</v>
      </c>
      <c r="E622" t="e">
        <f>VLOOKUP($A622,'STOCK DATA'!$A$2:$H$521,3,FALSE)</f>
        <v>#N/A</v>
      </c>
      <c r="F622" t="e">
        <f>VLOOKUP($A622,'STOCK DATA'!$A$2:$H$521,3,FALSE)</f>
        <v>#N/A</v>
      </c>
      <c r="G622" t="e">
        <f>VLOOKUP($A622,'STOCK DATA'!$A$2:$H$521,3,FALSE)</f>
        <v>#N/A</v>
      </c>
      <c r="H622" t="e">
        <f>VLOOKUP($A622,'STOCK DATA'!$A$2:$H$521,3,FALSE)</f>
        <v>#N/A</v>
      </c>
      <c r="I622" t="e">
        <f>VLOOKUP(A622,'Short-term interest Rates daily'!$A:$E,2,FALSE)</f>
        <v>#N/A</v>
      </c>
      <c r="J622" t="e">
        <f>VLOOKUP(A622,'Short-term interest Rates daily'!$A:$E,3,FALSE)</f>
        <v>#N/A</v>
      </c>
      <c r="K622" t="e">
        <f>VLOOKUP(A622,'Short-term interest Rates daily'!$A:$E,4,FALSE)</f>
        <v>#N/A</v>
      </c>
      <c r="L622" t="e">
        <f>VLOOKUP(A622,'Short-term interest Rates daily'!$A:$E,5,FALSE)</f>
        <v>#N/A</v>
      </c>
    </row>
    <row r="623" spans="1:12" x14ac:dyDescent="0.3">
      <c r="A623" s="1">
        <v>32034</v>
      </c>
      <c r="B623">
        <f>VLOOKUP(A623,'STOCK DATA'!$A$2:$H$522,2,FALSE)</f>
        <v>123.95</v>
      </c>
      <c r="C623">
        <f>VLOOKUP($A623,'STOCK DATA'!$A$2:H$521,3,FALSE)</f>
        <v>2206</v>
      </c>
      <c r="D623">
        <f>VLOOKUP($A623,'STOCK DATA'!$A$2:$H$521,3,FALSE)</f>
        <v>2206</v>
      </c>
      <c r="E623">
        <f>VLOOKUP($A623,'STOCK DATA'!$A$2:$H$521,3,FALSE)</f>
        <v>2206</v>
      </c>
      <c r="F623">
        <f>VLOOKUP($A623,'STOCK DATA'!$A$2:$H$521,3,FALSE)</f>
        <v>2206</v>
      </c>
      <c r="G623">
        <f>VLOOKUP($A623,'STOCK DATA'!$A$2:$H$521,3,FALSE)</f>
        <v>2206</v>
      </c>
      <c r="H623">
        <f>VLOOKUP($A623,'STOCK DATA'!$A$2:$H$521,3,FALSE)</f>
        <v>2206</v>
      </c>
      <c r="I623">
        <f>VLOOKUP(A623,'Short-term interest Rates daily'!$A:$E,2,FALSE)</f>
        <v>11.98</v>
      </c>
      <c r="J623">
        <f>VLOOKUP(A623,'Short-term interest Rates daily'!$A:$E,3,FALSE)</f>
        <v>9.15</v>
      </c>
      <c r="K623">
        <f>VLOOKUP(A623,'Short-term interest Rates daily'!$A:$E,4,FALSE)</f>
        <v>9.8000000000000007</v>
      </c>
      <c r="L623">
        <f>VLOOKUP(A623,'Short-term interest Rates daily'!$A:$E,5,FALSE)</f>
        <v>6.34</v>
      </c>
    </row>
    <row r="624" spans="1:12" x14ac:dyDescent="0.3">
      <c r="A624" s="1">
        <v>32035</v>
      </c>
      <c r="B624">
        <f>VLOOKUP(A624,'STOCK DATA'!$A$2:$H$522,2,FALSE)</f>
        <v>123.44</v>
      </c>
      <c r="C624">
        <f>VLOOKUP($A624,'STOCK DATA'!$A$2:H$521,3,FALSE)</f>
        <v>2230.6</v>
      </c>
      <c r="D624">
        <f>VLOOKUP($A624,'STOCK DATA'!$A$2:$H$521,3,FALSE)</f>
        <v>2230.6</v>
      </c>
      <c r="E624">
        <f>VLOOKUP($A624,'STOCK DATA'!$A$2:$H$521,3,FALSE)</f>
        <v>2230.6</v>
      </c>
      <c r="F624">
        <f>VLOOKUP($A624,'STOCK DATA'!$A$2:$H$521,3,FALSE)</f>
        <v>2230.6</v>
      </c>
      <c r="G624">
        <f>VLOOKUP($A624,'STOCK DATA'!$A$2:$H$521,3,FALSE)</f>
        <v>2230.6</v>
      </c>
      <c r="H624">
        <f>VLOOKUP($A624,'STOCK DATA'!$A$2:$H$521,3,FALSE)</f>
        <v>2230.6</v>
      </c>
      <c r="I624">
        <f>VLOOKUP(A624,'Short-term interest Rates daily'!$A:$E,2,FALSE)</f>
        <v>12.18</v>
      </c>
      <c r="J624">
        <f>VLOOKUP(A624,'Short-term interest Rates daily'!$A:$E,3,FALSE)</f>
        <v>9.16</v>
      </c>
      <c r="K624">
        <f>VLOOKUP(A624,'Short-term interest Rates daily'!$A:$E,4,FALSE)</f>
        <v>9.8000000000000007</v>
      </c>
      <c r="L624">
        <f>VLOOKUP(A624,'Short-term interest Rates daily'!$A:$E,5,FALSE)</f>
        <v>6.34</v>
      </c>
    </row>
    <row r="625" spans="1:12" x14ac:dyDescent="0.3">
      <c r="A625" s="1">
        <v>32036</v>
      </c>
      <c r="B625">
        <f>VLOOKUP(A625,'STOCK DATA'!$A$2:$H$522,2,FALSE)</f>
        <v>122.01</v>
      </c>
      <c r="C625">
        <f>VLOOKUP($A625,'STOCK DATA'!$A$2:H$521,3,FALSE)</f>
        <v>2274.5</v>
      </c>
      <c r="D625">
        <f>VLOOKUP($A625,'STOCK DATA'!$A$2:$H$521,3,FALSE)</f>
        <v>2274.5</v>
      </c>
      <c r="E625">
        <f>VLOOKUP($A625,'STOCK DATA'!$A$2:$H$521,3,FALSE)</f>
        <v>2274.5</v>
      </c>
      <c r="F625">
        <f>VLOOKUP($A625,'STOCK DATA'!$A$2:$H$521,3,FALSE)</f>
        <v>2274.5</v>
      </c>
      <c r="G625">
        <f>VLOOKUP($A625,'STOCK DATA'!$A$2:$H$521,3,FALSE)</f>
        <v>2274.5</v>
      </c>
      <c r="H625">
        <f>VLOOKUP($A625,'STOCK DATA'!$A$2:$H$521,3,FALSE)</f>
        <v>2274.5</v>
      </c>
      <c r="I625">
        <f>VLOOKUP(A625,'Short-term interest Rates daily'!$A:$E,2,FALSE)</f>
        <v>12.2</v>
      </c>
      <c r="J625">
        <f>VLOOKUP(A625,'Short-term interest Rates daily'!$A:$E,3,FALSE)</f>
        <v>9.19</v>
      </c>
      <c r="K625">
        <f>VLOOKUP(A625,'Short-term interest Rates daily'!$A:$E,4,FALSE)</f>
        <v>9.7799999999999994</v>
      </c>
      <c r="L625">
        <f>VLOOKUP(A625,'Short-term interest Rates daily'!$A:$E,5,FALSE)</f>
        <v>6.34</v>
      </c>
    </row>
    <row r="626" spans="1:12" x14ac:dyDescent="0.3">
      <c r="A626" s="1">
        <v>32037</v>
      </c>
      <c r="B626">
        <f>VLOOKUP(A626,'STOCK DATA'!$A$2:$H$522,2,FALSE)</f>
        <v>120.45</v>
      </c>
      <c r="C626">
        <f>VLOOKUP($A626,'STOCK DATA'!$A$2:H$521,3,FALSE)</f>
        <v>2283.9</v>
      </c>
      <c r="D626">
        <f>VLOOKUP($A626,'STOCK DATA'!$A$2:$H$521,3,FALSE)</f>
        <v>2283.9</v>
      </c>
      <c r="E626">
        <f>VLOOKUP($A626,'STOCK DATA'!$A$2:$H$521,3,FALSE)</f>
        <v>2283.9</v>
      </c>
      <c r="F626">
        <f>VLOOKUP($A626,'STOCK DATA'!$A$2:$H$521,3,FALSE)</f>
        <v>2283.9</v>
      </c>
      <c r="G626">
        <f>VLOOKUP($A626,'STOCK DATA'!$A$2:$H$521,3,FALSE)</f>
        <v>2283.9</v>
      </c>
      <c r="H626">
        <f>VLOOKUP($A626,'STOCK DATA'!$A$2:$H$521,3,FALSE)</f>
        <v>2283.9</v>
      </c>
      <c r="I626">
        <f>VLOOKUP(A626,'Short-term interest Rates daily'!$A:$E,2,FALSE)</f>
        <v>12.58</v>
      </c>
      <c r="J626">
        <f>VLOOKUP(A626,'Short-term interest Rates daily'!$A:$E,3,FALSE)</f>
        <v>9.17</v>
      </c>
      <c r="K626">
        <f>VLOOKUP(A626,'Short-term interest Rates daily'!$A:$E,4,FALSE)</f>
        <v>9.75</v>
      </c>
      <c r="L626">
        <f>VLOOKUP(A626,'Short-term interest Rates daily'!$A:$E,5,FALSE)</f>
        <v>6.38</v>
      </c>
    </row>
    <row r="627" spans="1:12" x14ac:dyDescent="0.3">
      <c r="A627" s="1">
        <v>32038</v>
      </c>
      <c r="B627">
        <f>VLOOKUP(A627,'STOCK DATA'!$A$2:$H$522,2,FALSE)</f>
        <v>120.76</v>
      </c>
      <c r="C627">
        <f>VLOOKUP($A627,'STOCK DATA'!$A$2:H$521,3,FALSE)</f>
        <v>2305.4</v>
      </c>
      <c r="D627">
        <f>VLOOKUP($A627,'STOCK DATA'!$A$2:$H$521,3,FALSE)</f>
        <v>2305.4</v>
      </c>
      <c r="E627">
        <f>VLOOKUP($A627,'STOCK DATA'!$A$2:$H$521,3,FALSE)</f>
        <v>2305.4</v>
      </c>
      <c r="F627">
        <f>VLOOKUP($A627,'STOCK DATA'!$A$2:$H$521,3,FALSE)</f>
        <v>2305.4</v>
      </c>
      <c r="G627">
        <f>VLOOKUP($A627,'STOCK DATA'!$A$2:$H$521,3,FALSE)</f>
        <v>2305.4</v>
      </c>
      <c r="H627">
        <f>VLOOKUP($A627,'STOCK DATA'!$A$2:$H$521,3,FALSE)</f>
        <v>2305.4</v>
      </c>
      <c r="I627">
        <f>VLOOKUP(A627,'Short-term interest Rates daily'!$A:$E,2,FALSE)</f>
        <v>11.5</v>
      </c>
      <c r="J627">
        <f>VLOOKUP(A627,'Short-term interest Rates daily'!$A:$E,3,FALSE)</f>
        <v>9.17</v>
      </c>
      <c r="K627">
        <f>VLOOKUP(A627,'Short-term interest Rates daily'!$A:$E,4,FALSE)</f>
        <v>9.74</v>
      </c>
      <c r="L627">
        <f>VLOOKUP(A627,'Short-term interest Rates daily'!$A:$E,5,FALSE)</f>
        <v>6.42</v>
      </c>
    </row>
    <row r="628" spans="1:12" x14ac:dyDescent="0.3">
      <c r="A628" s="1">
        <v>32039</v>
      </c>
      <c r="B628" t="e">
        <f>VLOOKUP(A628,'STOCK DATA'!$A$2:$H$522,2,FALSE)</f>
        <v>#N/A</v>
      </c>
      <c r="C628" t="e">
        <f>VLOOKUP($A628,'STOCK DATA'!$A$2:H$521,3,FALSE)</f>
        <v>#N/A</v>
      </c>
      <c r="D628" t="e">
        <f>VLOOKUP($A628,'STOCK DATA'!$A$2:$H$521,3,FALSE)</f>
        <v>#N/A</v>
      </c>
      <c r="E628" t="e">
        <f>VLOOKUP($A628,'STOCK DATA'!$A$2:$H$521,3,FALSE)</f>
        <v>#N/A</v>
      </c>
      <c r="F628" t="e">
        <f>VLOOKUP($A628,'STOCK DATA'!$A$2:$H$521,3,FALSE)</f>
        <v>#N/A</v>
      </c>
      <c r="G628" t="e">
        <f>VLOOKUP($A628,'STOCK DATA'!$A$2:$H$521,3,FALSE)</f>
        <v>#N/A</v>
      </c>
      <c r="H628" t="e">
        <f>VLOOKUP($A628,'STOCK DATA'!$A$2:$H$521,3,FALSE)</f>
        <v>#N/A</v>
      </c>
      <c r="I628" t="e">
        <f>VLOOKUP(A628,'Short-term interest Rates daily'!$A:$E,2,FALSE)</f>
        <v>#N/A</v>
      </c>
      <c r="J628" t="e">
        <f>VLOOKUP(A628,'Short-term interest Rates daily'!$A:$E,3,FALSE)</f>
        <v>#N/A</v>
      </c>
      <c r="K628" t="e">
        <f>VLOOKUP(A628,'Short-term interest Rates daily'!$A:$E,4,FALSE)</f>
        <v>#N/A</v>
      </c>
      <c r="L628" t="e">
        <f>VLOOKUP(A628,'Short-term interest Rates daily'!$A:$E,5,FALSE)</f>
        <v>#N/A</v>
      </c>
    </row>
    <row r="629" spans="1:12" x14ac:dyDescent="0.3">
      <c r="A629" s="1">
        <v>32040</v>
      </c>
      <c r="B629" t="e">
        <f>VLOOKUP(A629,'STOCK DATA'!$A$2:$H$522,2,FALSE)</f>
        <v>#N/A</v>
      </c>
      <c r="C629" t="e">
        <f>VLOOKUP($A629,'STOCK DATA'!$A$2:H$521,3,FALSE)</f>
        <v>#N/A</v>
      </c>
      <c r="D629" t="e">
        <f>VLOOKUP($A629,'STOCK DATA'!$A$2:$H$521,3,FALSE)</f>
        <v>#N/A</v>
      </c>
      <c r="E629" t="e">
        <f>VLOOKUP($A629,'STOCK DATA'!$A$2:$H$521,3,FALSE)</f>
        <v>#N/A</v>
      </c>
      <c r="F629" t="e">
        <f>VLOOKUP($A629,'STOCK DATA'!$A$2:$H$521,3,FALSE)</f>
        <v>#N/A</v>
      </c>
      <c r="G629" t="e">
        <f>VLOOKUP($A629,'STOCK DATA'!$A$2:$H$521,3,FALSE)</f>
        <v>#N/A</v>
      </c>
      <c r="H629" t="e">
        <f>VLOOKUP($A629,'STOCK DATA'!$A$2:$H$521,3,FALSE)</f>
        <v>#N/A</v>
      </c>
      <c r="I629" t="e">
        <f>VLOOKUP(A629,'Short-term interest Rates daily'!$A:$E,2,FALSE)</f>
        <v>#N/A</v>
      </c>
      <c r="J629" t="e">
        <f>VLOOKUP(A629,'Short-term interest Rates daily'!$A:$E,3,FALSE)</f>
        <v>#N/A</v>
      </c>
      <c r="K629" t="e">
        <f>VLOOKUP(A629,'Short-term interest Rates daily'!$A:$E,4,FALSE)</f>
        <v>#N/A</v>
      </c>
      <c r="L629" t="e">
        <f>VLOOKUP(A629,'Short-term interest Rates daily'!$A:$E,5,FALSE)</f>
        <v>#N/A</v>
      </c>
    </row>
    <row r="630" spans="1:12" x14ac:dyDescent="0.3">
      <c r="A630" s="1">
        <v>32041</v>
      </c>
      <c r="B630">
        <f>VLOOKUP(A630,'STOCK DATA'!$A$2:$H$522,2,FALSE)</f>
        <v>120.55</v>
      </c>
      <c r="C630">
        <f>VLOOKUP($A630,'STOCK DATA'!$A$2:H$521,3,FALSE)</f>
        <v>2305.9</v>
      </c>
      <c r="D630">
        <f>VLOOKUP($A630,'STOCK DATA'!$A$2:$H$521,3,FALSE)</f>
        <v>2305.9</v>
      </c>
      <c r="E630">
        <f>VLOOKUP($A630,'STOCK DATA'!$A$2:$H$521,3,FALSE)</f>
        <v>2305.9</v>
      </c>
      <c r="F630">
        <f>VLOOKUP($A630,'STOCK DATA'!$A$2:$H$521,3,FALSE)</f>
        <v>2305.9</v>
      </c>
      <c r="G630">
        <f>VLOOKUP($A630,'STOCK DATA'!$A$2:$H$521,3,FALSE)</f>
        <v>2305.9</v>
      </c>
      <c r="H630">
        <f>VLOOKUP($A630,'STOCK DATA'!$A$2:$H$521,3,FALSE)</f>
        <v>2305.9</v>
      </c>
      <c r="I630">
        <f>VLOOKUP(A630,'Short-term interest Rates daily'!$A:$E,2,FALSE)</f>
        <v>11.5</v>
      </c>
      <c r="J630">
        <f>VLOOKUP(A630,'Short-term interest Rates daily'!$A:$E,3,FALSE)</f>
        <v>9.2100000000000009</v>
      </c>
      <c r="K630">
        <f>VLOOKUP(A630,'Short-term interest Rates daily'!$A:$E,4,FALSE)</f>
        <v>9.7100000000000009</v>
      </c>
      <c r="L630">
        <f>VLOOKUP(A630,'Short-term interest Rates daily'!$A:$E,5,FALSE)</f>
        <v>6.51</v>
      </c>
    </row>
    <row r="631" spans="1:12" x14ac:dyDescent="0.3">
      <c r="A631" s="1">
        <v>32042</v>
      </c>
      <c r="B631">
        <f>VLOOKUP(A631,'STOCK DATA'!$A$2:$H$522,2,FALSE)</f>
        <v>118.86</v>
      </c>
      <c r="C631">
        <f>VLOOKUP($A631,'STOCK DATA'!$A$2:H$521,3,FALSE)</f>
        <v>2291.6999999999998</v>
      </c>
      <c r="D631">
        <f>VLOOKUP($A631,'STOCK DATA'!$A$2:$H$521,3,FALSE)</f>
        <v>2291.6999999999998</v>
      </c>
      <c r="E631">
        <f>VLOOKUP($A631,'STOCK DATA'!$A$2:$H$521,3,FALSE)</f>
        <v>2291.6999999999998</v>
      </c>
      <c r="F631">
        <f>VLOOKUP($A631,'STOCK DATA'!$A$2:$H$521,3,FALSE)</f>
        <v>2291.6999999999998</v>
      </c>
      <c r="G631">
        <f>VLOOKUP($A631,'STOCK DATA'!$A$2:$H$521,3,FALSE)</f>
        <v>2291.6999999999998</v>
      </c>
      <c r="H631">
        <f>VLOOKUP($A631,'STOCK DATA'!$A$2:$H$521,3,FALSE)</f>
        <v>2291.6999999999998</v>
      </c>
      <c r="I631">
        <f>VLOOKUP(A631,'Short-term interest Rates daily'!$A:$E,2,FALSE)</f>
        <v>11.55</v>
      </c>
      <c r="J631">
        <f>VLOOKUP(A631,'Short-term interest Rates daily'!$A:$E,3,FALSE)</f>
        <v>9.2200000000000006</v>
      </c>
      <c r="K631">
        <f>VLOOKUP(A631,'Short-term interest Rates daily'!$A:$E,4,FALSE)</f>
        <v>9.7200000000000006</v>
      </c>
      <c r="L631">
        <f>VLOOKUP(A631,'Short-term interest Rates daily'!$A:$E,5,FALSE)</f>
        <v>6.49</v>
      </c>
    </row>
    <row r="632" spans="1:12" x14ac:dyDescent="0.3">
      <c r="A632" s="1">
        <v>32043</v>
      </c>
      <c r="B632">
        <f>VLOOKUP(A632,'STOCK DATA'!$A$2:$H$522,2,FALSE)</f>
        <v>121.93</v>
      </c>
      <c r="C632">
        <f>VLOOKUP($A632,'STOCK DATA'!$A$2:H$521,3,FALSE)</f>
        <v>2271</v>
      </c>
      <c r="D632">
        <f>VLOOKUP($A632,'STOCK DATA'!$A$2:$H$521,3,FALSE)</f>
        <v>2271</v>
      </c>
      <c r="E632">
        <f>VLOOKUP($A632,'STOCK DATA'!$A$2:$H$521,3,FALSE)</f>
        <v>2271</v>
      </c>
      <c r="F632">
        <f>VLOOKUP($A632,'STOCK DATA'!$A$2:$H$521,3,FALSE)</f>
        <v>2271</v>
      </c>
      <c r="G632">
        <f>VLOOKUP($A632,'STOCK DATA'!$A$2:$H$521,3,FALSE)</f>
        <v>2271</v>
      </c>
      <c r="H632">
        <f>VLOOKUP($A632,'STOCK DATA'!$A$2:$H$521,3,FALSE)</f>
        <v>2271</v>
      </c>
      <c r="I632">
        <f>VLOOKUP(A632,'Short-term interest Rates daily'!$A:$E,2,FALSE)</f>
        <v>11.43</v>
      </c>
      <c r="J632">
        <f>VLOOKUP(A632,'Short-term interest Rates daily'!$A:$E,3,FALSE)</f>
        <v>9.2899999999999991</v>
      </c>
      <c r="K632">
        <f>VLOOKUP(A632,'Short-term interest Rates daily'!$A:$E,4,FALSE)</f>
        <v>9.76</v>
      </c>
      <c r="L632">
        <f>VLOOKUP(A632,'Short-term interest Rates daily'!$A:$E,5,FALSE)</f>
        <v>6.47</v>
      </c>
    </row>
    <row r="633" spans="1:12" x14ac:dyDescent="0.3">
      <c r="A633" s="1">
        <v>32044</v>
      </c>
      <c r="B633">
        <f>VLOOKUP(A633,'STOCK DATA'!$A$2:$H$522,2,FALSE)</f>
        <v>120.05</v>
      </c>
      <c r="C633">
        <f>VLOOKUP($A633,'STOCK DATA'!$A$2:H$521,3,FALSE)</f>
        <v>2277.6</v>
      </c>
      <c r="D633">
        <f>VLOOKUP($A633,'STOCK DATA'!$A$2:$H$521,3,FALSE)</f>
        <v>2277.6</v>
      </c>
      <c r="E633">
        <f>VLOOKUP($A633,'STOCK DATA'!$A$2:$H$521,3,FALSE)</f>
        <v>2277.6</v>
      </c>
      <c r="F633">
        <f>VLOOKUP($A633,'STOCK DATA'!$A$2:$H$521,3,FALSE)</f>
        <v>2277.6</v>
      </c>
      <c r="G633">
        <f>VLOOKUP($A633,'STOCK DATA'!$A$2:$H$521,3,FALSE)</f>
        <v>2277.6</v>
      </c>
      <c r="H633">
        <f>VLOOKUP($A633,'STOCK DATA'!$A$2:$H$521,3,FALSE)</f>
        <v>2277.6</v>
      </c>
      <c r="I633">
        <f>VLOOKUP(A633,'Short-term interest Rates daily'!$A:$E,2,FALSE)</f>
        <v>11.7</v>
      </c>
      <c r="J633">
        <f>VLOOKUP(A633,'Short-term interest Rates daily'!$A:$E,3,FALSE)</f>
        <v>9.35</v>
      </c>
      <c r="K633">
        <f>VLOOKUP(A633,'Short-term interest Rates daily'!$A:$E,4,FALSE)</f>
        <v>9.77</v>
      </c>
      <c r="L633">
        <f>VLOOKUP(A633,'Short-term interest Rates daily'!$A:$E,5,FALSE)</f>
        <v>6.41</v>
      </c>
    </row>
    <row r="634" spans="1:12" x14ac:dyDescent="0.3">
      <c r="A634" s="1">
        <v>32045</v>
      </c>
      <c r="B634">
        <f>VLOOKUP(A634,'STOCK DATA'!$A$2:$H$522,2,FALSE)</f>
        <v>120.52</v>
      </c>
      <c r="C634">
        <f>VLOOKUP($A634,'STOCK DATA'!$A$2:H$521,3,FALSE)</f>
        <v>2282.5</v>
      </c>
      <c r="D634">
        <f>VLOOKUP($A634,'STOCK DATA'!$A$2:$H$521,3,FALSE)</f>
        <v>2282.5</v>
      </c>
      <c r="E634">
        <f>VLOOKUP($A634,'STOCK DATA'!$A$2:$H$521,3,FALSE)</f>
        <v>2282.5</v>
      </c>
      <c r="F634">
        <f>VLOOKUP($A634,'STOCK DATA'!$A$2:$H$521,3,FALSE)</f>
        <v>2282.5</v>
      </c>
      <c r="G634">
        <f>VLOOKUP($A634,'STOCK DATA'!$A$2:$H$521,3,FALSE)</f>
        <v>2282.5</v>
      </c>
      <c r="H634">
        <f>VLOOKUP($A634,'STOCK DATA'!$A$2:$H$521,3,FALSE)</f>
        <v>2282.5</v>
      </c>
      <c r="I634">
        <f>VLOOKUP(A634,'Short-term interest Rates daily'!$A:$E,2,FALSE)</f>
        <v>11.1</v>
      </c>
      <c r="J634">
        <f>VLOOKUP(A634,'Short-term interest Rates daily'!$A:$E,3,FALSE)</f>
        <v>9.34</v>
      </c>
      <c r="K634">
        <f>VLOOKUP(A634,'Short-term interest Rates daily'!$A:$E,4,FALSE)</f>
        <v>9.83</v>
      </c>
      <c r="L634">
        <f>VLOOKUP(A634,'Short-term interest Rates daily'!$A:$E,5,FALSE)</f>
        <v>6.5</v>
      </c>
    </row>
    <row r="635" spans="1:12" x14ac:dyDescent="0.3">
      <c r="A635" s="1">
        <v>32046</v>
      </c>
      <c r="B635" t="e">
        <f>VLOOKUP(A635,'STOCK DATA'!$A$2:$H$522,2,FALSE)</f>
        <v>#N/A</v>
      </c>
      <c r="C635" t="e">
        <f>VLOOKUP($A635,'STOCK DATA'!$A$2:H$521,3,FALSE)</f>
        <v>#N/A</v>
      </c>
      <c r="D635" t="e">
        <f>VLOOKUP($A635,'STOCK DATA'!$A$2:$H$521,3,FALSE)</f>
        <v>#N/A</v>
      </c>
      <c r="E635" t="e">
        <f>VLOOKUP($A635,'STOCK DATA'!$A$2:$H$521,3,FALSE)</f>
        <v>#N/A</v>
      </c>
      <c r="F635" t="e">
        <f>VLOOKUP($A635,'STOCK DATA'!$A$2:$H$521,3,FALSE)</f>
        <v>#N/A</v>
      </c>
      <c r="G635" t="e">
        <f>VLOOKUP($A635,'STOCK DATA'!$A$2:$H$521,3,FALSE)</f>
        <v>#N/A</v>
      </c>
      <c r="H635" t="e">
        <f>VLOOKUP($A635,'STOCK DATA'!$A$2:$H$521,3,FALSE)</f>
        <v>#N/A</v>
      </c>
      <c r="I635" t="e">
        <f>VLOOKUP(A635,'Short-term interest Rates daily'!$A:$E,2,FALSE)</f>
        <v>#N/A</v>
      </c>
      <c r="J635" t="e">
        <f>VLOOKUP(A635,'Short-term interest Rates daily'!$A:$E,3,FALSE)</f>
        <v>#N/A</v>
      </c>
      <c r="K635" t="e">
        <f>VLOOKUP(A635,'Short-term interest Rates daily'!$A:$E,4,FALSE)</f>
        <v>#N/A</v>
      </c>
      <c r="L635" t="e">
        <f>VLOOKUP(A635,'Short-term interest Rates daily'!$A:$E,5,FALSE)</f>
        <v>#N/A</v>
      </c>
    </row>
    <row r="636" spans="1:12" x14ac:dyDescent="0.3">
      <c r="A636" s="1">
        <v>32047</v>
      </c>
      <c r="B636" t="e">
        <f>VLOOKUP(A636,'STOCK DATA'!$A$2:$H$522,2,FALSE)</f>
        <v>#N/A</v>
      </c>
      <c r="C636" t="e">
        <f>VLOOKUP($A636,'STOCK DATA'!$A$2:H$521,3,FALSE)</f>
        <v>#N/A</v>
      </c>
      <c r="D636" t="e">
        <f>VLOOKUP($A636,'STOCK DATA'!$A$2:$H$521,3,FALSE)</f>
        <v>#N/A</v>
      </c>
      <c r="E636" t="e">
        <f>VLOOKUP($A636,'STOCK DATA'!$A$2:$H$521,3,FALSE)</f>
        <v>#N/A</v>
      </c>
      <c r="F636" t="e">
        <f>VLOOKUP($A636,'STOCK DATA'!$A$2:$H$521,3,FALSE)</f>
        <v>#N/A</v>
      </c>
      <c r="G636" t="e">
        <f>VLOOKUP($A636,'STOCK DATA'!$A$2:$H$521,3,FALSE)</f>
        <v>#N/A</v>
      </c>
      <c r="H636" t="e">
        <f>VLOOKUP($A636,'STOCK DATA'!$A$2:$H$521,3,FALSE)</f>
        <v>#N/A</v>
      </c>
      <c r="I636" t="e">
        <f>VLOOKUP(A636,'Short-term interest Rates daily'!$A:$E,2,FALSE)</f>
        <v>#N/A</v>
      </c>
      <c r="J636" t="e">
        <f>VLOOKUP(A636,'Short-term interest Rates daily'!$A:$E,3,FALSE)</f>
        <v>#N/A</v>
      </c>
      <c r="K636" t="e">
        <f>VLOOKUP(A636,'Short-term interest Rates daily'!$A:$E,4,FALSE)</f>
        <v>#N/A</v>
      </c>
      <c r="L636" t="e">
        <f>VLOOKUP(A636,'Short-term interest Rates daily'!$A:$E,5,FALSE)</f>
        <v>#N/A</v>
      </c>
    </row>
    <row r="637" spans="1:12" x14ac:dyDescent="0.3">
      <c r="A637" s="1">
        <v>32048</v>
      </c>
      <c r="B637">
        <f>VLOOKUP(A637,'STOCK DATA'!$A$2:$H$522,2,FALSE)</f>
        <v>121.57</v>
      </c>
      <c r="C637">
        <f>VLOOKUP($A637,'STOCK DATA'!$A$2:H$521,3,FALSE)</f>
        <v>2274.4</v>
      </c>
      <c r="D637">
        <f>VLOOKUP($A637,'STOCK DATA'!$A$2:$H$521,3,FALSE)</f>
        <v>2274.4</v>
      </c>
      <c r="E637">
        <f>VLOOKUP($A637,'STOCK DATA'!$A$2:$H$521,3,FALSE)</f>
        <v>2274.4</v>
      </c>
      <c r="F637">
        <f>VLOOKUP($A637,'STOCK DATA'!$A$2:$H$521,3,FALSE)</f>
        <v>2274.4</v>
      </c>
      <c r="G637">
        <f>VLOOKUP($A637,'STOCK DATA'!$A$2:$H$521,3,FALSE)</f>
        <v>2274.4</v>
      </c>
      <c r="H637">
        <f>VLOOKUP($A637,'STOCK DATA'!$A$2:$H$521,3,FALSE)</f>
        <v>2274.4</v>
      </c>
      <c r="I637">
        <f>VLOOKUP(A637,'Short-term interest Rates daily'!$A:$E,2,FALSE)</f>
        <v>11.18</v>
      </c>
      <c r="J637">
        <f>VLOOKUP(A637,'Short-term interest Rates daily'!$A:$E,3,FALSE)</f>
        <v>9.34</v>
      </c>
      <c r="K637">
        <f>VLOOKUP(A637,'Short-term interest Rates daily'!$A:$E,4,FALSE)</f>
        <v>9.83</v>
      </c>
      <c r="L637">
        <f>VLOOKUP(A637,'Short-term interest Rates daily'!$A:$E,5,FALSE)</f>
        <v>6.53</v>
      </c>
    </row>
    <row r="638" spans="1:12" x14ac:dyDescent="0.3">
      <c r="A638" s="1">
        <v>32049</v>
      </c>
      <c r="B638">
        <f>VLOOKUP(A638,'STOCK DATA'!$A$2:$H$522,2,FALSE)</f>
        <v>121.61</v>
      </c>
      <c r="C638">
        <f>VLOOKUP($A638,'STOCK DATA'!$A$2:H$521,3,FALSE)</f>
        <v>2262.8000000000002</v>
      </c>
      <c r="D638">
        <f>VLOOKUP($A638,'STOCK DATA'!$A$2:$H$521,3,FALSE)</f>
        <v>2262.8000000000002</v>
      </c>
      <c r="E638">
        <f>VLOOKUP($A638,'STOCK DATA'!$A$2:$H$521,3,FALSE)</f>
        <v>2262.8000000000002</v>
      </c>
      <c r="F638">
        <f>VLOOKUP($A638,'STOCK DATA'!$A$2:$H$521,3,FALSE)</f>
        <v>2262.8000000000002</v>
      </c>
      <c r="G638">
        <f>VLOOKUP($A638,'STOCK DATA'!$A$2:$H$521,3,FALSE)</f>
        <v>2262.8000000000002</v>
      </c>
      <c r="H638">
        <f>VLOOKUP($A638,'STOCK DATA'!$A$2:$H$521,3,FALSE)</f>
        <v>2262.8000000000002</v>
      </c>
      <c r="I638">
        <f>VLOOKUP(A638,'Short-term interest Rates daily'!$A:$E,2,FALSE)</f>
        <v>11.28</v>
      </c>
      <c r="J638">
        <f>VLOOKUP(A638,'Short-term interest Rates daily'!$A:$E,3,FALSE)</f>
        <v>9.36</v>
      </c>
      <c r="K638">
        <f>VLOOKUP(A638,'Short-term interest Rates daily'!$A:$E,4,FALSE)</f>
        <v>9.84</v>
      </c>
      <c r="L638">
        <f>VLOOKUP(A638,'Short-term interest Rates daily'!$A:$E,5,FALSE)</f>
        <v>6.69</v>
      </c>
    </row>
    <row r="639" spans="1:12" x14ac:dyDescent="0.3">
      <c r="A639" s="1">
        <v>32050</v>
      </c>
      <c r="B639">
        <f>VLOOKUP(A639,'STOCK DATA'!$A$2:$H$522,2,FALSE)</f>
        <v>121.3</v>
      </c>
      <c r="C639">
        <f>VLOOKUP($A639,'STOCK DATA'!$A$2:H$521,3,FALSE)</f>
        <v>2247.6</v>
      </c>
      <c r="D639">
        <f>VLOOKUP($A639,'STOCK DATA'!$A$2:$H$521,3,FALSE)</f>
        <v>2247.6</v>
      </c>
      <c r="E639">
        <f>VLOOKUP($A639,'STOCK DATA'!$A$2:$H$521,3,FALSE)</f>
        <v>2247.6</v>
      </c>
      <c r="F639">
        <f>VLOOKUP($A639,'STOCK DATA'!$A$2:$H$521,3,FALSE)</f>
        <v>2247.6</v>
      </c>
      <c r="G639">
        <f>VLOOKUP($A639,'STOCK DATA'!$A$2:$H$521,3,FALSE)</f>
        <v>2247.6</v>
      </c>
      <c r="H639">
        <f>VLOOKUP($A639,'STOCK DATA'!$A$2:$H$521,3,FALSE)</f>
        <v>2247.6</v>
      </c>
      <c r="I639">
        <f>VLOOKUP(A639,'Short-term interest Rates daily'!$A:$E,2,FALSE)</f>
        <v>11.63</v>
      </c>
      <c r="J639">
        <f>VLOOKUP(A639,'Short-term interest Rates daily'!$A:$E,3,FALSE)</f>
        <v>9.39</v>
      </c>
      <c r="K639">
        <f>VLOOKUP(A639,'Short-term interest Rates daily'!$A:$E,4,FALSE)</f>
        <v>9.8699999999999992</v>
      </c>
      <c r="L639">
        <f>VLOOKUP(A639,'Short-term interest Rates daily'!$A:$E,5,FALSE)</f>
        <v>6.61</v>
      </c>
    </row>
    <row r="640" spans="1:12" x14ac:dyDescent="0.3">
      <c r="A640" s="1">
        <v>32051</v>
      </c>
      <c r="B640">
        <f>VLOOKUP(A640,'STOCK DATA'!$A$2:$H$522,2,FALSE)</f>
        <v>121.67</v>
      </c>
      <c r="C640">
        <f>VLOOKUP($A640,'STOCK DATA'!$A$2:H$521,3,FALSE)</f>
        <v>2247.6</v>
      </c>
      <c r="D640">
        <f>VLOOKUP($A640,'STOCK DATA'!$A$2:$H$521,3,FALSE)</f>
        <v>2247.6</v>
      </c>
      <c r="E640">
        <f>VLOOKUP($A640,'STOCK DATA'!$A$2:$H$521,3,FALSE)</f>
        <v>2247.6</v>
      </c>
      <c r="F640">
        <f>VLOOKUP($A640,'STOCK DATA'!$A$2:$H$521,3,FALSE)</f>
        <v>2247.6</v>
      </c>
      <c r="G640">
        <f>VLOOKUP($A640,'STOCK DATA'!$A$2:$H$521,3,FALSE)</f>
        <v>2247.6</v>
      </c>
      <c r="H640">
        <f>VLOOKUP($A640,'STOCK DATA'!$A$2:$H$521,3,FALSE)</f>
        <v>2247.6</v>
      </c>
      <c r="I640">
        <f>VLOOKUP(A640,'Short-term interest Rates daily'!$A:$E,2,FALSE)</f>
        <v>11.4</v>
      </c>
      <c r="J640">
        <f>VLOOKUP(A640,'Short-term interest Rates daily'!$A:$E,3,FALSE)</f>
        <v>9.3699999999999992</v>
      </c>
      <c r="K640">
        <f>VLOOKUP(A640,'Short-term interest Rates daily'!$A:$E,4,FALSE)</f>
        <v>9.84</v>
      </c>
      <c r="L640">
        <f>VLOOKUP(A640,'Short-term interest Rates daily'!$A:$E,5,FALSE)</f>
        <v>6.63</v>
      </c>
    </row>
    <row r="641" spans="1:12" x14ac:dyDescent="0.3">
      <c r="A641" s="1">
        <v>32052</v>
      </c>
      <c r="B641">
        <f>VLOOKUP(A641,'STOCK DATA'!$A$2:$H$522,2,FALSE)</f>
        <v>121.66</v>
      </c>
      <c r="C641">
        <f>VLOOKUP($A641,'STOCK DATA'!$A$2:H$521,3,FALSE)</f>
        <v>2247.6</v>
      </c>
      <c r="D641">
        <f>VLOOKUP($A641,'STOCK DATA'!$A$2:$H$521,3,FALSE)</f>
        <v>2247.6</v>
      </c>
      <c r="E641">
        <f>VLOOKUP($A641,'STOCK DATA'!$A$2:$H$521,3,FALSE)</f>
        <v>2247.6</v>
      </c>
      <c r="F641">
        <f>VLOOKUP($A641,'STOCK DATA'!$A$2:$H$521,3,FALSE)</f>
        <v>2247.6</v>
      </c>
      <c r="G641">
        <f>VLOOKUP($A641,'STOCK DATA'!$A$2:$H$521,3,FALSE)</f>
        <v>2247.6</v>
      </c>
      <c r="H641">
        <f>VLOOKUP($A641,'STOCK DATA'!$A$2:$H$521,3,FALSE)</f>
        <v>2247.6</v>
      </c>
      <c r="I641">
        <f>VLOOKUP(A641,'Short-term interest Rates daily'!$A:$E,2,FALSE)</f>
        <v>11.18</v>
      </c>
      <c r="J641">
        <f>VLOOKUP(A641,'Short-term interest Rates daily'!$A:$E,3,FALSE)</f>
        <v>9.36</v>
      </c>
      <c r="K641">
        <f>VLOOKUP(A641,'Short-term interest Rates daily'!$A:$E,4,FALSE)</f>
        <v>9.8699999999999992</v>
      </c>
      <c r="L641">
        <f>VLOOKUP(A641,'Short-term interest Rates daily'!$A:$E,5,FALSE)</f>
        <v>6.66</v>
      </c>
    </row>
    <row r="642" spans="1:12" x14ac:dyDescent="0.3">
      <c r="A642" s="1">
        <v>32053</v>
      </c>
      <c r="B642" t="e">
        <f>VLOOKUP(A642,'STOCK DATA'!$A$2:$H$522,2,FALSE)</f>
        <v>#N/A</v>
      </c>
      <c r="C642" t="e">
        <f>VLOOKUP($A642,'STOCK DATA'!$A$2:H$521,3,FALSE)</f>
        <v>#N/A</v>
      </c>
      <c r="D642" t="e">
        <f>VLOOKUP($A642,'STOCK DATA'!$A$2:$H$521,3,FALSE)</f>
        <v>#N/A</v>
      </c>
      <c r="E642" t="e">
        <f>VLOOKUP($A642,'STOCK DATA'!$A$2:$H$521,3,FALSE)</f>
        <v>#N/A</v>
      </c>
      <c r="F642" t="e">
        <f>VLOOKUP($A642,'STOCK DATA'!$A$2:$H$521,3,FALSE)</f>
        <v>#N/A</v>
      </c>
      <c r="G642" t="e">
        <f>VLOOKUP($A642,'STOCK DATA'!$A$2:$H$521,3,FALSE)</f>
        <v>#N/A</v>
      </c>
      <c r="H642" t="e">
        <f>VLOOKUP($A642,'STOCK DATA'!$A$2:$H$521,3,FALSE)</f>
        <v>#N/A</v>
      </c>
      <c r="I642" t="e">
        <f>VLOOKUP(A642,'Short-term interest Rates daily'!$A:$E,2,FALSE)</f>
        <v>#N/A</v>
      </c>
      <c r="J642" t="e">
        <f>VLOOKUP(A642,'Short-term interest Rates daily'!$A:$E,3,FALSE)</f>
        <v>#N/A</v>
      </c>
      <c r="K642" t="e">
        <f>VLOOKUP(A642,'Short-term interest Rates daily'!$A:$E,4,FALSE)</f>
        <v>#N/A</v>
      </c>
      <c r="L642" t="e">
        <f>VLOOKUP(A642,'Short-term interest Rates daily'!$A:$E,5,FALSE)</f>
        <v>#N/A</v>
      </c>
    </row>
    <row r="643" spans="1:12" x14ac:dyDescent="0.3">
      <c r="A643" s="1">
        <v>32054</v>
      </c>
      <c r="B643" t="e">
        <f>VLOOKUP(A643,'STOCK DATA'!$A$2:$H$522,2,FALSE)</f>
        <v>#N/A</v>
      </c>
      <c r="C643" t="e">
        <f>VLOOKUP($A643,'STOCK DATA'!$A$2:H$521,3,FALSE)</f>
        <v>#N/A</v>
      </c>
      <c r="D643" t="e">
        <f>VLOOKUP($A643,'STOCK DATA'!$A$2:$H$521,3,FALSE)</f>
        <v>#N/A</v>
      </c>
      <c r="E643" t="e">
        <f>VLOOKUP($A643,'STOCK DATA'!$A$2:$H$521,3,FALSE)</f>
        <v>#N/A</v>
      </c>
      <c r="F643" t="e">
        <f>VLOOKUP($A643,'STOCK DATA'!$A$2:$H$521,3,FALSE)</f>
        <v>#N/A</v>
      </c>
      <c r="G643" t="e">
        <f>VLOOKUP($A643,'STOCK DATA'!$A$2:$H$521,3,FALSE)</f>
        <v>#N/A</v>
      </c>
      <c r="H643" t="e">
        <f>VLOOKUP($A643,'STOCK DATA'!$A$2:$H$521,3,FALSE)</f>
        <v>#N/A</v>
      </c>
      <c r="I643" t="e">
        <f>VLOOKUP(A643,'Short-term interest Rates daily'!$A:$E,2,FALSE)</f>
        <v>#N/A</v>
      </c>
      <c r="J643" t="e">
        <f>VLOOKUP(A643,'Short-term interest Rates daily'!$A:$E,3,FALSE)</f>
        <v>#N/A</v>
      </c>
      <c r="K643" t="e">
        <f>VLOOKUP(A643,'Short-term interest Rates daily'!$A:$E,4,FALSE)</f>
        <v>#N/A</v>
      </c>
      <c r="L643" t="e">
        <f>VLOOKUP(A643,'Short-term interest Rates daily'!$A:$E,5,FALSE)</f>
        <v>#N/A</v>
      </c>
    </row>
    <row r="644" spans="1:12" x14ac:dyDescent="0.3">
      <c r="A644" s="1">
        <v>32055</v>
      </c>
      <c r="B644">
        <f>VLOOKUP(A644,'STOCK DATA'!$A$2:$H$522,2,FALSE)</f>
        <v>122.01</v>
      </c>
      <c r="C644">
        <f>VLOOKUP($A644,'STOCK DATA'!$A$2:H$521,3,FALSE)</f>
        <v>2247.6</v>
      </c>
      <c r="D644">
        <f>VLOOKUP($A644,'STOCK DATA'!$A$2:$H$521,3,FALSE)</f>
        <v>2247.6</v>
      </c>
      <c r="E644">
        <f>VLOOKUP($A644,'STOCK DATA'!$A$2:$H$521,3,FALSE)</f>
        <v>2247.6</v>
      </c>
      <c r="F644">
        <f>VLOOKUP($A644,'STOCK DATA'!$A$2:$H$521,3,FALSE)</f>
        <v>2247.6</v>
      </c>
      <c r="G644">
        <f>VLOOKUP($A644,'STOCK DATA'!$A$2:$H$521,3,FALSE)</f>
        <v>2247.6</v>
      </c>
      <c r="H644">
        <f>VLOOKUP($A644,'STOCK DATA'!$A$2:$H$521,3,FALSE)</f>
        <v>2247.6</v>
      </c>
      <c r="I644">
        <f>VLOOKUP(A644,'Short-term interest Rates daily'!$A:$E,2,FALSE)</f>
        <v>11.05</v>
      </c>
      <c r="J644">
        <f>VLOOKUP(A644,'Short-term interest Rates daily'!$A:$E,3,FALSE)</f>
        <v>9.34</v>
      </c>
      <c r="K644">
        <f>VLOOKUP(A644,'Short-term interest Rates daily'!$A:$E,4,FALSE)</f>
        <v>9.82</v>
      </c>
      <c r="L644">
        <f>VLOOKUP(A644,'Short-term interest Rates daily'!$A:$E,5,FALSE)</f>
        <v>6.68</v>
      </c>
    </row>
    <row r="645" spans="1:12" x14ac:dyDescent="0.3">
      <c r="A645" s="1">
        <v>32056</v>
      </c>
      <c r="B645">
        <f>VLOOKUP(A645,'STOCK DATA'!$A$2:$H$522,2,FALSE)</f>
        <v>120.68</v>
      </c>
      <c r="C645">
        <f>VLOOKUP($A645,'STOCK DATA'!$A$2:H$521,3,FALSE)</f>
        <v>2247</v>
      </c>
      <c r="D645">
        <f>VLOOKUP($A645,'STOCK DATA'!$A$2:$H$521,3,FALSE)</f>
        <v>2247</v>
      </c>
      <c r="E645">
        <f>VLOOKUP($A645,'STOCK DATA'!$A$2:$H$521,3,FALSE)</f>
        <v>2247</v>
      </c>
      <c r="F645">
        <f>VLOOKUP($A645,'STOCK DATA'!$A$2:$H$521,3,FALSE)</f>
        <v>2247</v>
      </c>
      <c r="G645">
        <f>VLOOKUP($A645,'STOCK DATA'!$A$2:$H$521,3,FALSE)</f>
        <v>2247</v>
      </c>
      <c r="H645">
        <f>VLOOKUP($A645,'STOCK DATA'!$A$2:$H$521,3,FALSE)</f>
        <v>2247</v>
      </c>
      <c r="I645">
        <f>VLOOKUP(A645,'Short-term interest Rates daily'!$A:$E,2,FALSE)</f>
        <v>10.98</v>
      </c>
      <c r="J645">
        <f>VLOOKUP(A645,'Short-term interest Rates daily'!$A:$E,3,FALSE)</f>
        <v>9.35</v>
      </c>
      <c r="K645">
        <f>VLOOKUP(A645,'Short-term interest Rates daily'!$A:$E,4,FALSE)</f>
        <v>9.81</v>
      </c>
      <c r="L645">
        <f>VLOOKUP(A645,'Short-term interest Rates daily'!$A:$E,5,FALSE)</f>
        <v>6.55</v>
      </c>
    </row>
    <row r="646" spans="1:12" x14ac:dyDescent="0.3">
      <c r="A646" s="1">
        <v>32057</v>
      </c>
      <c r="B646">
        <f>VLOOKUP(A646,'STOCK DATA'!$A$2:$H$522,2,FALSE)</f>
        <v>119.39</v>
      </c>
      <c r="C646">
        <f>VLOOKUP($A646,'STOCK DATA'!$A$2:H$521,3,FALSE)</f>
        <v>2217.3000000000002</v>
      </c>
      <c r="D646">
        <f>VLOOKUP($A646,'STOCK DATA'!$A$2:$H$521,3,FALSE)</f>
        <v>2217.3000000000002</v>
      </c>
      <c r="E646">
        <f>VLOOKUP($A646,'STOCK DATA'!$A$2:$H$521,3,FALSE)</f>
        <v>2217.3000000000002</v>
      </c>
      <c r="F646">
        <f>VLOOKUP($A646,'STOCK DATA'!$A$2:$H$521,3,FALSE)</f>
        <v>2217.3000000000002</v>
      </c>
      <c r="G646">
        <f>VLOOKUP($A646,'STOCK DATA'!$A$2:$H$521,3,FALSE)</f>
        <v>2217.3000000000002</v>
      </c>
      <c r="H646">
        <f>VLOOKUP($A646,'STOCK DATA'!$A$2:$H$521,3,FALSE)</f>
        <v>2217.3000000000002</v>
      </c>
      <c r="I646">
        <f>VLOOKUP(A646,'Short-term interest Rates daily'!$A:$E,2,FALSE)</f>
        <v>11.18</v>
      </c>
      <c r="J646">
        <f>VLOOKUP(A646,'Short-term interest Rates daily'!$A:$E,3,FALSE)</f>
        <v>9.35</v>
      </c>
      <c r="K646">
        <f>VLOOKUP(A646,'Short-term interest Rates daily'!$A:$E,4,FALSE)</f>
        <v>9.83</v>
      </c>
      <c r="L646">
        <f>VLOOKUP(A646,'Short-term interest Rates daily'!$A:$E,5,FALSE)</f>
        <v>6.56</v>
      </c>
    </row>
    <row r="647" spans="1:12" x14ac:dyDescent="0.3">
      <c r="A647" s="1">
        <v>32058</v>
      </c>
      <c r="B647">
        <f>VLOOKUP(A647,'STOCK DATA'!$A$2:$H$522,2,FALSE)</f>
        <v>119.72</v>
      </c>
      <c r="C647">
        <f>VLOOKUP($A647,'STOCK DATA'!$A$2:H$521,3,FALSE)</f>
        <v>2223</v>
      </c>
      <c r="D647">
        <f>VLOOKUP($A647,'STOCK DATA'!$A$2:$H$521,3,FALSE)</f>
        <v>2223</v>
      </c>
      <c r="E647">
        <f>VLOOKUP($A647,'STOCK DATA'!$A$2:$H$521,3,FALSE)</f>
        <v>2223</v>
      </c>
      <c r="F647">
        <f>VLOOKUP($A647,'STOCK DATA'!$A$2:$H$521,3,FALSE)</f>
        <v>2223</v>
      </c>
      <c r="G647">
        <f>VLOOKUP($A647,'STOCK DATA'!$A$2:$H$521,3,FALSE)</f>
        <v>2223</v>
      </c>
      <c r="H647">
        <f>VLOOKUP($A647,'STOCK DATA'!$A$2:$H$521,3,FALSE)</f>
        <v>2223</v>
      </c>
      <c r="I647">
        <f>VLOOKUP(A647,'Short-term interest Rates daily'!$A:$E,2,FALSE)</f>
        <v>11.28</v>
      </c>
      <c r="J647">
        <f>VLOOKUP(A647,'Short-term interest Rates daily'!$A:$E,3,FALSE)</f>
        <v>9.5299999999999994</v>
      </c>
      <c r="K647">
        <f>VLOOKUP(A647,'Short-term interest Rates daily'!$A:$E,4,FALSE)</f>
        <v>9.85</v>
      </c>
      <c r="L647">
        <f>VLOOKUP(A647,'Short-term interest Rates daily'!$A:$E,5,FALSE)</f>
        <v>6.69</v>
      </c>
    </row>
    <row r="648" spans="1:12" x14ac:dyDescent="0.3">
      <c r="A648" s="1">
        <v>32059</v>
      </c>
      <c r="B648">
        <f>VLOOKUP(A648,'STOCK DATA'!$A$2:$H$522,2,FALSE)</f>
        <v>118.01</v>
      </c>
      <c r="C648">
        <f>VLOOKUP($A648,'STOCK DATA'!$A$2:H$521,3,FALSE)</f>
        <v>2220.5</v>
      </c>
      <c r="D648">
        <f>VLOOKUP($A648,'STOCK DATA'!$A$2:$H$521,3,FALSE)</f>
        <v>2220.5</v>
      </c>
      <c r="E648">
        <f>VLOOKUP($A648,'STOCK DATA'!$A$2:$H$521,3,FALSE)</f>
        <v>2220.5</v>
      </c>
      <c r="F648">
        <f>VLOOKUP($A648,'STOCK DATA'!$A$2:$H$521,3,FALSE)</f>
        <v>2220.5</v>
      </c>
      <c r="G648">
        <f>VLOOKUP($A648,'STOCK DATA'!$A$2:$H$521,3,FALSE)</f>
        <v>2220.5</v>
      </c>
      <c r="H648">
        <f>VLOOKUP($A648,'STOCK DATA'!$A$2:$H$521,3,FALSE)</f>
        <v>2220.5</v>
      </c>
      <c r="I648">
        <f>VLOOKUP(A648,'Short-term interest Rates daily'!$A:$E,2,FALSE)</f>
        <v>11.4</v>
      </c>
      <c r="J648">
        <f>VLOOKUP(A648,'Short-term interest Rates daily'!$A:$E,3,FALSE)</f>
        <v>9.6</v>
      </c>
      <c r="K648">
        <f>VLOOKUP(A648,'Short-term interest Rates daily'!$A:$E,4,FALSE)</f>
        <v>9.86</v>
      </c>
      <c r="L648">
        <f>VLOOKUP(A648,'Short-term interest Rates daily'!$A:$E,5,FALSE)</f>
        <v>6.75</v>
      </c>
    </row>
    <row r="649" spans="1:12" x14ac:dyDescent="0.3">
      <c r="A649" s="1">
        <v>32060</v>
      </c>
      <c r="B649" t="e">
        <f>VLOOKUP(A649,'STOCK DATA'!$A$2:$H$522,2,FALSE)</f>
        <v>#N/A</v>
      </c>
      <c r="C649" t="e">
        <f>VLOOKUP($A649,'STOCK DATA'!$A$2:H$521,3,FALSE)</f>
        <v>#N/A</v>
      </c>
      <c r="D649" t="e">
        <f>VLOOKUP($A649,'STOCK DATA'!$A$2:$H$521,3,FALSE)</f>
        <v>#N/A</v>
      </c>
      <c r="E649" t="e">
        <f>VLOOKUP($A649,'STOCK DATA'!$A$2:$H$521,3,FALSE)</f>
        <v>#N/A</v>
      </c>
      <c r="F649" t="e">
        <f>VLOOKUP($A649,'STOCK DATA'!$A$2:$H$521,3,FALSE)</f>
        <v>#N/A</v>
      </c>
      <c r="G649" t="e">
        <f>VLOOKUP($A649,'STOCK DATA'!$A$2:$H$521,3,FALSE)</f>
        <v>#N/A</v>
      </c>
      <c r="H649" t="e">
        <f>VLOOKUP($A649,'STOCK DATA'!$A$2:$H$521,3,FALSE)</f>
        <v>#N/A</v>
      </c>
      <c r="I649" t="e">
        <f>VLOOKUP(A649,'Short-term interest Rates daily'!$A:$E,2,FALSE)</f>
        <v>#N/A</v>
      </c>
      <c r="J649" t="e">
        <f>VLOOKUP(A649,'Short-term interest Rates daily'!$A:$E,3,FALSE)</f>
        <v>#N/A</v>
      </c>
      <c r="K649" t="e">
        <f>VLOOKUP(A649,'Short-term interest Rates daily'!$A:$E,4,FALSE)</f>
        <v>#N/A</v>
      </c>
      <c r="L649" t="e">
        <f>VLOOKUP(A649,'Short-term interest Rates daily'!$A:$E,5,FALSE)</f>
        <v>#N/A</v>
      </c>
    </row>
    <row r="650" spans="1:12" x14ac:dyDescent="0.3">
      <c r="A650" s="1">
        <v>32061</v>
      </c>
      <c r="B650" t="e">
        <f>VLOOKUP(A650,'STOCK DATA'!$A$2:$H$522,2,FALSE)</f>
        <v>#N/A</v>
      </c>
      <c r="C650" t="e">
        <f>VLOOKUP($A650,'STOCK DATA'!$A$2:H$521,3,FALSE)</f>
        <v>#N/A</v>
      </c>
      <c r="D650" t="e">
        <f>VLOOKUP($A650,'STOCK DATA'!$A$2:$H$521,3,FALSE)</f>
        <v>#N/A</v>
      </c>
      <c r="E650" t="e">
        <f>VLOOKUP($A650,'STOCK DATA'!$A$2:$H$521,3,FALSE)</f>
        <v>#N/A</v>
      </c>
      <c r="F650" t="e">
        <f>VLOOKUP($A650,'STOCK DATA'!$A$2:$H$521,3,FALSE)</f>
        <v>#N/A</v>
      </c>
      <c r="G650" t="e">
        <f>VLOOKUP($A650,'STOCK DATA'!$A$2:$H$521,3,FALSE)</f>
        <v>#N/A</v>
      </c>
      <c r="H650" t="e">
        <f>VLOOKUP($A650,'STOCK DATA'!$A$2:$H$521,3,FALSE)</f>
        <v>#N/A</v>
      </c>
      <c r="I650" t="e">
        <f>VLOOKUP(A650,'Short-term interest Rates daily'!$A:$E,2,FALSE)</f>
        <v>#N/A</v>
      </c>
      <c r="J650" t="e">
        <f>VLOOKUP(A650,'Short-term interest Rates daily'!$A:$E,3,FALSE)</f>
        <v>#N/A</v>
      </c>
      <c r="K650" t="e">
        <f>VLOOKUP(A650,'Short-term interest Rates daily'!$A:$E,4,FALSE)</f>
        <v>#N/A</v>
      </c>
      <c r="L650" t="e">
        <f>VLOOKUP(A650,'Short-term interest Rates daily'!$A:$E,5,FALSE)</f>
        <v>#N/A</v>
      </c>
    </row>
    <row r="651" spans="1:12" x14ac:dyDescent="0.3">
      <c r="A651" s="1">
        <v>32062</v>
      </c>
      <c r="B651">
        <f>VLOOKUP(A651,'STOCK DATA'!$A$2:$H$522,2,FALSE)</f>
        <v>116.52</v>
      </c>
      <c r="C651">
        <f>VLOOKUP($A651,'STOCK DATA'!$A$2:H$521,3,FALSE)</f>
        <v>2185</v>
      </c>
      <c r="D651">
        <f>VLOOKUP($A651,'STOCK DATA'!$A$2:$H$521,3,FALSE)</f>
        <v>2185</v>
      </c>
      <c r="E651">
        <f>VLOOKUP($A651,'STOCK DATA'!$A$2:$H$521,3,FALSE)</f>
        <v>2185</v>
      </c>
      <c r="F651">
        <f>VLOOKUP($A651,'STOCK DATA'!$A$2:$H$521,3,FALSE)</f>
        <v>2185</v>
      </c>
      <c r="G651">
        <f>VLOOKUP($A651,'STOCK DATA'!$A$2:$H$521,3,FALSE)</f>
        <v>2185</v>
      </c>
      <c r="H651">
        <f>VLOOKUP($A651,'STOCK DATA'!$A$2:$H$521,3,FALSE)</f>
        <v>2185</v>
      </c>
      <c r="I651">
        <f>VLOOKUP(A651,'Short-term interest Rates daily'!$A:$E,2,FALSE)</f>
        <v>11.23</v>
      </c>
      <c r="J651">
        <f>VLOOKUP(A651,'Short-term interest Rates daily'!$A:$E,3,FALSE)</f>
        <v>0</v>
      </c>
      <c r="K651">
        <f>VLOOKUP(A651,'Short-term interest Rates daily'!$A:$E,4,FALSE)</f>
        <v>9.85</v>
      </c>
      <c r="L651">
        <f>VLOOKUP(A651,'Short-term interest Rates daily'!$A:$E,5,FALSE)</f>
        <v>0</v>
      </c>
    </row>
    <row r="652" spans="1:12" x14ac:dyDescent="0.3">
      <c r="A652" s="1">
        <v>32063</v>
      </c>
      <c r="B652">
        <f>VLOOKUP(A652,'STOCK DATA'!$A$2:$H$522,2,FALSE)</f>
        <v>117.44</v>
      </c>
      <c r="C652">
        <f>VLOOKUP($A652,'STOCK DATA'!$A$2:H$521,3,FALSE)</f>
        <v>2167.3000000000002</v>
      </c>
      <c r="D652">
        <f>VLOOKUP($A652,'STOCK DATA'!$A$2:$H$521,3,FALSE)</f>
        <v>2167.3000000000002</v>
      </c>
      <c r="E652">
        <f>VLOOKUP($A652,'STOCK DATA'!$A$2:$H$521,3,FALSE)</f>
        <v>2167.3000000000002</v>
      </c>
      <c r="F652">
        <f>VLOOKUP($A652,'STOCK DATA'!$A$2:$H$521,3,FALSE)</f>
        <v>2167.3000000000002</v>
      </c>
      <c r="G652">
        <f>VLOOKUP($A652,'STOCK DATA'!$A$2:$H$521,3,FALSE)</f>
        <v>2167.3000000000002</v>
      </c>
      <c r="H652">
        <f>VLOOKUP($A652,'STOCK DATA'!$A$2:$H$521,3,FALSE)</f>
        <v>2167.3000000000002</v>
      </c>
      <c r="I652">
        <f>VLOOKUP(A652,'Short-term interest Rates daily'!$A:$E,2,FALSE)</f>
        <v>11.15</v>
      </c>
      <c r="J652">
        <f>VLOOKUP(A652,'Short-term interest Rates daily'!$A:$E,3,FALSE)</f>
        <v>9.5500000000000007</v>
      </c>
      <c r="K652">
        <f>VLOOKUP(A652,'Short-term interest Rates daily'!$A:$E,4,FALSE)</f>
        <v>9.84</v>
      </c>
      <c r="L652">
        <f>VLOOKUP(A652,'Short-term interest Rates daily'!$A:$E,5,FALSE)</f>
        <v>6.74</v>
      </c>
    </row>
    <row r="653" spans="1:12" x14ac:dyDescent="0.3">
      <c r="A653" s="1">
        <v>32064</v>
      </c>
      <c r="B653">
        <f>VLOOKUP(A653,'STOCK DATA'!$A$2:$H$522,2,FALSE)</f>
        <v>115.23</v>
      </c>
      <c r="C653">
        <f>VLOOKUP($A653,'STOCK DATA'!$A$2:H$521,3,FALSE)</f>
        <v>2184.9</v>
      </c>
      <c r="D653">
        <f>VLOOKUP($A653,'STOCK DATA'!$A$2:$H$521,3,FALSE)</f>
        <v>2184.9</v>
      </c>
      <c r="E653">
        <f>VLOOKUP($A653,'STOCK DATA'!$A$2:$H$521,3,FALSE)</f>
        <v>2184.9</v>
      </c>
      <c r="F653">
        <f>VLOOKUP($A653,'STOCK DATA'!$A$2:$H$521,3,FALSE)</f>
        <v>2184.9</v>
      </c>
      <c r="G653">
        <f>VLOOKUP($A653,'STOCK DATA'!$A$2:$H$521,3,FALSE)</f>
        <v>2184.9</v>
      </c>
      <c r="H653">
        <f>VLOOKUP($A653,'STOCK DATA'!$A$2:$H$521,3,FALSE)</f>
        <v>2184.9</v>
      </c>
      <c r="I653">
        <f>VLOOKUP(A653,'Short-term interest Rates daily'!$A:$E,2,FALSE)</f>
        <v>10.98</v>
      </c>
      <c r="J653">
        <f>VLOOKUP(A653,'Short-term interest Rates daily'!$A:$E,3,FALSE)</f>
        <v>9.58</v>
      </c>
      <c r="K653">
        <f>VLOOKUP(A653,'Short-term interest Rates daily'!$A:$E,4,FALSE)</f>
        <v>9.81</v>
      </c>
      <c r="L653">
        <f>VLOOKUP(A653,'Short-term interest Rates daily'!$A:$E,5,FALSE)</f>
        <v>7.19</v>
      </c>
    </row>
    <row r="654" spans="1:12" x14ac:dyDescent="0.3">
      <c r="A654" s="1">
        <v>32065</v>
      </c>
      <c r="B654">
        <f>VLOOKUP(A654,'STOCK DATA'!$A$2:$H$522,2,FALSE)</f>
        <v>112.77</v>
      </c>
      <c r="C654">
        <f>VLOOKUP($A654,'STOCK DATA'!$A$2:H$521,3,FALSE)</f>
        <v>2146.4</v>
      </c>
      <c r="D654">
        <f>VLOOKUP($A654,'STOCK DATA'!$A$2:$H$521,3,FALSE)</f>
        <v>2146.4</v>
      </c>
      <c r="E654">
        <f>VLOOKUP($A654,'STOCK DATA'!$A$2:$H$521,3,FALSE)</f>
        <v>2146.4</v>
      </c>
      <c r="F654">
        <f>VLOOKUP($A654,'STOCK DATA'!$A$2:$H$521,3,FALSE)</f>
        <v>2146.4</v>
      </c>
      <c r="G654">
        <f>VLOOKUP($A654,'STOCK DATA'!$A$2:$H$521,3,FALSE)</f>
        <v>2146.4</v>
      </c>
      <c r="H654">
        <f>VLOOKUP($A654,'STOCK DATA'!$A$2:$H$521,3,FALSE)</f>
        <v>2146.4</v>
      </c>
      <c r="I654">
        <f>VLOOKUP(A654,'Short-term interest Rates daily'!$A:$E,2,FALSE)</f>
        <v>11.23</v>
      </c>
      <c r="J654">
        <f>VLOOKUP(A654,'Short-term interest Rates daily'!$A:$E,3,FALSE)</f>
        <v>9.67</v>
      </c>
      <c r="K654">
        <f>VLOOKUP(A654,'Short-term interest Rates daily'!$A:$E,4,FALSE)</f>
        <v>9.83</v>
      </c>
      <c r="L654">
        <f>VLOOKUP(A654,'Short-term interest Rates daily'!$A:$E,5,FALSE)</f>
        <v>7.07</v>
      </c>
    </row>
    <row r="655" spans="1:12" x14ac:dyDescent="0.3">
      <c r="A655" s="1">
        <v>32066</v>
      </c>
      <c r="B655">
        <f>VLOOKUP(A655,'STOCK DATA'!$A$2:$H$522,2,FALSE)</f>
        <v>112.12</v>
      </c>
      <c r="C655">
        <f>VLOOKUP($A655,'STOCK DATA'!$A$2:H$521,3,FALSE)</f>
        <v>2144.9</v>
      </c>
      <c r="D655">
        <f>VLOOKUP($A655,'STOCK DATA'!$A$2:$H$521,3,FALSE)</f>
        <v>2144.9</v>
      </c>
      <c r="E655">
        <f>VLOOKUP($A655,'STOCK DATA'!$A$2:$H$521,3,FALSE)</f>
        <v>2144.9</v>
      </c>
      <c r="F655">
        <f>VLOOKUP($A655,'STOCK DATA'!$A$2:$H$521,3,FALSE)</f>
        <v>2144.9</v>
      </c>
      <c r="G655">
        <f>VLOOKUP($A655,'STOCK DATA'!$A$2:$H$521,3,FALSE)</f>
        <v>2144.9</v>
      </c>
      <c r="H655">
        <f>VLOOKUP($A655,'STOCK DATA'!$A$2:$H$521,3,FALSE)</f>
        <v>2144.9</v>
      </c>
      <c r="I655">
        <f>VLOOKUP(A655,'Short-term interest Rates daily'!$A:$E,2,FALSE)</f>
        <v>11.13</v>
      </c>
      <c r="J655">
        <f>VLOOKUP(A655,'Short-term interest Rates daily'!$A:$E,3,FALSE)</f>
        <v>9.6</v>
      </c>
      <c r="K655">
        <f>VLOOKUP(A655,'Short-term interest Rates daily'!$A:$E,4,FALSE)</f>
        <v>9.84</v>
      </c>
      <c r="L655">
        <f>VLOOKUP(A655,'Short-term interest Rates daily'!$A:$E,5,FALSE)</f>
        <v>6.93</v>
      </c>
    </row>
    <row r="656" spans="1:12" x14ac:dyDescent="0.3">
      <c r="A656" s="1">
        <v>32067</v>
      </c>
      <c r="B656" t="e">
        <f>VLOOKUP(A656,'STOCK DATA'!$A$2:$H$522,2,FALSE)</f>
        <v>#N/A</v>
      </c>
      <c r="C656" t="e">
        <f>VLOOKUP($A656,'STOCK DATA'!$A$2:H$521,3,FALSE)</f>
        <v>#N/A</v>
      </c>
      <c r="D656" t="e">
        <f>VLOOKUP($A656,'STOCK DATA'!$A$2:$H$521,3,FALSE)</f>
        <v>#N/A</v>
      </c>
      <c r="E656" t="e">
        <f>VLOOKUP($A656,'STOCK DATA'!$A$2:$H$521,3,FALSE)</f>
        <v>#N/A</v>
      </c>
      <c r="F656" t="e">
        <f>VLOOKUP($A656,'STOCK DATA'!$A$2:$H$521,3,FALSE)</f>
        <v>#N/A</v>
      </c>
      <c r="G656" t="e">
        <f>VLOOKUP($A656,'STOCK DATA'!$A$2:$H$521,3,FALSE)</f>
        <v>#N/A</v>
      </c>
      <c r="H656" t="e">
        <f>VLOOKUP($A656,'STOCK DATA'!$A$2:$H$521,3,FALSE)</f>
        <v>#N/A</v>
      </c>
      <c r="I656" t="e">
        <f>VLOOKUP(A656,'Short-term interest Rates daily'!$A:$E,2,FALSE)</f>
        <v>#N/A</v>
      </c>
      <c r="J656" t="e">
        <f>VLOOKUP(A656,'Short-term interest Rates daily'!$A:$E,3,FALSE)</f>
        <v>#N/A</v>
      </c>
      <c r="K656" t="e">
        <f>VLOOKUP(A656,'Short-term interest Rates daily'!$A:$E,4,FALSE)</f>
        <v>#N/A</v>
      </c>
      <c r="L656" t="e">
        <f>VLOOKUP(A656,'Short-term interest Rates daily'!$A:$E,5,FALSE)</f>
        <v>#N/A</v>
      </c>
    </row>
    <row r="657" spans="1:12" x14ac:dyDescent="0.3">
      <c r="A657" s="1">
        <v>32068</v>
      </c>
      <c r="B657" t="e">
        <f>VLOOKUP(A657,'STOCK DATA'!$A$2:$H$522,2,FALSE)</f>
        <v>#N/A</v>
      </c>
      <c r="C657" t="e">
        <f>VLOOKUP($A657,'STOCK DATA'!$A$2:H$521,3,FALSE)</f>
        <v>#N/A</v>
      </c>
      <c r="D657" t="e">
        <f>VLOOKUP($A657,'STOCK DATA'!$A$2:$H$521,3,FALSE)</f>
        <v>#N/A</v>
      </c>
      <c r="E657" t="e">
        <f>VLOOKUP($A657,'STOCK DATA'!$A$2:$H$521,3,FALSE)</f>
        <v>#N/A</v>
      </c>
      <c r="F657" t="e">
        <f>VLOOKUP($A657,'STOCK DATA'!$A$2:$H$521,3,FALSE)</f>
        <v>#N/A</v>
      </c>
      <c r="G657" t="e">
        <f>VLOOKUP($A657,'STOCK DATA'!$A$2:$H$521,3,FALSE)</f>
        <v>#N/A</v>
      </c>
      <c r="H657" t="e">
        <f>VLOOKUP($A657,'STOCK DATA'!$A$2:$H$521,3,FALSE)</f>
        <v>#N/A</v>
      </c>
      <c r="I657" t="e">
        <f>VLOOKUP(A657,'Short-term interest Rates daily'!$A:$E,2,FALSE)</f>
        <v>#N/A</v>
      </c>
      <c r="J657" t="e">
        <f>VLOOKUP(A657,'Short-term interest Rates daily'!$A:$E,3,FALSE)</f>
        <v>#N/A</v>
      </c>
      <c r="K657" t="e">
        <f>VLOOKUP(A657,'Short-term interest Rates daily'!$A:$E,4,FALSE)</f>
        <v>#N/A</v>
      </c>
      <c r="L657" t="e">
        <f>VLOOKUP(A657,'Short-term interest Rates daily'!$A:$E,5,FALSE)</f>
        <v>#N/A</v>
      </c>
    </row>
    <row r="658" spans="1:12" x14ac:dyDescent="0.3">
      <c r="A658" s="1">
        <v>32069</v>
      </c>
      <c r="B658">
        <f>VLOOKUP(A658,'STOCK DATA'!$A$2:$H$522,2,FALSE)</f>
        <v>98.67</v>
      </c>
      <c r="C658">
        <f>VLOOKUP($A658,'STOCK DATA'!$A$2:H$521,3,FALSE)</f>
        <v>2065.4</v>
      </c>
      <c r="D658">
        <f>VLOOKUP($A658,'STOCK DATA'!$A$2:$H$521,3,FALSE)</f>
        <v>2065.4</v>
      </c>
      <c r="E658">
        <f>VLOOKUP($A658,'STOCK DATA'!$A$2:$H$521,3,FALSE)</f>
        <v>2065.4</v>
      </c>
      <c r="F658">
        <f>VLOOKUP($A658,'STOCK DATA'!$A$2:$H$521,3,FALSE)</f>
        <v>2065.4</v>
      </c>
      <c r="G658">
        <f>VLOOKUP($A658,'STOCK DATA'!$A$2:$H$521,3,FALSE)</f>
        <v>2065.4</v>
      </c>
      <c r="H658">
        <f>VLOOKUP($A658,'STOCK DATA'!$A$2:$H$521,3,FALSE)</f>
        <v>2065.4</v>
      </c>
      <c r="I658">
        <f>VLOOKUP(A658,'Short-term interest Rates daily'!$A:$E,2,FALSE)</f>
        <v>11.05</v>
      </c>
      <c r="J658">
        <f>VLOOKUP(A658,'Short-term interest Rates daily'!$A:$E,3,FALSE)</f>
        <v>9.42</v>
      </c>
      <c r="K658">
        <f>VLOOKUP(A658,'Short-term interest Rates daily'!$A:$E,4,FALSE)</f>
        <v>9.9</v>
      </c>
      <c r="L658">
        <f>VLOOKUP(A658,'Short-term interest Rates daily'!$A:$E,5,FALSE)</f>
        <v>6.39</v>
      </c>
    </row>
    <row r="659" spans="1:12" x14ac:dyDescent="0.3">
      <c r="A659" s="1">
        <v>32070</v>
      </c>
      <c r="B659">
        <f>VLOOKUP(A659,'STOCK DATA'!$A$2:$H$522,2,FALSE)</f>
        <v>92.83</v>
      </c>
      <c r="C659">
        <f>VLOOKUP($A659,'STOCK DATA'!$A$2:H$521,3,FALSE)</f>
        <v>1549.9</v>
      </c>
      <c r="D659">
        <f>VLOOKUP($A659,'STOCK DATA'!$A$2:$H$521,3,FALSE)</f>
        <v>1549.9</v>
      </c>
      <c r="E659">
        <f>VLOOKUP($A659,'STOCK DATA'!$A$2:$H$521,3,FALSE)</f>
        <v>1549.9</v>
      </c>
      <c r="F659">
        <f>VLOOKUP($A659,'STOCK DATA'!$A$2:$H$521,3,FALSE)</f>
        <v>1549.9</v>
      </c>
      <c r="G659">
        <f>VLOOKUP($A659,'STOCK DATA'!$A$2:$H$521,3,FALSE)</f>
        <v>1549.9</v>
      </c>
      <c r="H659">
        <f>VLOOKUP($A659,'STOCK DATA'!$A$2:$H$521,3,FALSE)</f>
        <v>1549.9</v>
      </c>
      <c r="I659">
        <f>VLOOKUP(A659,'Short-term interest Rates daily'!$A:$E,2,FALSE)</f>
        <v>12.63</v>
      </c>
      <c r="J659">
        <f>VLOOKUP(A659,'Short-term interest Rates daily'!$A:$E,3,FALSE)</f>
        <v>8.65</v>
      </c>
      <c r="K659">
        <f>VLOOKUP(A659,'Short-term interest Rates daily'!$A:$E,4,FALSE)</f>
        <v>9.89</v>
      </c>
      <c r="L659">
        <f>VLOOKUP(A659,'Short-term interest Rates daily'!$A:$E,5,FALSE)</f>
        <v>5.86</v>
      </c>
    </row>
    <row r="660" spans="1:12" x14ac:dyDescent="0.3">
      <c r="A660" s="1">
        <v>32071</v>
      </c>
      <c r="B660">
        <f>VLOOKUP(A660,'STOCK DATA'!$A$2:$H$522,2,FALSE)</f>
        <v>101.38</v>
      </c>
      <c r="C660">
        <f>VLOOKUP($A660,'STOCK DATA'!$A$2:H$521,3,FALSE)</f>
        <v>1568.6</v>
      </c>
      <c r="D660">
        <f>VLOOKUP($A660,'STOCK DATA'!$A$2:$H$521,3,FALSE)</f>
        <v>1568.6</v>
      </c>
      <c r="E660">
        <f>VLOOKUP($A660,'STOCK DATA'!$A$2:$H$521,3,FALSE)</f>
        <v>1568.6</v>
      </c>
      <c r="F660">
        <f>VLOOKUP($A660,'STOCK DATA'!$A$2:$H$521,3,FALSE)</f>
        <v>1568.6</v>
      </c>
      <c r="G660">
        <f>VLOOKUP($A660,'STOCK DATA'!$A$2:$H$521,3,FALSE)</f>
        <v>1568.6</v>
      </c>
      <c r="H660">
        <f>VLOOKUP($A660,'STOCK DATA'!$A$2:$H$521,3,FALSE)</f>
        <v>1568.6</v>
      </c>
      <c r="I660">
        <f>VLOOKUP(A660,'Short-term interest Rates daily'!$A:$E,2,FALSE)</f>
        <v>12.25</v>
      </c>
      <c r="J660">
        <f>VLOOKUP(A660,'Short-term interest Rates daily'!$A:$E,3,FALSE)</f>
        <v>8.14</v>
      </c>
      <c r="K660">
        <f>VLOOKUP(A660,'Short-term interest Rates daily'!$A:$E,4,FALSE)</f>
        <v>9.84</v>
      </c>
      <c r="L660">
        <f>VLOOKUP(A660,'Short-term interest Rates daily'!$A:$E,5,FALSE)</f>
        <v>5.6</v>
      </c>
    </row>
    <row r="661" spans="1:12" x14ac:dyDescent="0.3">
      <c r="A661" s="1">
        <v>32072</v>
      </c>
      <c r="B661">
        <f>VLOOKUP(A661,'STOCK DATA'!$A$2:$H$522,2,FALSE)</f>
        <v>94.04</v>
      </c>
      <c r="C661">
        <f>VLOOKUP($A661,'STOCK DATA'!$A$2:H$521,3,FALSE)</f>
        <v>1628.9</v>
      </c>
      <c r="D661">
        <f>VLOOKUP($A661,'STOCK DATA'!$A$2:$H$521,3,FALSE)</f>
        <v>1628.9</v>
      </c>
      <c r="E661">
        <f>VLOOKUP($A661,'STOCK DATA'!$A$2:$H$521,3,FALSE)</f>
        <v>1628.9</v>
      </c>
      <c r="F661">
        <f>VLOOKUP($A661,'STOCK DATA'!$A$2:$H$521,3,FALSE)</f>
        <v>1628.9</v>
      </c>
      <c r="G661">
        <f>VLOOKUP($A661,'STOCK DATA'!$A$2:$H$521,3,FALSE)</f>
        <v>1628.9</v>
      </c>
      <c r="H661">
        <f>VLOOKUP($A661,'STOCK DATA'!$A$2:$H$521,3,FALSE)</f>
        <v>1628.9</v>
      </c>
      <c r="I661">
        <f>VLOOKUP(A661,'Short-term interest Rates daily'!$A:$E,2,FALSE)</f>
        <v>11.63</v>
      </c>
      <c r="J661">
        <f>VLOOKUP(A661,'Short-term interest Rates daily'!$A:$E,3,FALSE)</f>
        <v>8.14</v>
      </c>
      <c r="K661">
        <f>VLOOKUP(A661,'Short-term interest Rates daily'!$A:$E,4,FALSE)</f>
        <v>9.8000000000000007</v>
      </c>
      <c r="L661">
        <f>VLOOKUP(A661,'Short-term interest Rates daily'!$A:$E,5,FALSE)</f>
        <v>5.36</v>
      </c>
    </row>
    <row r="662" spans="1:12" x14ac:dyDescent="0.3">
      <c r="A662" s="1">
        <v>32073</v>
      </c>
      <c r="B662">
        <f>VLOOKUP(A662,'STOCK DATA'!$A$2:$H$522,2,FALSE)</f>
        <v>94.25</v>
      </c>
      <c r="C662">
        <f>VLOOKUP($A662,'STOCK DATA'!$A$2:H$521,3,FALSE)</f>
        <v>1513.9</v>
      </c>
      <c r="D662">
        <f>VLOOKUP($A662,'STOCK DATA'!$A$2:$H$521,3,FALSE)</f>
        <v>1513.9</v>
      </c>
      <c r="E662">
        <f>VLOOKUP($A662,'STOCK DATA'!$A$2:$H$521,3,FALSE)</f>
        <v>1513.9</v>
      </c>
      <c r="F662">
        <f>VLOOKUP($A662,'STOCK DATA'!$A$2:$H$521,3,FALSE)</f>
        <v>1513.9</v>
      </c>
      <c r="G662">
        <f>VLOOKUP($A662,'STOCK DATA'!$A$2:$H$521,3,FALSE)</f>
        <v>1513.9</v>
      </c>
      <c r="H662">
        <f>VLOOKUP($A662,'STOCK DATA'!$A$2:$H$521,3,FALSE)</f>
        <v>1513.9</v>
      </c>
      <c r="I662">
        <f>VLOOKUP(A662,'Short-term interest Rates daily'!$A:$E,2,FALSE)</f>
        <v>11.48</v>
      </c>
      <c r="J662">
        <f>VLOOKUP(A662,'Short-term interest Rates daily'!$A:$E,3,FALSE)</f>
        <v>8.0299999999999994</v>
      </c>
      <c r="K662">
        <f>VLOOKUP(A662,'Short-term interest Rates daily'!$A:$E,4,FALSE)</f>
        <v>9.66</v>
      </c>
      <c r="L662">
        <f>VLOOKUP(A662,'Short-term interest Rates daily'!$A:$E,5,FALSE)</f>
        <v>5.29</v>
      </c>
    </row>
    <row r="663" spans="1:12" x14ac:dyDescent="0.3">
      <c r="A663" s="1">
        <v>32074</v>
      </c>
      <c r="B663" t="e">
        <f>VLOOKUP(A663,'STOCK DATA'!$A$2:$H$522,2,FALSE)</f>
        <v>#N/A</v>
      </c>
      <c r="C663" t="e">
        <f>VLOOKUP($A663,'STOCK DATA'!$A$2:H$521,3,FALSE)</f>
        <v>#N/A</v>
      </c>
      <c r="D663" t="e">
        <f>VLOOKUP($A663,'STOCK DATA'!$A$2:$H$521,3,FALSE)</f>
        <v>#N/A</v>
      </c>
      <c r="E663" t="e">
        <f>VLOOKUP($A663,'STOCK DATA'!$A$2:$H$521,3,FALSE)</f>
        <v>#N/A</v>
      </c>
      <c r="F663" t="e">
        <f>VLOOKUP($A663,'STOCK DATA'!$A$2:$H$521,3,FALSE)</f>
        <v>#N/A</v>
      </c>
      <c r="G663" t="e">
        <f>VLOOKUP($A663,'STOCK DATA'!$A$2:$H$521,3,FALSE)</f>
        <v>#N/A</v>
      </c>
      <c r="H663" t="e">
        <f>VLOOKUP($A663,'STOCK DATA'!$A$2:$H$521,3,FALSE)</f>
        <v>#N/A</v>
      </c>
      <c r="I663" t="e">
        <f>VLOOKUP(A663,'Short-term interest Rates daily'!$A:$E,2,FALSE)</f>
        <v>#N/A</v>
      </c>
      <c r="J663" t="e">
        <f>VLOOKUP(A663,'Short-term interest Rates daily'!$A:$E,3,FALSE)</f>
        <v>#N/A</v>
      </c>
      <c r="K663" t="e">
        <f>VLOOKUP(A663,'Short-term interest Rates daily'!$A:$E,4,FALSE)</f>
        <v>#N/A</v>
      </c>
      <c r="L663" t="e">
        <f>VLOOKUP(A663,'Short-term interest Rates daily'!$A:$E,5,FALSE)</f>
        <v>#N/A</v>
      </c>
    </row>
    <row r="664" spans="1:12" x14ac:dyDescent="0.3">
      <c r="A664" s="1">
        <v>32075</v>
      </c>
      <c r="B664" t="e">
        <f>VLOOKUP(A664,'STOCK DATA'!$A$2:$H$522,2,FALSE)</f>
        <v>#N/A</v>
      </c>
      <c r="C664" t="e">
        <f>VLOOKUP($A664,'STOCK DATA'!$A$2:H$521,3,FALSE)</f>
        <v>#N/A</v>
      </c>
      <c r="D664" t="e">
        <f>VLOOKUP($A664,'STOCK DATA'!$A$2:$H$521,3,FALSE)</f>
        <v>#N/A</v>
      </c>
      <c r="E664" t="e">
        <f>VLOOKUP($A664,'STOCK DATA'!$A$2:$H$521,3,FALSE)</f>
        <v>#N/A</v>
      </c>
      <c r="F664" t="e">
        <f>VLOOKUP($A664,'STOCK DATA'!$A$2:$H$521,3,FALSE)</f>
        <v>#N/A</v>
      </c>
      <c r="G664" t="e">
        <f>VLOOKUP($A664,'STOCK DATA'!$A$2:$H$521,3,FALSE)</f>
        <v>#N/A</v>
      </c>
      <c r="H664" t="e">
        <f>VLOOKUP($A664,'STOCK DATA'!$A$2:$H$521,3,FALSE)</f>
        <v>#N/A</v>
      </c>
      <c r="I664" t="e">
        <f>VLOOKUP(A664,'Short-term interest Rates daily'!$A:$E,2,FALSE)</f>
        <v>#N/A</v>
      </c>
      <c r="J664" t="e">
        <f>VLOOKUP(A664,'Short-term interest Rates daily'!$A:$E,3,FALSE)</f>
        <v>#N/A</v>
      </c>
      <c r="K664" t="e">
        <f>VLOOKUP(A664,'Short-term interest Rates daily'!$A:$E,4,FALSE)</f>
        <v>#N/A</v>
      </c>
      <c r="L664" t="e">
        <f>VLOOKUP(A664,'Short-term interest Rates daily'!$A:$E,5,FALSE)</f>
        <v>#N/A</v>
      </c>
    </row>
    <row r="665" spans="1:12" x14ac:dyDescent="0.3">
      <c r="A665" s="1">
        <v>32076</v>
      </c>
      <c r="B665">
        <f>VLOOKUP(A665,'STOCK DATA'!$A$2:$H$522,2,FALSE)</f>
        <v>85.51</v>
      </c>
      <c r="C665">
        <f>VLOOKUP($A665,'STOCK DATA'!$A$2:H$521,3,FALSE)</f>
        <v>1415</v>
      </c>
      <c r="D665">
        <f>VLOOKUP($A665,'STOCK DATA'!$A$2:$H$521,3,FALSE)</f>
        <v>1415</v>
      </c>
      <c r="E665">
        <f>VLOOKUP($A665,'STOCK DATA'!$A$2:$H$521,3,FALSE)</f>
        <v>1415</v>
      </c>
      <c r="F665">
        <f>VLOOKUP($A665,'STOCK DATA'!$A$2:$H$521,3,FALSE)</f>
        <v>1415</v>
      </c>
      <c r="G665">
        <f>VLOOKUP($A665,'STOCK DATA'!$A$2:$H$521,3,FALSE)</f>
        <v>1415</v>
      </c>
      <c r="H665">
        <f>VLOOKUP($A665,'STOCK DATA'!$A$2:$H$521,3,FALSE)</f>
        <v>1415</v>
      </c>
      <c r="I665">
        <f>VLOOKUP(A665,'Short-term interest Rates daily'!$A:$E,2,FALSE)</f>
        <v>10.75</v>
      </c>
      <c r="J665">
        <f>VLOOKUP(A665,'Short-term interest Rates daily'!$A:$E,3,FALSE)</f>
        <v>7.83</v>
      </c>
      <c r="K665">
        <f>VLOOKUP(A665,'Short-term interest Rates daily'!$A:$E,4,FALSE)</f>
        <v>8.7899999999999991</v>
      </c>
      <c r="L665">
        <f>VLOOKUP(A665,'Short-term interest Rates daily'!$A:$E,5,FALSE)</f>
        <v>5.22</v>
      </c>
    </row>
    <row r="666" spans="1:12" x14ac:dyDescent="0.3">
      <c r="A666" s="1">
        <v>32077</v>
      </c>
      <c r="B666">
        <f>VLOOKUP(A666,'STOCK DATA'!$A$2:$H$522,2,FALSE)</f>
        <v>88.29</v>
      </c>
      <c r="C666">
        <f>VLOOKUP($A666,'STOCK DATA'!$A$2:H$521,3,FALSE)</f>
        <v>1316.3</v>
      </c>
      <c r="D666">
        <f>VLOOKUP($A666,'STOCK DATA'!$A$2:$H$521,3,FALSE)</f>
        <v>1316.3</v>
      </c>
      <c r="E666">
        <f>VLOOKUP($A666,'STOCK DATA'!$A$2:$H$521,3,FALSE)</f>
        <v>1316.3</v>
      </c>
      <c r="F666">
        <f>VLOOKUP($A666,'STOCK DATA'!$A$2:$H$521,3,FALSE)</f>
        <v>1316.3</v>
      </c>
      <c r="G666">
        <f>VLOOKUP($A666,'STOCK DATA'!$A$2:$H$521,3,FALSE)</f>
        <v>1316.3</v>
      </c>
      <c r="H666">
        <f>VLOOKUP($A666,'STOCK DATA'!$A$2:$H$521,3,FALSE)</f>
        <v>1316.3</v>
      </c>
      <c r="I666">
        <f>VLOOKUP(A666,'Short-term interest Rates daily'!$A:$E,2,FALSE)</f>
        <v>8.5</v>
      </c>
      <c r="J666">
        <f>VLOOKUP(A666,'Short-term interest Rates daily'!$A:$E,3,FALSE)</f>
        <v>7.98</v>
      </c>
      <c r="K666">
        <f>VLOOKUP(A666,'Short-term interest Rates daily'!$A:$E,4,FALSE)</f>
        <v>9.09</v>
      </c>
      <c r="L666">
        <f>VLOOKUP(A666,'Short-term interest Rates daily'!$A:$E,5,FALSE)</f>
        <v>5.23</v>
      </c>
    </row>
    <row r="667" spans="1:12" x14ac:dyDescent="0.3">
      <c r="A667" s="1">
        <v>32078</v>
      </c>
      <c r="B667">
        <f>VLOOKUP(A667,'STOCK DATA'!$A$2:$H$522,2,FALSE)</f>
        <v>83.04</v>
      </c>
      <c r="C667">
        <f>VLOOKUP($A667,'STOCK DATA'!$A$2:H$521,3,FALSE)</f>
        <v>1389.6</v>
      </c>
      <c r="D667">
        <f>VLOOKUP($A667,'STOCK DATA'!$A$2:$H$521,3,FALSE)</f>
        <v>1389.6</v>
      </c>
      <c r="E667">
        <f>VLOOKUP($A667,'STOCK DATA'!$A$2:$H$521,3,FALSE)</f>
        <v>1389.6</v>
      </c>
      <c r="F667">
        <f>VLOOKUP($A667,'STOCK DATA'!$A$2:$H$521,3,FALSE)</f>
        <v>1389.6</v>
      </c>
      <c r="G667">
        <f>VLOOKUP($A667,'STOCK DATA'!$A$2:$H$521,3,FALSE)</f>
        <v>1389.6</v>
      </c>
      <c r="H667">
        <f>VLOOKUP($A667,'STOCK DATA'!$A$2:$H$521,3,FALSE)</f>
        <v>1389.6</v>
      </c>
      <c r="I667">
        <f>VLOOKUP(A667,'Short-term interest Rates daily'!$A:$E,2,FALSE)</f>
        <v>10.75</v>
      </c>
      <c r="J667">
        <f>VLOOKUP(A667,'Short-term interest Rates daily'!$A:$E,3,FALSE)</f>
        <v>8.0399999999999991</v>
      </c>
      <c r="K667">
        <f>VLOOKUP(A667,'Short-term interest Rates daily'!$A:$E,4,FALSE)</f>
        <v>8.8800000000000008</v>
      </c>
      <c r="L667">
        <f>VLOOKUP(A667,'Short-term interest Rates daily'!$A:$E,5,FALSE)</f>
        <v>5.0999999999999996</v>
      </c>
    </row>
    <row r="668" spans="1:12" x14ac:dyDescent="0.3">
      <c r="A668" s="1">
        <v>32079</v>
      </c>
      <c r="B668">
        <f>VLOOKUP(A668,'STOCK DATA'!$A$2:$H$522,2,FALSE)</f>
        <v>83.25</v>
      </c>
      <c r="C668">
        <f>VLOOKUP($A668,'STOCK DATA'!$A$2:H$521,3,FALSE)</f>
        <v>1283.8</v>
      </c>
      <c r="D668">
        <f>VLOOKUP($A668,'STOCK DATA'!$A$2:$H$521,3,FALSE)</f>
        <v>1283.8</v>
      </c>
      <c r="E668">
        <f>VLOOKUP($A668,'STOCK DATA'!$A$2:$H$521,3,FALSE)</f>
        <v>1283.8</v>
      </c>
      <c r="F668">
        <f>VLOOKUP($A668,'STOCK DATA'!$A$2:$H$521,3,FALSE)</f>
        <v>1283.8</v>
      </c>
      <c r="G668">
        <f>VLOOKUP($A668,'STOCK DATA'!$A$2:$H$521,3,FALSE)</f>
        <v>1283.8</v>
      </c>
      <c r="H668">
        <f>VLOOKUP($A668,'STOCK DATA'!$A$2:$H$521,3,FALSE)</f>
        <v>1283.8</v>
      </c>
      <c r="I668">
        <f>VLOOKUP(A668,'Short-term interest Rates daily'!$A:$E,2,FALSE)</f>
        <v>13.25</v>
      </c>
      <c r="J668">
        <f>VLOOKUP(A668,'Short-term interest Rates daily'!$A:$E,3,FALSE)</f>
        <v>7.81</v>
      </c>
      <c r="K668">
        <f>VLOOKUP(A668,'Short-term interest Rates daily'!$A:$E,4,FALSE)</f>
        <v>8.7799999999999994</v>
      </c>
      <c r="L668">
        <f>VLOOKUP(A668,'Short-term interest Rates daily'!$A:$E,5,FALSE)</f>
        <v>5.03</v>
      </c>
    </row>
    <row r="669" spans="1:12" x14ac:dyDescent="0.3">
      <c r="A669" s="1">
        <v>32080</v>
      </c>
      <c r="B669">
        <f>VLOOKUP(A669,'STOCK DATA'!$A$2:$H$522,2,FALSE)</f>
        <v>87.91</v>
      </c>
      <c r="C669">
        <f>VLOOKUP($A669,'STOCK DATA'!$A$2:H$521,3,FALSE)</f>
        <v>1295.2</v>
      </c>
      <c r="D669">
        <f>VLOOKUP($A669,'STOCK DATA'!$A$2:$H$521,3,FALSE)</f>
        <v>1295.2</v>
      </c>
      <c r="E669">
        <f>VLOOKUP($A669,'STOCK DATA'!$A$2:$H$521,3,FALSE)</f>
        <v>1295.2</v>
      </c>
      <c r="F669">
        <f>VLOOKUP($A669,'STOCK DATA'!$A$2:$H$521,3,FALSE)</f>
        <v>1295.2</v>
      </c>
      <c r="G669">
        <f>VLOOKUP($A669,'STOCK DATA'!$A$2:$H$521,3,FALSE)</f>
        <v>1295.2</v>
      </c>
      <c r="H669">
        <f>VLOOKUP($A669,'STOCK DATA'!$A$2:$H$521,3,FALSE)</f>
        <v>1295.2</v>
      </c>
      <c r="I669">
        <f>VLOOKUP(A669,'Short-term interest Rates daily'!$A:$E,2,FALSE)</f>
        <v>12.25</v>
      </c>
      <c r="J669">
        <f>VLOOKUP(A669,'Short-term interest Rates daily'!$A:$E,3,FALSE)</f>
        <v>7.73</v>
      </c>
      <c r="K669">
        <f>VLOOKUP(A669,'Short-term interest Rates daily'!$A:$E,4,FALSE)</f>
        <v>8.9700000000000006</v>
      </c>
      <c r="L669">
        <f>VLOOKUP(A669,'Short-term interest Rates daily'!$A:$E,5,FALSE)</f>
        <v>5.27</v>
      </c>
    </row>
    <row r="670" spans="1:12" x14ac:dyDescent="0.3">
      <c r="A670" s="1">
        <v>32081</v>
      </c>
      <c r="B670" t="e">
        <f>VLOOKUP(A670,'STOCK DATA'!$A$2:$H$522,2,FALSE)</f>
        <v>#N/A</v>
      </c>
      <c r="C670" t="e">
        <f>VLOOKUP($A670,'STOCK DATA'!$A$2:H$521,3,FALSE)</f>
        <v>#N/A</v>
      </c>
      <c r="D670" t="e">
        <f>VLOOKUP($A670,'STOCK DATA'!$A$2:$H$521,3,FALSE)</f>
        <v>#N/A</v>
      </c>
      <c r="E670" t="e">
        <f>VLOOKUP($A670,'STOCK DATA'!$A$2:$H$521,3,FALSE)</f>
        <v>#N/A</v>
      </c>
      <c r="F670" t="e">
        <f>VLOOKUP($A670,'STOCK DATA'!$A$2:$H$521,3,FALSE)</f>
        <v>#N/A</v>
      </c>
      <c r="G670" t="e">
        <f>VLOOKUP($A670,'STOCK DATA'!$A$2:$H$521,3,FALSE)</f>
        <v>#N/A</v>
      </c>
      <c r="H670" t="e">
        <f>VLOOKUP($A670,'STOCK DATA'!$A$2:$H$521,3,FALSE)</f>
        <v>#N/A</v>
      </c>
      <c r="I670" t="e">
        <f>VLOOKUP(A670,'Short-term interest Rates daily'!$A:$E,2,FALSE)</f>
        <v>#N/A</v>
      </c>
      <c r="J670" t="e">
        <f>VLOOKUP(A670,'Short-term interest Rates daily'!$A:$E,3,FALSE)</f>
        <v>#N/A</v>
      </c>
      <c r="K670" t="e">
        <f>VLOOKUP(A670,'Short-term interest Rates daily'!$A:$E,4,FALSE)</f>
        <v>#N/A</v>
      </c>
      <c r="L670" t="e">
        <f>VLOOKUP(A670,'Short-term interest Rates daily'!$A:$E,5,FALSE)</f>
        <v>#N/A</v>
      </c>
    </row>
    <row r="671" spans="1:12" x14ac:dyDescent="0.3">
      <c r="A671" s="1">
        <v>32082</v>
      </c>
      <c r="B671" t="e">
        <f>VLOOKUP(A671,'STOCK DATA'!$A$2:$H$522,2,FALSE)</f>
        <v>#N/A</v>
      </c>
      <c r="C671" t="e">
        <f>VLOOKUP($A671,'STOCK DATA'!$A$2:H$521,3,FALSE)</f>
        <v>#N/A</v>
      </c>
      <c r="D671" t="e">
        <f>VLOOKUP($A671,'STOCK DATA'!$A$2:$H$521,3,FALSE)</f>
        <v>#N/A</v>
      </c>
      <c r="E671" t="e">
        <f>VLOOKUP($A671,'STOCK DATA'!$A$2:$H$521,3,FALSE)</f>
        <v>#N/A</v>
      </c>
      <c r="F671" t="e">
        <f>VLOOKUP($A671,'STOCK DATA'!$A$2:$H$521,3,FALSE)</f>
        <v>#N/A</v>
      </c>
      <c r="G671" t="e">
        <f>VLOOKUP($A671,'STOCK DATA'!$A$2:$H$521,3,FALSE)</f>
        <v>#N/A</v>
      </c>
      <c r="H671" t="e">
        <f>VLOOKUP($A671,'STOCK DATA'!$A$2:$H$521,3,FALSE)</f>
        <v>#N/A</v>
      </c>
      <c r="I671" t="e">
        <f>VLOOKUP(A671,'Short-term interest Rates daily'!$A:$E,2,FALSE)</f>
        <v>#N/A</v>
      </c>
      <c r="J671" t="e">
        <f>VLOOKUP(A671,'Short-term interest Rates daily'!$A:$E,3,FALSE)</f>
        <v>#N/A</v>
      </c>
      <c r="K671" t="e">
        <f>VLOOKUP(A671,'Short-term interest Rates daily'!$A:$E,4,FALSE)</f>
        <v>#N/A</v>
      </c>
      <c r="L671" t="e">
        <f>VLOOKUP(A671,'Short-term interest Rates daily'!$A:$E,5,FALSE)</f>
        <v>#N/A</v>
      </c>
    </row>
    <row r="672" spans="1:12" x14ac:dyDescent="0.3">
      <c r="A672" s="1">
        <v>32083</v>
      </c>
      <c r="B672">
        <f>VLOOKUP(A672,'STOCK DATA'!$A$2:$H$522,2,FALSE)</f>
        <v>85.45</v>
      </c>
      <c r="C672">
        <f>VLOOKUP($A672,'STOCK DATA'!$A$2:H$521,3,FALSE)</f>
        <v>1360.9</v>
      </c>
      <c r="D672">
        <f>VLOOKUP($A672,'STOCK DATA'!$A$2:$H$521,3,FALSE)</f>
        <v>1360.9</v>
      </c>
      <c r="E672">
        <f>VLOOKUP($A672,'STOCK DATA'!$A$2:$H$521,3,FALSE)</f>
        <v>1360.9</v>
      </c>
      <c r="F672">
        <f>VLOOKUP($A672,'STOCK DATA'!$A$2:$H$521,3,FALSE)</f>
        <v>1360.9</v>
      </c>
      <c r="G672">
        <f>VLOOKUP($A672,'STOCK DATA'!$A$2:$H$521,3,FALSE)</f>
        <v>1360.9</v>
      </c>
      <c r="H672">
        <f>VLOOKUP($A672,'STOCK DATA'!$A$2:$H$521,3,FALSE)</f>
        <v>1360.9</v>
      </c>
      <c r="I672">
        <f>VLOOKUP(A672,'Short-term interest Rates daily'!$A:$E,2,FALSE)</f>
        <v>12.25</v>
      </c>
      <c r="J672">
        <f>VLOOKUP(A672,'Short-term interest Rates daily'!$A:$E,3,FALSE)</f>
        <v>7.9</v>
      </c>
      <c r="K672">
        <f>VLOOKUP(A672,'Short-term interest Rates daily'!$A:$E,4,FALSE)</f>
        <v>8.9700000000000006</v>
      </c>
      <c r="L672">
        <f>VLOOKUP(A672,'Short-term interest Rates daily'!$A:$E,5,FALSE)</f>
        <v>5.62</v>
      </c>
    </row>
    <row r="673" spans="1:12" x14ac:dyDescent="0.3">
      <c r="A673" s="1">
        <v>32084</v>
      </c>
      <c r="B673">
        <f>VLOOKUP(A673,'STOCK DATA'!$A$2:$H$522,2,FALSE)</f>
        <v>80.89</v>
      </c>
      <c r="C673">
        <f>VLOOKUP($A673,'STOCK DATA'!$A$2:H$521,3,FALSE)</f>
        <v>1364.6</v>
      </c>
      <c r="D673">
        <f>VLOOKUP($A673,'STOCK DATA'!$A$2:$H$521,3,FALSE)</f>
        <v>1364.6</v>
      </c>
      <c r="E673">
        <f>VLOOKUP($A673,'STOCK DATA'!$A$2:$H$521,3,FALSE)</f>
        <v>1364.6</v>
      </c>
      <c r="F673">
        <f>VLOOKUP($A673,'STOCK DATA'!$A$2:$H$521,3,FALSE)</f>
        <v>1364.6</v>
      </c>
      <c r="G673">
        <f>VLOOKUP($A673,'STOCK DATA'!$A$2:$H$521,3,FALSE)</f>
        <v>1364.6</v>
      </c>
      <c r="H673">
        <f>VLOOKUP($A673,'STOCK DATA'!$A$2:$H$521,3,FALSE)</f>
        <v>1364.6</v>
      </c>
      <c r="I673">
        <f>VLOOKUP(A673,'Short-term interest Rates daily'!$A:$E,2,FALSE)</f>
        <v>11.88</v>
      </c>
      <c r="J673">
        <f>VLOOKUP(A673,'Short-term interest Rates daily'!$A:$E,3,FALSE)</f>
        <v>8.09</v>
      </c>
      <c r="K673">
        <f>VLOOKUP(A673,'Short-term interest Rates daily'!$A:$E,4,FALSE)</f>
        <v>8.9700000000000006</v>
      </c>
      <c r="L673">
        <f>VLOOKUP(A673,'Short-term interest Rates daily'!$A:$E,5,FALSE)</f>
        <v>5.63</v>
      </c>
    </row>
    <row r="674" spans="1:12" x14ac:dyDescent="0.3">
      <c r="A674" s="1">
        <v>32085</v>
      </c>
      <c r="B674">
        <f>VLOOKUP(A674,'STOCK DATA'!$A$2:$H$522,2,FALSE)</f>
        <v>77.83</v>
      </c>
      <c r="C674">
        <f>VLOOKUP($A674,'STOCK DATA'!$A$2:H$521,3,FALSE)</f>
        <v>1290.0999999999999</v>
      </c>
      <c r="D674">
        <f>VLOOKUP($A674,'STOCK DATA'!$A$2:$H$521,3,FALSE)</f>
        <v>1290.0999999999999</v>
      </c>
      <c r="E674">
        <f>VLOOKUP($A674,'STOCK DATA'!$A$2:$H$521,3,FALSE)</f>
        <v>1290.0999999999999</v>
      </c>
      <c r="F674">
        <f>VLOOKUP($A674,'STOCK DATA'!$A$2:$H$521,3,FALSE)</f>
        <v>1290.0999999999999</v>
      </c>
      <c r="G674">
        <f>VLOOKUP($A674,'STOCK DATA'!$A$2:$H$521,3,FALSE)</f>
        <v>1290.0999999999999</v>
      </c>
      <c r="H674">
        <f>VLOOKUP($A674,'STOCK DATA'!$A$2:$H$521,3,FALSE)</f>
        <v>1290.0999999999999</v>
      </c>
      <c r="I674">
        <f>VLOOKUP(A674,'Short-term interest Rates daily'!$A:$E,2,FALSE)</f>
        <v>11.63</v>
      </c>
      <c r="J674">
        <f>VLOOKUP(A674,'Short-term interest Rates daily'!$A:$E,3,FALSE)</f>
        <v>8.0399999999999991</v>
      </c>
      <c r="K674">
        <f>VLOOKUP(A674,'Short-term interest Rates daily'!$A:$E,4,FALSE)</f>
        <v>8.94</v>
      </c>
      <c r="L674">
        <f>VLOOKUP(A674,'Short-term interest Rates daily'!$A:$E,5,FALSE)</f>
        <v>5.54</v>
      </c>
    </row>
    <row r="675" spans="1:12" x14ac:dyDescent="0.3">
      <c r="A675" s="1">
        <v>32086</v>
      </c>
      <c r="B675">
        <f>VLOOKUP(A675,'STOCK DATA'!$A$2:$H$522,2,FALSE)</f>
        <v>77.64</v>
      </c>
      <c r="C675">
        <f>VLOOKUP($A675,'STOCK DATA'!$A$2:H$521,3,FALSE)</f>
        <v>1250.5</v>
      </c>
      <c r="D675">
        <f>VLOOKUP($A675,'STOCK DATA'!$A$2:$H$521,3,FALSE)</f>
        <v>1250.5</v>
      </c>
      <c r="E675">
        <f>VLOOKUP($A675,'STOCK DATA'!$A$2:$H$521,3,FALSE)</f>
        <v>1250.5</v>
      </c>
      <c r="F675">
        <f>VLOOKUP($A675,'STOCK DATA'!$A$2:$H$521,3,FALSE)</f>
        <v>1250.5</v>
      </c>
      <c r="G675">
        <f>VLOOKUP($A675,'STOCK DATA'!$A$2:$H$521,3,FALSE)</f>
        <v>1250.5</v>
      </c>
      <c r="H675">
        <f>VLOOKUP($A675,'STOCK DATA'!$A$2:$H$521,3,FALSE)</f>
        <v>1250.5</v>
      </c>
      <c r="I675">
        <f>VLOOKUP(A675,'Short-term interest Rates daily'!$A:$E,2,FALSE)</f>
        <v>11.75</v>
      </c>
      <c r="J675">
        <f>VLOOKUP(A675,'Short-term interest Rates daily'!$A:$E,3,FALSE)</f>
        <v>8.1300000000000008</v>
      </c>
      <c r="K675">
        <f>VLOOKUP(A675,'Short-term interest Rates daily'!$A:$E,4,FALSE)</f>
        <v>8.5299999999999994</v>
      </c>
      <c r="L675">
        <f>VLOOKUP(A675,'Short-term interest Rates daily'!$A:$E,5,FALSE)</f>
        <v>5.58</v>
      </c>
    </row>
    <row r="676" spans="1:12" x14ac:dyDescent="0.3">
      <c r="A676" s="1">
        <v>32087</v>
      </c>
      <c r="B676">
        <f>VLOOKUP(A676,'STOCK DATA'!$A$2:$H$522,2,FALSE)</f>
        <v>77.88</v>
      </c>
      <c r="C676">
        <f>VLOOKUP($A676,'STOCK DATA'!$A$2:H$521,3,FALSE)</f>
        <v>1238</v>
      </c>
      <c r="D676">
        <f>VLOOKUP($A676,'STOCK DATA'!$A$2:$H$521,3,FALSE)</f>
        <v>1238</v>
      </c>
      <c r="E676">
        <f>VLOOKUP($A676,'STOCK DATA'!$A$2:$H$521,3,FALSE)</f>
        <v>1238</v>
      </c>
      <c r="F676">
        <f>VLOOKUP($A676,'STOCK DATA'!$A$2:$H$521,3,FALSE)</f>
        <v>1238</v>
      </c>
      <c r="G676">
        <f>VLOOKUP($A676,'STOCK DATA'!$A$2:$H$521,3,FALSE)</f>
        <v>1238</v>
      </c>
      <c r="H676">
        <f>VLOOKUP($A676,'STOCK DATA'!$A$2:$H$521,3,FALSE)</f>
        <v>1238</v>
      </c>
      <c r="I676">
        <f>VLOOKUP(A676,'Short-term interest Rates daily'!$A:$E,2,FALSE)</f>
        <v>11.75</v>
      </c>
      <c r="J676">
        <f>VLOOKUP(A676,'Short-term interest Rates daily'!$A:$E,3,FALSE)</f>
        <v>8.2799999999999994</v>
      </c>
      <c r="K676">
        <f>VLOOKUP(A676,'Short-term interest Rates daily'!$A:$E,4,FALSE)</f>
        <v>8.5299999999999994</v>
      </c>
      <c r="L676">
        <f>VLOOKUP(A676,'Short-term interest Rates daily'!$A:$E,5,FALSE)</f>
        <v>5.73</v>
      </c>
    </row>
    <row r="677" spans="1:12" x14ac:dyDescent="0.3">
      <c r="A677" s="1">
        <v>32088</v>
      </c>
      <c r="B677" t="e">
        <f>VLOOKUP(A677,'STOCK DATA'!$A$2:$H$522,2,FALSE)</f>
        <v>#N/A</v>
      </c>
      <c r="C677" t="e">
        <f>VLOOKUP($A677,'STOCK DATA'!$A$2:H$521,3,FALSE)</f>
        <v>#N/A</v>
      </c>
      <c r="D677" t="e">
        <f>VLOOKUP($A677,'STOCK DATA'!$A$2:$H$521,3,FALSE)</f>
        <v>#N/A</v>
      </c>
      <c r="E677" t="e">
        <f>VLOOKUP($A677,'STOCK DATA'!$A$2:$H$521,3,FALSE)</f>
        <v>#N/A</v>
      </c>
      <c r="F677" t="e">
        <f>VLOOKUP($A677,'STOCK DATA'!$A$2:$H$521,3,FALSE)</f>
        <v>#N/A</v>
      </c>
      <c r="G677" t="e">
        <f>VLOOKUP($A677,'STOCK DATA'!$A$2:$H$521,3,FALSE)</f>
        <v>#N/A</v>
      </c>
      <c r="H677" t="e">
        <f>VLOOKUP($A677,'STOCK DATA'!$A$2:$H$521,3,FALSE)</f>
        <v>#N/A</v>
      </c>
      <c r="I677" t="e">
        <f>VLOOKUP(A677,'Short-term interest Rates daily'!$A:$E,2,FALSE)</f>
        <v>#N/A</v>
      </c>
      <c r="J677" t="e">
        <f>VLOOKUP(A677,'Short-term interest Rates daily'!$A:$E,3,FALSE)</f>
        <v>#N/A</v>
      </c>
      <c r="K677" t="e">
        <f>VLOOKUP(A677,'Short-term interest Rates daily'!$A:$E,4,FALSE)</f>
        <v>#N/A</v>
      </c>
      <c r="L677" t="e">
        <f>VLOOKUP(A677,'Short-term interest Rates daily'!$A:$E,5,FALSE)</f>
        <v>#N/A</v>
      </c>
    </row>
    <row r="678" spans="1:12" x14ac:dyDescent="0.3">
      <c r="A678" s="1">
        <v>32089</v>
      </c>
      <c r="B678" t="e">
        <f>VLOOKUP(A678,'STOCK DATA'!$A$2:$H$522,2,FALSE)</f>
        <v>#N/A</v>
      </c>
      <c r="C678" t="e">
        <f>VLOOKUP($A678,'STOCK DATA'!$A$2:H$521,3,FALSE)</f>
        <v>#N/A</v>
      </c>
      <c r="D678" t="e">
        <f>VLOOKUP($A678,'STOCK DATA'!$A$2:$H$521,3,FALSE)</f>
        <v>#N/A</v>
      </c>
      <c r="E678" t="e">
        <f>VLOOKUP($A678,'STOCK DATA'!$A$2:$H$521,3,FALSE)</f>
        <v>#N/A</v>
      </c>
      <c r="F678" t="e">
        <f>VLOOKUP($A678,'STOCK DATA'!$A$2:$H$521,3,FALSE)</f>
        <v>#N/A</v>
      </c>
      <c r="G678" t="e">
        <f>VLOOKUP($A678,'STOCK DATA'!$A$2:$H$521,3,FALSE)</f>
        <v>#N/A</v>
      </c>
      <c r="H678" t="e">
        <f>VLOOKUP($A678,'STOCK DATA'!$A$2:$H$521,3,FALSE)</f>
        <v>#N/A</v>
      </c>
      <c r="I678" t="e">
        <f>VLOOKUP(A678,'Short-term interest Rates daily'!$A:$E,2,FALSE)</f>
        <v>#N/A</v>
      </c>
      <c r="J678" t="e">
        <f>VLOOKUP(A678,'Short-term interest Rates daily'!$A:$E,3,FALSE)</f>
        <v>#N/A</v>
      </c>
      <c r="K678" t="e">
        <f>VLOOKUP(A678,'Short-term interest Rates daily'!$A:$E,4,FALSE)</f>
        <v>#N/A</v>
      </c>
      <c r="L678" t="e">
        <f>VLOOKUP(A678,'Short-term interest Rates daily'!$A:$E,5,FALSE)</f>
        <v>#N/A</v>
      </c>
    </row>
    <row r="679" spans="1:12" x14ac:dyDescent="0.3">
      <c r="A679" s="1">
        <v>32090</v>
      </c>
      <c r="B679">
        <f>VLOOKUP(A679,'STOCK DATA'!$A$2:$H$522,2,FALSE)</f>
        <v>72.33</v>
      </c>
      <c r="C679">
        <f>VLOOKUP($A679,'STOCK DATA'!$A$2:H$521,3,FALSE)</f>
        <v>1252</v>
      </c>
      <c r="D679">
        <f>VLOOKUP($A679,'STOCK DATA'!$A$2:$H$521,3,FALSE)</f>
        <v>1252</v>
      </c>
      <c r="E679">
        <f>VLOOKUP($A679,'STOCK DATA'!$A$2:$H$521,3,FALSE)</f>
        <v>1252</v>
      </c>
      <c r="F679">
        <f>VLOOKUP($A679,'STOCK DATA'!$A$2:$H$521,3,FALSE)</f>
        <v>1252</v>
      </c>
      <c r="G679">
        <f>VLOOKUP($A679,'STOCK DATA'!$A$2:$H$521,3,FALSE)</f>
        <v>1252</v>
      </c>
      <c r="H679">
        <f>VLOOKUP($A679,'STOCK DATA'!$A$2:$H$521,3,FALSE)</f>
        <v>1252</v>
      </c>
      <c r="I679">
        <f>VLOOKUP(A679,'Short-term interest Rates daily'!$A:$E,2,FALSE)</f>
        <v>12.38</v>
      </c>
      <c r="J679">
        <f>VLOOKUP(A679,'Short-term interest Rates daily'!$A:$E,3,FALSE)</f>
        <v>8.36</v>
      </c>
      <c r="K679">
        <f>VLOOKUP(A679,'Short-term interest Rates daily'!$A:$E,4,FALSE)</f>
        <v>8.2799999999999994</v>
      </c>
      <c r="L679">
        <f>VLOOKUP(A679,'Short-term interest Rates daily'!$A:$E,5,FALSE)</f>
        <v>5.7</v>
      </c>
    </row>
    <row r="680" spans="1:12" x14ac:dyDescent="0.3">
      <c r="A680" s="1">
        <v>32091</v>
      </c>
      <c r="B680">
        <f>VLOOKUP(A680,'STOCK DATA'!$A$2:$H$522,2,FALSE)</f>
        <v>69.14</v>
      </c>
      <c r="C680">
        <f>VLOOKUP($A680,'STOCK DATA'!$A$2:H$521,3,FALSE)</f>
        <v>1203.9000000000001</v>
      </c>
      <c r="D680">
        <f>VLOOKUP($A680,'STOCK DATA'!$A$2:$H$521,3,FALSE)</f>
        <v>1203.9000000000001</v>
      </c>
      <c r="E680">
        <f>VLOOKUP($A680,'STOCK DATA'!$A$2:$H$521,3,FALSE)</f>
        <v>1203.9000000000001</v>
      </c>
      <c r="F680">
        <f>VLOOKUP($A680,'STOCK DATA'!$A$2:$H$521,3,FALSE)</f>
        <v>1203.9000000000001</v>
      </c>
      <c r="G680">
        <f>VLOOKUP($A680,'STOCK DATA'!$A$2:$H$521,3,FALSE)</f>
        <v>1203.9000000000001</v>
      </c>
      <c r="H680">
        <f>VLOOKUP($A680,'STOCK DATA'!$A$2:$H$521,3,FALSE)</f>
        <v>1203.9000000000001</v>
      </c>
      <c r="I680">
        <f>VLOOKUP(A680,'Short-term interest Rates daily'!$A:$E,2,FALSE)</f>
        <v>12.63</v>
      </c>
      <c r="J680">
        <f>VLOOKUP(A680,'Short-term interest Rates daily'!$A:$E,3,FALSE)</f>
        <v>8.32</v>
      </c>
      <c r="K680">
        <f>VLOOKUP(A680,'Short-term interest Rates daily'!$A:$E,4,FALSE)</f>
        <v>8.2200000000000006</v>
      </c>
      <c r="L680">
        <f>VLOOKUP(A680,'Short-term interest Rates daily'!$A:$E,5,FALSE)</f>
        <v>5.67</v>
      </c>
    </row>
    <row r="681" spans="1:12" x14ac:dyDescent="0.3">
      <c r="A681" s="1">
        <v>32092</v>
      </c>
      <c r="B681">
        <f>VLOOKUP(A681,'STOCK DATA'!$A$2:$H$522,2,FALSE)</f>
        <v>77.319999999999993</v>
      </c>
      <c r="C681">
        <f>VLOOKUP($A681,'STOCK DATA'!$A$2:H$521,3,FALSE)</f>
        <v>1151</v>
      </c>
      <c r="D681">
        <f>VLOOKUP($A681,'STOCK DATA'!$A$2:$H$521,3,FALSE)</f>
        <v>1151</v>
      </c>
      <c r="E681">
        <f>VLOOKUP($A681,'STOCK DATA'!$A$2:$H$521,3,FALSE)</f>
        <v>1151</v>
      </c>
      <c r="F681">
        <f>VLOOKUP($A681,'STOCK DATA'!$A$2:$H$521,3,FALSE)</f>
        <v>1151</v>
      </c>
      <c r="G681">
        <f>VLOOKUP($A681,'STOCK DATA'!$A$2:$H$521,3,FALSE)</f>
        <v>1151</v>
      </c>
      <c r="H681">
        <f>VLOOKUP($A681,'STOCK DATA'!$A$2:$H$521,3,FALSE)</f>
        <v>1151</v>
      </c>
      <c r="I681">
        <f>VLOOKUP(A681,'Short-term interest Rates daily'!$A:$E,2,FALSE)</f>
        <v>12.38</v>
      </c>
      <c r="J681">
        <f>VLOOKUP(A681,'Short-term interest Rates daily'!$A:$E,3,FALSE)</f>
        <v>0</v>
      </c>
      <c r="K681">
        <f>VLOOKUP(A681,'Short-term interest Rates daily'!$A:$E,4,FALSE)</f>
        <v>8.44</v>
      </c>
      <c r="L681">
        <f>VLOOKUP(A681,'Short-term interest Rates daily'!$A:$E,5,FALSE)</f>
        <v>0</v>
      </c>
    </row>
    <row r="682" spans="1:12" x14ac:dyDescent="0.3">
      <c r="A682" s="1">
        <v>32093</v>
      </c>
      <c r="B682">
        <f>VLOOKUP(A682,'STOCK DATA'!$A$2:$H$522,2,FALSE)</f>
        <v>84.05</v>
      </c>
      <c r="C682">
        <f>VLOOKUP($A682,'STOCK DATA'!$A$2:H$521,3,FALSE)</f>
        <v>1205.9000000000001</v>
      </c>
      <c r="D682">
        <f>VLOOKUP($A682,'STOCK DATA'!$A$2:$H$521,3,FALSE)</f>
        <v>1205.9000000000001</v>
      </c>
      <c r="E682">
        <f>VLOOKUP($A682,'STOCK DATA'!$A$2:$H$521,3,FALSE)</f>
        <v>1205.9000000000001</v>
      </c>
      <c r="F682">
        <f>VLOOKUP($A682,'STOCK DATA'!$A$2:$H$521,3,FALSE)</f>
        <v>1205.9000000000001</v>
      </c>
      <c r="G682">
        <f>VLOOKUP($A682,'STOCK DATA'!$A$2:$H$521,3,FALSE)</f>
        <v>1205.9000000000001</v>
      </c>
      <c r="H682">
        <f>VLOOKUP($A682,'STOCK DATA'!$A$2:$H$521,3,FALSE)</f>
        <v>1205.9000000000001</v>
      </c>
      <c r="I682">
        <f>VLOOKUP(A682,'Short-term interest Rates daily'!$A:$E,2,FALSE)</f>
        <v>11.38</v>
      </c>
      <c r="J682">
        <f>VLOOKUP(A682,'Short-term interest Rates daily'!$A:$E,3,FALSE)</f>
        <v>8.34</v>
      </c>
      <c r="K682">
        <f>VLOOKUP(A682,'Short-term interest Rates daily'!$A:$E,4,FALSE)</f>
        <v>8.61</v>
      </c>
      <c r="L682">
        <f>VLOOKUP(A682,'Short-term interest Rates daily'!$A:$E,5,FALSE)</f>
        <v>5.83</v>
      </c>
    </row>
    <row r="683" spans="1:12" x14ac:dyDescent="0.3">
      <c r="A683" s="1">
        <v>32094</v>
      </c>
      <c r="B683">
        <f>VLOOKUP(A683,'STOCK DATA'!$A$2:$H$522,2,FALSE)</f>
        <v>81.739999999999995</v>
      </c>
      <c r="C683">
        <f>VLOOKUP($A683,'STOCK DATA'!$A$2:H$521,3,FALSE)</f>
        <v>1275.9000000000001</v>
      </c>
      <c r="D683">
        <f>VLOOKUP($A683,'STOCK DATA'!$A$2:$H$521,3,FALSE)</f>
        <v>1275.9000000000001</v>
      </c>
      <c r="E683">
        <f>VLOOKUP($A683,'STOCK DATA'!$A$2:$H$521,3,FALSE)</f>
        <v>1275.9000000000001</v>
      </c>
      <c r="F683">
        <f>VLOOKUP($A683,'STOCK DATA'!$A$2:$H$521,3,FALSE)</f>
        <v>1275.9000000000001</v>
      </c>
      <c r="G683">
        <f>VLOOKUP($A683,'STOCK DATA'!$A$2:$H$521,3,FALSE)</f>
        <v>1275.9000000000001</v>
      </c>
      <c r="H683">
        <f>VLOOKUP($A683,'STOCK DATA'!$A$2:$H$521,3,FALSE)</f>
        <v>1275.9000000000001</v>
      </c>
      <c r="I683">
        <f>VLOOKUP(A683,'Short-term interest Rates daily'!$A:$E,2,FALSE)</f>
        <v>11.13</v>
      </c>
      <c r="J683">
        <f>VLOOKUP(A683,'Short-term interest Rates daily'!$A:$E,3,FALSE)</f>
        <v>8.31</v>
      </c>
      <c r="K683">
        <f>VLOOKUP(A683,'Short-term interest Rates daily'!$A:$E,4,FALSE)</f>
        <v>8.7100000000000009</v>
      </c>
      <c r="L683">
        <f>VLOOKUP(A683,'Short-term interest Rates daily'!$A:$E,5,FALSE)</f>
        <v>5.91</v>
      </c>
    </row>
    <row r="684" spans="1:12" x14ac:dyDescent="0.3">
      <c r="A684" s="1">
        <v>32095</v>
      </c>
      <c r="B684" t="e">
        <f>VLOOKUP(A684,'STOCK DATA'!$A$2:$H$522,2,FALSE)</f>
        <v>#N/A</v>
      </c>
      <c r="C684" t="e">
        <f>VLOOKUP($A684,'STOCK DATA'!$A$2:H$521,3,FALSE)</f>
        <v>#N/A</v>
      </c>
      <c r="D684" t="e">
        <f>VLOOKUP($A684,'STOCK DATA'!$A$2:$H$521,3,FALSE)</f>
        <v>#N/A</v>
      </c>
      <c r="E684" t="e">
        <f>VLOOKUP($A684,'STOCK DATA'!$A$2:$H$521,3,FALSE)</f>
        <v>#N/A</v>
      </c>
      <c r="F684" t="e">
        <f>VLOOKUP($A684,'STOCK DATA'!$A$2:$H$521,3,FALSE)</f>
        <v>#N/A</v>
      </c>
      <c r="G684" t="e">
        <f>VLOOKUP($A684,'STOCK DATA'!$A$2:$H$521,3,FALSE)</f>
        <v>#N/A</v>
      </c>
      <c r="H684" t="e">
        <f>VLOOKUP($A684,'STOCK DATA'!$A$2:$H$521,3,FALSE)</f>
        <v>#N/A</v>
      </c>
      <c r="I684" t="e">
        <f>VLOOKUP(A684,'Short-term interest Rates daily'!$A:$E,2,FALSE)</f>
        <v>#N/A</v>
      </c>
      <c r="J684" t="e">
        <f>VLOOKUP(A684,'Short-term interest Rates daily'!$A:$E,3,FALSE)</f>
        <v>#N/A</v>
      </c>
      <c r="K684" t="e">
        <f>VLOOKUP(A684,'Short-term interest Rates daily'!$A:$E,4,FALSE)</f>
        <v>#N/A</v>
      </c>
      <c r="L684" t="e">
        <f>VLOOKUP(A684,'Short-term interest Rates daily'!$A:$E,5,FALSE)</f>
        <v>#N/A</v>
      </c>
    </row>
    <row r="685" spans="1:12" x14ac:dyDescent="0.3">
      <c r="A685" s="1">
        <v>32096</v>
      </c>
      <c r="B685" t="e">
        <f>VLOOKUP(A685,'STOCK DATA'!$A$2:$H$522,2,FALSE)</f>
        <v>#N/A</v>
      </c>
      <c r="C685" t="e">
        <f>VLOOKUP($A685,'STOCK DATA'!$A$2:H$521,3,FALSE)</f>
        <v>#N/A</v>
      </c>
      <c r="D685" t="e">
        <f>VLOOKUP($A685,'STOCK DATA'!$A$2:$H$521,3,FALSE)</f>
        <v>#N/A</v>
      </c>
      <c r="E685" t="e">
        <f>VLOOKUP($A685,'STOCK DATA'!$A$2:$H$521,3,FALSE)</f>
        <v>#N/A</v>
      </c>
      <c r="F685" t="e">
        <f>VLOOKUP($A685,'STOCK DATA'!$A$2:$H$521,3,FALSE)</f>
        <v>#N/A</v>
      </c>
      <c r="G685" t="e">
        <f>VLOOKUP($A685,'STOCK DATA'!$A$2:$H$521,3,FALSE)</f>
        <v>#N/A</v>
      </c>
      <c r="H685" t="e">
        <f>VLOOKUP($A685,'STOCK DATA'!$A$2:$H$521,3,FALSE)</f>
        <v>#N/A</v>
      </c>
      <c r="I685" t="e">
        <f>VLOOKUP(A685,'Short-term interest Rates daily'!$A:$E,2,FALSE)</f>
        <v>#N/A</v>
      </c>
      <c r="J685" t="e">
        <f>VLOOKUP(A685,'Short-term interest Rates daily'!$A:$E,3,FALSE)</f>
        <v>#N/A</v>
      </c>
      <c r="K685" t="e">
        <f>VLOOKUP(A685,'Short-term interest Rates daily'!$A:$E,4,FALSE)</f>
        <v>#N/A</v>
      </c>
      <c r="L685" t="e">
        <f>VLOOKUP(A685,'Short-term interest Rates daily'!$A:$E,5,FALSE)</f>
        <v>#N/A</v>
      </c>
    </row>
    <row r="686" spans="1:12" x14ac:dyDescent="0.3">
      <c r="A686" s="1">
        <v>32097</v>
      </c>
      <c r="B686">
        <f>VLOOKUP(A686,'STOCK DATA'!$A$2:$H$522,2,FALSE)</f>
        <v>84.98</v>
      </c>
      <c r="C686">
        <f>VLOOKUP($A686,'STOCK DATA'!$A$2:H$521,3,FALSE)</f>
        <v>1292.3</v>
      </c>
      <c r="D686">
        <f>VLOOKUP($A686,'STOCK DATA'!$A$2:$H$521,3,FALSE)</f>
        <v>1292.3</v>
      </c>
      <c r="E686">
        <f>VLOOKUP($A686,'STOCK DATA'!$A$2:$H$521,3,FALSE)</f>
        <v>1292.3</v>
      </c>
      <c r="F686">
        <f>VLOOKUP($A686,'STOCK DATA'!$A$2:$H$521,3,FALSE)</f>
        <v>1292.3</v>
      </c>
      <c r="G686">
        <f>VLOOKUP($A686,'STOCK DATA'!$A$2:$H$521,3,FALSE)</f>
        <v>1292.3</v>
      </c>
      <c r="H686">
        <f>VLOOKUP($A686,'STOCK DATA'!$A$2:$H$521,3,FALSE)</f>
        <v>1292.3</v>
      </c>
      <c r="I686">
        <f>VLOOKUP(A686,'Short-term interest Rates daily'!$A:$E,2,FALSE)</f>
        <v>11.38</v>
      </c>
      <c r="J686">
        <f>VLOOKUP(A686,'Short-term interest Rates daily'!$A:$E,3,FALSE)</f>
        <v>8.3699999999999992</v>
      </c>
      <c r="K686">
        <f>VLOOKUP(A686,'Short-term interest Rates daily'!$A:$E,4,FALSE)</f>
        <v>8.65</v>
      </c>
      <c r="L686">
        <f>VLOOKUP(A686,'Short-term interest Rates daily'!$A:$E,5,FALSE)</f>
        <v>5.87</v>
      </c>
    </row>
    <row r="687" spans="1:12" x14ac:dyDescent="0.3">
      <c r="A687" s="1">
        <v>32098</v>
      </c>
      <c r="B687">
        <f>VLOOKUP(A687,'STOCK DATA'!$A$2:$H$522,2,FALSE)</f>
        <v>81.66</v>
      </c>
      <c r="C687">
        <f>VLOOKUP($A687,'STOCK DATA'!$A$2:H$521,3,FALSE)</f>
        <v>1296.9000000000001</v>
      </c>
      <c r="D687">
        <f>VLOOKUP($A687,'STOCK DATA'!$A$2:$H$521,3,FALSE)</f>
        <v>1296.9000000000001</v>
      </c>
      <c r="E687">
        <f>VLOOKUP($A687,'STOCK DATA'!$A$2:$H$521,3,FALSE)</f>
        <v>1296.9000000000001</v>
      </c>
      <c r="F687">
        <f>VLOOKUP($A687,'STOCK DATA'!$A$2:$H$521,3,FALSE)</f>
        <v>1296.9000000000001</v>
      </c>
      <c r="G687">
        <f>VLOOKUP($A687,'STOCK DATA'!$A$2:$H$521,3,FALSE)</f>
        <v>1296.9000000000001</v>
      </c>
      <c r="H687">
        <f>VLOOKUP($A687,'STOCK DATA'!$A$2:$H$521,3,FALSE)</f>
        <v>1296.9000000000001</v>
      </c>
      <c r="I687">
        <f>VLOOKUP(A687,'Short-term interest Rates daily'!$A:$E,2,FALSE)</f>
        <v>12.3</v>
      </c>
      <c r="J687">
        <f>VLOOKUP(A687,'Short-term interest Rates daily'!$A:$E,3,FALSE)</f>
        <v>8.33</v>
      </c>
      <c r="K687">
        <f>VLOOKUP(A687,'Short-term interest Rates daily'!$A:$E,4,FALSE)</f>
        <v>8.61</v>
      </c>
      <c r="L687">
        <f>VLOOKUP(A687,'Short-term interest Rates daily'!$A:$E,5,FALSE)</f>
        <v>5.88</v>
      </c>
    </row>
    <row r="688" spans="1:12" x14ac:dyDescent="0.3">
      <c r="A688" s="1">
        <v>32099</v>
      </c>
      <c r="B688">
        <f>VLOOKUP(A688,'STOCK DATA'!$A$2:$H$522,2,FALSE)</f>
        <v>82.59</v>
      </c>
      <c r="C688">
        <f>VLOOKUP($A688,'STOCK DATA'!$A$2:H$521,3,FALSE)</f>
        <v>1284</v>
      </c>
      <c r="D688">
        <f>VLOOKUP($A688,'STOCK DATA'!$A$2:$H$521,3,FALSE)</f>
        <v>1284</v>
      </c>
      <c r="E688">
        <f>VLOOKUP($A688,'STOCK DATA'!$A$2:$H$521,3,FALSE)</f>
        <v>1284</v>
      </c>
      <c r="F688">
        <f>VLOOKUP($A688,'STOCK DATA'!$A$2:$H$521,3,FALSE)</f>
        <v>1284</v>
      </c>
      <c r="G688">
        <f>VLOOKUP($A688,'STOCK DATA'!$A$2:$H$521,3,FALSE)</f>
        <v>1284</v>
      </c>
      <c r="H688">
        <f>VLOOKUP($A688,'STOCK DATA'!$A$2:$H$521,3,FALSE)</f>
        <v>1284</v>
      </c>
      <c r="I688">
        <f>VLOOKUP(A688,'Short-term interest Rates daily'!$A:$E,2,FALSE)</f>
        <v>11.25</v>
      </c>
      <c r="J688">
        <f>VLOOKUP(A688,'Short-term interest Rates daily'!$A:$E,3,FALSE)</f>
        <v>8.27</v>
      </c>
      <c r="K688">
        <f>VLOOKUP(A688,'Short-term interest Rates daily'!$A:$E,4,FALSE)</f>
        <v>8.58</v>
      </c>
      <c r="L688">
        <f>VLOOKUP(A688,'Short-term interest Rates daily'!$A:$E,5,FALSE)</f>
        <v>5.77</v>
      </c>
    </row>
    <row r="689" spans="1:12" x14ac:dyDescent="0.3">
      <c r="A689" s="1">
        <v>32100</v>
      </c>
      <c r="B689">
        <f>VLOOKUP(A689,'STOCK DATA'!$A$2:$H$522,2,FALSE)</f>
        <v>80.47</v>
      </c>
      <c r="C689">
        <f>VLOOKUP($A689,'STOCK DATA'!$A$2:H$521,3,FALSE)</f>
        <v>1283.7</v>
      </c>
      <c r="D689">
        <f>VLOOKUP($A689,'STOCK DATA'!$A$2:$H$521,3,FALSE)</f>
        <v>1283.7</v>
      </c>
      <c r="E689">
        <f>VLOOKUP($A689,'STOCK DATA'!$A$2:$H$521,3,FALSE)</f>
        <v>1283.7</v>
      </c>
      <c r="F689">
        <f>VLOOKUP($A689,'STOCK DATA'!$A$2:$H$521,3,FALSE)</f>
        <v>1283.7</v>
      </c>
      <c r="G689">
        <f>VLOOKUP($A689,'STOCK DATA'!$A$2:$H$521,3,FALSE)</f>
        <v>1283.7</v>
      </c>
      <c r="H689">
        <f>VLOOKUP($A689,'STOCK DATA'!$A$2:$H$521,3,FALSE)</f>
        <v>1283.7</v>
      </c>
      <c r="I689">
        <f>VLOOKUP(A689,'Short-term interest Rates daily'!$A:$E,2,FALSE)</f>
        <v>11.25</v>
      </c>
      <c r="J689">
        <f>VLOOKUP(A689,'Short-term interest Rates daily'!$A:$E,3,FALSE)</f>
        <v>8.2100000000000009</v>
      </c>
      <c r="K689">
        <f>VLOOKUP(A689,'Short-term interest Rates daily'!$A:$E,4,FALSE)</f>
        <v>8.58</v>
      </c>
      <c r="L689">
        <f>VLOOKUP(A689,'Short-term interest Rates daily'!$A:$E,5,FALSE)</f>
        <v>5.66</v>
      </c>
    </row>
    <row r="690" spans="1:12" x14ac:dyDescent="0.3">
      <c r="A690" s="1">
        <v>32101</v>
      </c>
      <c r="B690">
        <f>VLOOKUP(A690,'STOCK DATA'!$A$2:$H$522,2,FALSE)</f>
        <v>77.27</v>
      </c>
      <c r="C690">
        <f>VLOOKUP($A690,'STOCK DATA'!$A$2:H$521,3,FALSE)</f>
        <v>1255.9000000000001</v>
      </c>
      <c r="D690">
        <f>VLOOKUP($A690,'STOCK DATA'!$A$2:$H$521,3,FALSE)</f>
        <v>1255.9000000000001</v>
      </c>
      <c r="E690">
        <f>VLOOKUP($A690,'STOCK DATA'!$A$2:$H$521,3,FALSE)</f>
        <v>1255.9000000000001</v>
      </c>
      <c r="F690">
        <f>VLOOKUP($A690,'STOCK DATA'!$A$2:$H$521,3,FALSE)</f>
        <v>1255.9000000000001</v>
      </c>
      <c r="G690">
        <f>VLOOKUP($A690,'STOCK DATA'!$A$2:$H$521,3,FALSE)</f>
        <v>1255.9000000000001</v>
      </c>
      <c r="H690">
        <f>VLOOKUP($A690,'STOCK DATA'!$A$2:$H$521,3,FALSE)</f>
        <v>1255.9000000000001</v>
      </c>
      <c r="I690">
        <f>VLOOKUP(A690,'Short-term interest Rates daily'!$A:$E,2,FALSE)</f>
        <v>11.38</v>
      </c>
      <c r="J690">
        <f>VLOOKUP(A690,'Short-term interest Rates daily'!$A:$E,3,FALSE)</f>
        <v>8.24</v>
      </c>
      <c r="K690">
        <f>VLOOKUP(A690,'Short-term interest Rates daily'!$A:$E,4,FALSE)</f>
        <v>8.61</v>
      </c>
      <c r="L690">
        <f>VLOOKUP(A690,'Short-term interest Rates daily'!$A:$E,5,FALSE)</f>
        <v>5.72</v>
      </c>
    </row>
    <row r="691" spans="1:12" x14ac:dyDescent="0.3">
      <c r="A691" s="1">
        <v>32102</v>
      </c>
      <c r="B691" t="e">
        <f>VLOOKUP(A691,'STOCK DATA'!$A$2:$H$522,2,FALSE)</f>
        <v>#N/A</v>
      </c>
      <c r="C691" t="e">
        <f>VLOOKUP($A691,'STOCK DATA'!$A$2:H$521,3,FALSE)</f>
        <v>#N/A</v>
      </c>
      <c r="D691" t="e">
        <f>VLOOKUP($A691,'STOCK DATA'!$A$2:$H$521,3,FALSE)</f>
        <v>#N/A</v>
      </c>
      <c r="E691" t="e">
        <f>VLOOKUP($A691,'STOCK DATA'!$A$2:$H$521,3,FALSE)</f>
        <v>#N/A</v>
      </c>
      <c r="F691" t="e">
        <f>VLOOKUP($A691,'STOCK DATA'!$A$2:$H$521,3,FALSE)</f>
        <v>#N/A</v>
      </c>
      <c r="G691" t="e">
        <f>VLOOKUP($A691,'STOCK DATA'!$A$2:$H$521,3,FALSE)</f>
        <v>#N/A</v>
      </c>
      <c r="H691" t="e">
        <f>VLOOKUP($A691,'STOCK DATA'!$A$2:$H$521,3,FALSE)</f>
        <v>#N/A</v>
      </c>
      <c r="I691" t="e">
        <f>VLOOKUP(A691,'Short-term interest Rates daily'!$A:$E,2,FALSE)</f>
        <v>#N/A</v>
      </c>
      <c r="J691" t="e">
        <f>VLOOKUP(A691,'Short-term interest Rates daily'!$A:$E,3,FALSE)</f>
        <v>#N/A</v>
      </c>
      <c r="K691" t="e">
        <f>VLOOKUP(A691,'Short-term interest Rates daily'!$A:$E,4,FALSE)</f>
        <v>#N/A</v>
      </c>
      <c r="L691" t="e">
        <f>VLOOKUP(A691,'Short-term interest Rates daily'!$A:$E,5,FALSE)</f>
        <v>#N/A</v>
      </c>
    </row>
    <row r="692" spans="1:12" x14ac:dyDescent="0.3">
      <c r="A692" s="1">
        <v>32103</v>
      </c>
      <c r="B692" t="e">
        <f>VLOOKUP(A692,'STOCK DATA'!$A$2:$H$522,2,FALSE)</f>
        <v>#N/A</v>
      </c>
      <c r="C692" t="e">
        <f>VLOOKUP($A692,'STOCK DATA'!$A$2:H$521,3,FALSE)</f>
        <v>#N/A</v>
      </c>
      <c r="D692" t="e">
        <f>VLOOKUP($A692,'STOCK DATA'!$A$2:$H$521,3,FALSE)</f>
        <v>#N/A</v>
      </c>
      <c r="E692" t="e">
        <f>VLOOKUP($A692,'STOCK DATA'!$A$2:$H$521,3,FALSE)</f>
        <v>#N/A</v>
      </c>
      <c r="F692" t="e">
        <f>VLOOKUP($A692,'STOCK DATA'!$A$2:$H$521,3,FALSE)</f>
        <v>#N/A</v>
      </c>
      <c r="G692" t="e">
        <f>VLOOKUP($A692,'STOCK DATA'!$A$2:$H$521,3,FALSE)</f>
        <v>#N/A</v>
      </c>
      <c r="H692" t="e">
        <f>VLOOKUP($A692,'STOCK DATA'!$A$2:$H$521,3,FALSE)</f>
        <v>#N/A</v>
      </c>
      <c r="I692" t="e">
        <f>VLOOKUP(A692,'Short-term interest Rates daily'!$A:$E,2,FALSE)</f>
        <v>#N/A</v>
      </c>
      <c r="J692" t="e">
        <f>VLOOKUP(A692,'Short-term interest Rates daily'!$A:$E,3,FALSE)</f>
        <v>#N/A</v>
      </c>
      <c r="K692" t="e">
        <f>VLOOKUP(A692,'Short-term interest Rates daily'!$A:$E,4,FALSE)</f>
        <v>#N/A</v>
      </c>
      <c r="L692" t="e">
        <f>VLOOKUP(A692,'Short-term interest Rates daily'!$A:$E,5,FALSE)</f>
        <v>#N/A</v>
      </c>
    </row>
    <row r="693" spans="1:12" x14ac:dyDescent="0.3">
      <c r="A693" s="1">
        <v>32104</v>
      </c>
      <c r="B693">
        <f>VLOOKUP(A693,'STOCK DATA'!$A$2:$H$522,2,FALSE)</f>
        <v>79.599999999999994</v>
      </c>
      <c r="C693">
        <f>VLOOKUP($A693,'STOCK DATA'!$A$2:H$521,3,FALSE)</f>
        <v>1249.5</v>
      </c>
      <c r="D693">
        <f>VLOOKUP($A693,'STOCK DATA'!$A$2:$H$521,3,FALSE)</f>
        <v>1249.5</v>
      </c>
      <c r="E693">
        <f>VLOOKUP($A693,'STOCK DATA'!$A$2:$H$521,3,FALSE)</f>
        <v>1249.5</v>
      </c>
      <c r="F693">
        <f>VLOOKUP($A693,'STOCK DATA'!$A$2:$H$521,3,FALSE)</f>
        <v>1249.5</v>
      </c>
      <c r="G693">
        <f>VLOOKUP($A693,'STOCK DATA'!$A$2:$H$521,3,FALSE)</f>
        <v>1249.5</v>
      </c>
      <c r="H693">
        <f>VLOOKUP($A693,'STOCK DATA'!$A$2:$H$521,3,FALSE)</f>
        <v>1249.5</v>
      </c>
      <c r="I693">
        <f>VLOOKUP(A693,'Short-term interest Rates daily'!$A:$E,2,FALSE)</f>
        <v>11.48</v>
      </c>
      <c r="J693">
        <f>VLOOKUP(A693,'Short-term interest Rates daily'!$A:$E,3,FALSE)</f>
        <v>8.26</v>
      </c>
      <c r="K693">
        <f>VLOOKUP(A693,'Short-term interest Rates daily'!$A:$E,4,FALSE)</f>
        <v>8.61</v>
      </c>
      <c r="L693">
        <f>VLOOKUP(A693,'Short-term interest Rates daily'!$A:$E,5,FALSE)</f>
        <v>5.78</v>
      </c>
    </row>
    <row r="694" spans="1:12" x14ac:dyDescent="0.3">
      <c r="A694" s="1">
        <v>32105</v>
      </c>
      <c r="B694">
        <f>VLOOKUP(A694,'STOCK DATA'!$A$2:$H$522,2,FALSE)</f>
        <v>81.349999999999994</v>
      </c>
      <c r="C694">
        <f>VLOOKUP($A694,'STOCK DATA'!$A$2:H$521,3,FALSE)</f>
        <v>1266.0999999999999</v>
      </c>
      <c r="D694">
        <f>VLOOKUP($A694,'STOCK DATA'!$A$2:$H$521,3,FALSE)</f>
        <v>1266.0999999999999</v>
      </c>
      <c r="E694">
        <f>VLOOKUP($A694,'STOCK DATA'!$A$2:$H$521,3,FALSE)</f>
        <v>1266.0999999999999</v>
      </c>
      <c r="F694">
        <f>VLOOKUP($A694,'STOCK DATA'!$A$2:$H$521,3,FALSE)</f>
        <v>1266.0999999999999</v>
      </c>
      <c r="G694">
        <f>VLOOKUP($A694,'STOCK DATA'!$A$2:$H$521,3,FALSE)</f>
        <v>1266.0999999999999</v>
      </c>
      <c r="H694">
        <f>VLOOKUP($A694,'STOCK DATA'!$A$2:$H$521,3,FALSE)</f>
        <v>1266.0999999999999</v>
      </c>
      <c r="I694">
        <f>VLOOKUP(A694,'Short-term interest Rates daily'!$A:$E,2,FALSE)</f>
        <v>11.53</v>
      </c>
      <c r="J694">
        <f>VLOOKUP(A694,'Short-term interest Rates daily'!$A:$E,3,FALSE)</f>
        <v>8.27</v>
      </c>
      <c r="K694">
        <f>VLOOKUP(A694,'Short-term interest Rates daily'!$A:$E,4,FALSE)</f>
        <v>8.68</v>
      </c>
      <c r="L694">
        <f>VLOOKUP(A694,'Short-term interest Rates daily'!$A:$E,5,FALSE)</f>
        <v>5.77</v>
      </c>
    </row>
    <row r="695" spans="1:12" x14ac:dyDescent="0.3">
      <c r="A695" s="1">
        <v>32106</v>
      </c>
      <c r="B695">
        <f>VLOOKUP(A695,'STOCK DATA'!$A$2:$H$522,2,FALSE)</f>
        <v>79.39</v>
      </c>
      <c r="C695">
        <f>VLOOKUP($A695,'STOCK DATA'!$A$2:H$521,3,FALSE)</f>
        <v>1297.3</v>
      </c>
      <c r="D695">
        <f>VLOOKUP($A695,'STOCK DATA'!$A$2:$H$521,3,FALSE)</f>
        <v>1297.3</v>
      </c>
      <c r="E695">
        <f>VLOOKUP($A695,'STOCK DATA'!$A$2:$H$521,3,FALSE)</f>
        <v>1297.3</v>
      </c>
      <c r="F695">
        <f>VLOOKUP($A695,'STOCK DATA'!$A$2:$H$521,3,FALSE)</f>
        <v>1297.3</v>
      </c>
      <c r="G695">
        <f>VLOOKUP($A695,'STOCK DATA'!$A$2:$H$521,3,FALSE)</f>
        <v>1297.3</v>
      </c>
      <c r="H695">
        <f>VLOOKUP($A695,'STOCK DATA'!$A$2:$H$521,3,FALSE)</f>
        <v>1297.3</v>
      </c>
      <c r="I695">
        <f>VLOOKUP(A695,'Short-term interest Rates daily'!$A:$E,2,FALSE)</f>
        <v>11.25</v>
      </c>
      <c r="J695">
        <f>VLOOKUP(A695,'Short-term interest Rates daily'!$A:$E,3,FALSE)</f>
        <v>8.25</v>
      </c>
      <c r="K695">
        <f>VLOOKUP(A695,'Short-term interest Rates daily'!$A:$E,4,FALSE)</f>
        <v>8.7100000000000009</v>
      </c>
      <c r="L695">
        <f>VLOOKUP(A695,'Short-term interest Rates daily'!$A:$E,5,FALSE)</f>
        <v>5.7</v>
      </c>
    </row>
    <row r="696" spans="1:12" x14ac:dyDescent="0.3">
      <c r="A696" s="1">
        <v>32107</v>
      </c>
      <c r="B696">
        <f>VLOOKUP(A696,'STOCK DATA'!$A$2:$H$522,2,FALSE)</f>
        <v>77.95</v>
      </c>
      <c r="C696">
        <f>VLOOKUP($A696,'STOCK DATA'!$A$2:H$521,3,FALSE)</f>
        <v>1311</v>
      </c>
      <c r="D696">
        <f>VLOOKUP($A696,'STOCK DATA'!$A$2:$H$521,3,FALSE)</f>
        <v>1311</v>
      </c>
      <c r="E696">
        <f>VLOOKUP($A696,'STOCK DATA'!$A$2:$H$521,3,FALSE)</f>
        <v>1311</v>
      </c>
      <c r="F696">
        <f>VLOOKUP($A696,'STOCK DATA'!$A$2:$H$521,3,FALSE)</f>
        <v>1311</v>
      </c>
      <c r="G696">
        <f>VLOOKUP($A696,'STOCK DATA'!$A$2:$H$521,3,FALSE)</f>
        <v>1311</v>
      </c>
      <c r="H696">
        <f>VLOOKUP($A696,'STOCK DATA'!$A$2:$H$521,3,FALSE)</f>
        <v>1311</v>
      </c>
      <c r="I696">
        <f>VLOOKUP(A696,'Short-term interest Rates daily'!$A:$E,2,FALSE)</f>
        <v>11.3</v>
      </c>
      <c r="J696">
        <f>VLOOKUP(A696,'Short-term interest Rates daily'!$A:$E,3,FALSE)</f>
        <v>8.34</v>
      </c>
      <c r="K696">
        <f>VLOOKUP(A696,'Short-term interest Rates daily'!$A:$E,4,FALSE)</f>
        <v>8.6999999999999993</v>
      </c>
      <c r="L696">
        <f>VLOOKUP(A696,'Short-term interest Rates daily'!$A:$E,5,FALSE)</f>
        <v>0</v>
      </c>
    </row>
    <row r="697" spans="1:12" x14ac:dyDescent="0.3">
      <c r="A697" s="1">
        <v>32108</v>
      </c>
      <c r="B697">
        <f>VLOOKUP(A697,'STOCK DATA'!$A$2:$H$522,2,FALSE)</f>
        <v>77.58</v>
      </c>
      <c r="C697">
        <f>VLOOKUP($A697,'STOCK DATA'!$A$2:H$521,3,FALSE)</f>
        <v>1321.9</v>
      </c>
      <c r="D697">
        <f>VLOOKUP($A697,'STOCK DATA'!$A$2:$H$521,3,FALSE)</f>
        <v>1321.9</v>
      </c>
      <c r="E697">
        <f>VLOOKUP($A697,'STOCK DATA'!$A$2:$H$521,3,FALSE)</f>
        <v>1321.9</v>
      </c>
      <c r="F697">
        <f>VLOOKUP($A697,'STOCK DATA'!$A$2:$H$521,3,FALSE)</f>
        <v>1321.9</v>
      </c>
      <c r="G697">
        <f>VLOOKUP($A697,'STOCK DATA'!$A$2:$H$521,3,FALSE)</f>
        <v>1321.9</v>
      </c>
      <c r="H697">
        <f>VLOOKUP($A697,'STOCK DATA'!$A$2:$H$521,3,FALSE)</f>
        <v>1321.9</v>
      </c>
      <c r="I697">
        <f>VLOOKUP(A697,'Short-term interest Rates daily'!$A:$E,2,FALSE)</f>
        <v>11.55</v>
      </c>
      <c r="J697">
        <f>VLOOKUP(A697,'Short-term interest Rates daily'!$A:$E,3,FALSE)</f>
        <v>8.36</v>
      </c>
      <c r="K697">
        <f>VLOOKUP(A697,'Short-term interest Rates daily'!$A:$E,4,FALSE)</f>
        <v>8.68</v>
      </c>
      <c r="L697">
        <f>VLOOKUP(A697,'Short-term interest Rates daily'!$A:$E,5,FALSE)</f>
        <v>5.63</v>
      </c>
    </row>
    <row r="698" spans="1:12" x14ac:dyDescent="0.3">
      <c r="A698" s="1">
        <v>32109</v>
      </c>
      <c r="B698" t="e">
        <f>VLOOKUP(A698,'STOCK DATA'!$A$2:$H$522,2,FALSE)</f>
        <v>#N/A</v>
      </c>
      <c r="C698" t="e">
        <f>VLOOKUP($A698,'STOCK DATA'!$A$2:H$521,3,FALSE)</f>
        <v>#N/A</v>
      </c>
      <c r="D698" t="e">
        <f>VLOOKUP($A698,'STOCK DATA'!$A$2:$H$521,3,FALSE)</f>
        <v>#N/A</v>
      </c>
      <c r="E698" t="e">
        <f>VLOOKUP($A698,'STOCK DATA'!$A$2:$H$521,3,FALSE)</f>
        <v>#N/A</v>
      </c>
      <c r="F698" t="e">
        <f>VLOOKUP($A698,'STOCK DATA'!$A$2:$H$521,3,FALSE)</f>
        <v>#N/A</v>
      </c>
      <c r="G698" t="e">
        <f>VLOOKUP($A698,'STOCK DATA'!$A$2:$H$521,3,FALSE)</f>
        <v>#N/A</v>
      </c>
      <c r="H698" t="e">
        <f>VLOOKUP($A698,'STOCK DATA'!$A$2:$H$521,3,FALSE)</f>
        <v>#N/A</v>
      </c>
      <c r="I698" t="e">
        <f>VLOOKUP(A698,'Short-term interest Rates daily'!$A:$E,2,FALSE)</f>
        <v>#N/A</v>
      </c>
      <c r="J698" t="e">
        <f>VLOOKUP(A698,'Short-term interest Rates daily'!$A:$E,3,FALSE)</f>
        <v>#N/A</v>
      </c>
      <c r="K698" t="e">
        <f>VLOOKUP(A698,'Short-term interest Rates daily'!$A:$E,4,FALSE)</f>
        <v>#N/A</v>
      </c>
      <c r="L698" t="e">
        <f>VLOOKUP(A698,'Short-term interest Rates daily'!$A:$E,5,FALSE)</f>
        <v>#N/A</v>
      </c>
    </row>
    <row r="699" spans="1:12" x14ac:dyDescent="0.3">
      <c r="A699" s="1">
        <v>32110</v>
      </c>
      <c r="B699" t="e">
        <f>VLOOKUP(A699,'STOCK DATA'!$A$2:$H$522,2,FALSE)</f>
        <v>#N/A</v>
      </c>
      <c r="C699" t="e">
        <f>VLOOKUP($A699,'STOCK DATA'!$A$2:H$521,3,FALSE)</f>
        <v>#N/A</v>
      </c>
      <c r="D699" t="e">
        <f>VLOOKUP($A699,'STOCK DATA'!$A$2:$H$521,3,FALSE)</f>
        <v>#N/A</v>
      </c>
      <c r="E699" t="e">
        <f>VLOOKUP($A699,'STOCK DATA'!$A$2:$H$521,3,FALSE)</f>
        <v>#N/A</v>
      </c>
      <c r="F699" t="e">
        <f>VLOOKUP($A699,'STOCK DATA'!$A$2:$H$521,3,FALSE)</f>
        <v>#N/A</v>
      </c>
      <c r="G699" t="e">
        <f>VLOOKUP($A699,'STOCK DATA'!$A$2:$H$521,3,FALSE)</f>
        <v>#N/A</v>
      </c>
      <c r="H699" t="e">
        <f>VLOOKUP($A699,'STOCK DATA'!$A$2:$H$521,3,FALSE)</f>
        <v>#N/A</v>
      </c>
      <c r="I699" t="e">
        <f>VLOOKUP(A699,'Short-term interest Rates daily'!$A:$E,2,FALSE)</f>
        <v>#N/A</v>
      </c>
      <c r="J699" t="e">
        <f>VLOOKUP(A699,'Short-term interest Rates daily'!$A:$E,3,FALSE)</f>
        <v>#N/A</v>
      </c>
      <c r="K699" t="e">
        <f>VLOOKUP(A699,'Short-term interest Rates daily'!$A:$E,4,FALSE)</f>
        <v>#N/A</v>
      </c>
      <c r="L699" t="e">
        <f>VLOOKUP(A699,'Short-term interest Rates daily'!$A:$E,5,FALSE)</f>
        <v>#N/A</v>
      </c>
    </row>
    <row r="700" spans="1:12" x14ac:dyDescent="0.3">
      <c r="A700" s="1">
        <v>32111</v>
      </c>
      <c r="B700">
        <f>VLOOKUP(A700,'STOCK DATA'!$A$2:$H$522,2,FALSE)</f>
        <v>72.27</v>
      </c>
      <c r="C700">
        <f>VLOOKUP($A700,'STOCK DATA'!$A$2:H$521,3,FALSE)</f>
        <v>1328.7</v>
      </c>
      <c r="D700">
        <f>VLOOKUP($A700,'STOCK DATA'!$A$2:$H$521,3,FALSE)</f>
        <v>1328.7</v>
      </c>
      <c r="E700">
        <f>VLOOKUP($A700,'STOCK DATA'!$A$2:$H$521,3,FALSE)</f>
        <v>1328.7</v>
      </c>
      <c r="F700">
        <f>VLOOKUP($A700,'STOCK DATA'!$A$2:$H$521,3,FALSE)</f>
        <v>1328.7</v>
      </c>
      <c r="G700">
        <f>VLOOKUP($A700,'STOCK DATA'!$A$2:$H$521,3,FALSE)</f>
        <v>1328.7</v>
      </c>
      <c r="H700">
        <f>VLOOKUP($A700,'STOCK DATA'!$A$2:$H$521,3,FALSE)</f>
        <v>1328.7</v>
      </c>
      <c r="I700">
        <f>VLOOKUP(A700,'Short-term interest Rates daily'!$A:$E,2,FALSE)</f>
        <v>11.75</v>
      </c>
      <c r="J700">
        <f>VLOOKUP(A700,'Short-term interest Rates daily'!$A:$E,3,FALSE)</f>
        <v>8.34</v>
      </c>
      <c r="K700">
        <f>VLOOKUP(A700,'Short-term interest Rates daily'!$A:$E,4,FALSE)</f>
        <v>8.56</v>
      </c>
      <c r="L700">
        <f>VLOOKUP(A700,'Short-term interest Rates daily'!$A:$E,5,FALSE)</f>
        <v>5.21</v>
      </c>
    </row>
    <row r="701" spans="1:12" x14ac:dyDescent="0.3">
      <c r="A701" s="1">
        <v>32112</v>
      </c>
      <c r="B701">
        <f>VLOOKUP(A701,'STOCK DATA'!$A$2:$H$522,2,FALSE)</f>
        <v>74.540000000000006</v>
      </c>
      <c r="C701">
        <f>VLOOKUP($A701,'STOCK DATA'!$A$2:H$521,3,FALSE)</f>
        <v>1328.7</v>
      </c>
      <c r="D701">
        <f>VLOOKUP($A701,'STOCK DATA'!$A$2:$H$521,3,FALSE)</f>
        <v>1328.7</v>
      </c>
      <c r="E701">
        <f>VLOOKUP($A701,'STOCK DATA'!$A$2:$H$521,3,FALSE)</f>
        <v>1328.7</v>
      </c>
      <c r="F701">
        <f>VLOOKUP($A701,'STOCK DATA'!$A$2:$H$521,3,FALSE)</f>
        <v>1328.7</v>
      </c>
      <c r="G701">
        <f>VLOOKUP($A701,'STOCK DATA'!$A$2:$H$521,3,FALSE)</f>
        <v>1328.7</v>
      </c>
      <c r="H701">
        <f>VLOOKUP($A701,'STOCK DATA'!$A$2:$H$521,3,FALSE)</f>
        <v>1328.7</v>
      </c>
      <c r="I701">
        <f>VLOOKUP(A701,'Short-term interest Rates daily'!$A:$E,2,FALSE)</f>
        <v>12.13</v>
      </c>
      <c r="J701">
        <f>VLOOKUP(A701,'Short-term interest Rates daily'!$A:$E,3,FALSE)</f>
        <v>8.42</v>
      </c>
      <c r="K701">
        <f>VLOOKUP(A701,'Short-term interest Rates daily'!$A:$E,4,FALSE)</f>
        <v>8.56</v>
      </c>
      <c r="L701">
        <f>VLOOKUP(A701,'Short-term interest Rates daily'!$A:$E,5,FALSE)</f>
        <v>5.55</v>
      </c>
    </row>
    <row r="702" spans="1:12" x14ac:dyDescent="0.3">
      <c r="A702" s="1">
        <v>32113</v>
      </c>
      <c r="B702">
        <f>VLOOKUP(A702,'STOCK DATA'!$A$2:$H$522,2,FALSE)</f>
        <v>73.78</v>
      </c>
      <c r="C702">
        <f>VLOOKUP($A702,'STOCK DATA'!$A$2:H$521,3,FALSE)</f>
        <v>1307.2</v>
      </c>
      <c r="D702">
        <f>VLOOKUP($A702,'STOCK DATA'!$A$2:$H$521,3,FALSE)</f>
        <v>1307.2</v>
      </c>
      <c r="E702">
        <f>VLOOKUP($A702,'STOCK DATA'!$A$2:$H$521,3,FALSE)</f>
        <v>1307.2</v>
      </c>
      <c r="F702">
        <f>VLOOKUP($A702,'STOCK DATA'!$A$2:$H$521,3,FALSE)</f>
        <v>1307.2</v>
      </c>
      <c r="G702">
        <f>VLOOKUP($A702,'STOCK DATA'!$A$2:$H$521,3,FALSE)</f>
        <v>1307.2</v>
      </c>
      <c r="H702">
        <f>VLOOKUP($A702,'STOCK DATA'!$A$2:$H$521,3,FALSE)</f>
        <v>1307.2</v>
      </c>
      <c r="I702">
        <f>VLOOKUP(A702,'Short-term interest Rates daily'!$A:$E,2,FALSE)</f>
        <v>11.63</v>
      </c>
      <c r="J702">
        <f>VLOOKUP(A702,'Short-term interest Rates daily'!$A:$E,3,FALSE)</f>
        <v>8.44</v>
      </c>
      <c r="K702">
        <f>VLOOKUP(A702,'Short-term interest Rates daily'!$A:$E,4,FALSE)</f>
        <v>8.56</v>
      </c>
      <c r="L702">
        <f>VLOOKUP(A702,'Short-term interest Rates daily'!$A:$E,5,FALSE)</f>
        <v>5.49</v>
      </c>
    </row>
    <row r="703" spans="1:12" x14ac:dyDescent="0.3">
      <c r="A703" s="1">
        <v>32114</v>
      </c>
      <c r="B703">
        <f>VLOOKUP(A703,'STOCK DATA'!$A$2:$H$522,2,FALSE)</f>
        <v>74.180000000000007</v>
      </c>
      <c r="C703">
        <f>VLOOKUP($A703,'STOCK DATA'!$A$2:H$521,3,FALSE)</f>
        <v>1286.3</v>
      </c>
      <c r="D703">
        <f>VLOOKUP($A703,'STOCK DATA'!$A$2:$H$521,3,FALSE)</f>
        <v>1286.3</v>
      </c>
      <c r="E703">
        <f>VLOOKUP($A703,'STOCK DATA'!$A$2:$H$521,3,FALSE)</f>
        <v>1286.3</v>
      </c>
      <c r="F703">
        <f>VLOOKUP($A703,'STOCK DATA'!$A$2:$H$521,3,FALSE)</f>
        <v>1286.3</v>
      </c>
      <c r="G703">
        <f>VLOOKUP($A703,'STOCK DATA'!$A$2:$H$521,3,FALSE)</f>
        <v>1286.3</v>
      </c>
      <c r="H703">
        <f>VLOOKUP($A703,'STOCK DATA'!$A$2:$H$521,3,FALSE)</f>
        <v>1286.3</v>
      </c>
      <c r="I703">
        <f>VLOOKUP(A703,'Short-term interest Rates daily'!$A:$E,2,FALSE)</f>
        <v>11.18</v>
      </c>
      <c r="J703">
        <f>VLOOKUP(A703,'Short-term interest Rates daily'!$A:$E,3,FALSE)</f>
        <v>8.4700000000000006</v>
      </c>
      <c r="K703">
        <f>VLOOKUP(A703,'Short-term interest Rates daily'!$A:$E,4,FALSE)</f>
        <v>8.5</v>
      </c>
      <c r="L703">
        <f>VLOOKUP(A703,'Short-term interest Rates daily'!$A:$E,5,FALSE)</f>
        <v>5.36</v>
      </c>
    </row>
    <row r="704" spans="1:12" x14ac:dyDescent="0.3">
      <c r="A704" s="1">
        <v>32115</v>
      </c>
      <c r="B704">
        <f>VLOOKUP(A704,'STOCK DATA'!$A$2:$H$522,2,FALSE)</f>
        <v>71.94</v>
      </c>
      <c r="C704">
        <f>VLOOKUP($A704,'STOCK DATA'!$A$2:H$521,3,FALSE)</f>
        <v>1247.2</v>
      </c>
      <c r="D704">
        <f>VLOOKUP($A704,'STOCK DATA'!$A$2:$H$521,3,FALSE)</f>
        <v>1247.2</v>
      </c>
      <c r="E704">
        <f>VLOOKUP($A704,'STOCK DATA'!$A$2:$H$521,3,FALSE)</f>
        <v>1247.2</v>
      </c>
      <c r="F704">
        <f>VLOOKUP($A704,'STOCK DATA'!$A$2:$H$521,3,FALSE)</f>
        <v>1247.2</v>
      </c>
      <c r="G704">
        <f>VLOOKUP($A704,'STOCK DATA'!$A$2:$H$521,3,FALSE)</f>
        <v>1247.2</v>
      </c>
      <c r="H704">
        <f>VLOOKUP($A704,'STOCK DATA'!$A$2:$H$521,3,FALSE)</f>
        <v>1247.2</v>
      </c>
      <c r="I704">
        <f>VLOOKUP(A704,'Short-term interest Rates daily'!$A:$E,2,FALSE)</f>
        <v>10.88</v>
      </c>
      <c r="J704">
        <f>VLOOKUP(A704,'Short-term interest Rates daily'!$A:$E,3,FALSE)</f>
        <v>8.4499999999999993</v>
      </c>
      <c r="K704">
        <f>VLOOKUP(A704,'Short-term interest Rates daily'!$A:$E,4,FALSE)</f>
        <v>8.2200000000000006</v>
      </c>
      <c r="L704">
        <f>VLOOKUP(A704,'Short-term interest Rates daily'!$A:$E,5,FALSE)</f>
        <v>5.43</v>
      </c>
    </row>
    <row r="705" spans="1:12" x14ac:dyDescent="0.3">
      <c r="A705" s="1">
        <v>32116</v>
      </c>
      <c r="B705" t="e">
        <f>VLOOKUP(A705,'STOCK DATA'!$A$2:$H$522,2,FALSE)</f>
        <v>#N/A</v>
      </c>
      <c r="C705" t="e">
        <f>VLOOKUP($A705,'STOCK DATA'!$A$2:H$521,3,FALSE)</f>
        <v>#N/A</v>
      </c>
      <c r="D705" t="e">
        <f>VLOOKUP($A705,'STOCK DATA'!$A$2:$H$521,3,FALSE)</f>
        <v>#N/A</v>
      </c>
      <c r="E705" t="e">
        <f>VLOOKUP($A705,'STOCK DATA'!$A$2:$H$521,3,FALSE)</f>
        <v>#N/A</v>
      </c>
      <c r="F705" t="e">
        <f>VLOOKUP($A705,'STOCK DATA'!$A$2:$H$521,3,FALSE)</f>
        <v>#N/A</v>
      </c>
      <c r="G705" t="e">
        <f>VLOOKUP($A705,'STOCK DATA'!$A$2:$H$521,3,FALSE)</f>
        <v>#N/A</v>
      </c>
      <c r="H705" t="e">
        <f>VLOOKUP($A705,'STOCK DATA'!$A$2:$H$521,3,FALSE)</f>
        <v>#N/A</v>
      </c>
      <c r="I705" t="e">
        <f>VLOOKUP(A705,'Short-term interest Rates daily'!$A:$E,2,FALSE)</f>
        <v>#N/A</v>
      </c>
      <c r="J705" t="e">
        <f>VLOOKUP(A705,'Short-term interest Rates daily'!$A:$E,3,FALSE)</f>
        <v>#N/A</v>
      </c>
      <c r="K705" t="e">
        <f>VLOOKUP(A705,'Short-term interest Rates daily'!$A:$E,4,FALSE)</f>
        <v>#N/A</v>
      </c>
      <c r="L705" t="e">
        <f>VLOOKUP(A705,'Short-term interest Rates daily'!$A:$E,5,FALSE)</f>
        <v>#N/A</v>
      </c>
    </row>
    <row r="706" spans="1:12" x14ac:dyDescent="0.3">
      <c r="A706" s="1">
        <v>32117</v>
      </c>
      <c r="B706" t="e">
        <f>VLOOKUP(A706,'STOCK DATA'!$A$2:$H$522,2,FALSE)</f>
        <v>#N/A</v>
      </c>
      <c r="C706" t="e">
        <f>VLOOKUP($A706,'STOCK DATA'!$A$2:H$521,3,FALSE)</f>
        <v>#N/A</v>
      </c>
      <c r="D706" t="e">
        <f>VLOOKUP($A706,'STOCK DATA'!$A$2:$H$521,3,FALSE)</f>
        <v>#N/A</v>
      </c>
      <c r="E706" t="e">
        <f>VLOOKUP($A706,'STOCK DATA'!$A$2:$H$521,3,FALSE)</f>
        <v>#N/A</v>
      </c>
      <c r="F706" t="e">
        <f>VLOOKUP($A706,'STOCK DATA'!$A$2:$H$521,3,FALSE)</f>
        <v>#N/A</v>
      </c>
      <c r="G706" t="e">
        <f>VLOOKUP($A706,'STOCK DATA'!$A$2:$H$521,3,FALSE)</f>
        <v>#N/A</v>
      </c>
      <c r="H706" t="e">
        <f>VLOOKUP($A706,'STOCK DATA'!$A$2:$H$521,3,FALSE)</f>
        <v>#N/A</v>
      </c>
      <c r="I706" t="e">
        <f>VLOOKUP(A706,'Short-term interest Rates daily'!$A:$E,2,FALSE)</f>
        <v>#N/A</v>
      </c>
      <c r="J706" t="e">
        <f>VLOOKUP(A706,'Short-term interest Rates daily'!$A:$E,3,FALSE)</f>
        <v>#N/A</v>
      </c>
      <c r="K706" t="e">
        <f>VLOOKUP(A706,'Short-term interest Rates daily'!$A:$E,4,FALSE)</f>
        <v>#N/A</v>
      </c>
      <c r="L706" t="e">
        <f>VLOOKUP(A706,'Short-term interest Rates daily'!$A:$E,5,FALSE)</f>
        <v>#N/A</v>
      </c>
    </row>
    <row r="707" spans="1:12" x14ac:dyDescent="0.3">
      <c r="A707" s="1">
        <v>32118</v>
      </c>
      <c r="B707">
        <f>VLOOKUP(A707,'STOCK DATA'!$A$2:$H$522,2,FALSE)</f>
        <v>73.13</v>
      </c>
      <c r="C707">
        <f>VLOOKUP($A707,'STOCK DATA'!$A$2:H$521,3,FALSE)</f>
        <v>1231.7</v>
      </c>
      <c r="D707">
        <f>VLOOKUP($A707,'STOCK DATA'!$A$2:$H$521,3,FALSE)</f>
        <v>1231.7</v>
      </c>
      <c r="E707">
        <f>VLOOKUP($A707,'STOCK DATA'!$A$2:$H$521,3,FALSE)</f>
        <v>1231.7</v>
      </c>
      <c r="F707">
        <f>VLOOKUP($A707,'STOCK DATA'!$A$2:$H$521,3,FALSE)</f>
        <v>1231.7</v>
      </c>
      <c r="G707">
        <f>VLOOKUP($A707,'STOCK DATA'!$A$2:$H$521,3,FALSE)</f>
        <v>1231.7</v>
      </c>
      <c r="H707">
        <f>VLOOKUP($A707,'STOCK DATA'!$A$2:$H$521,3,FALSE)</f>
        <v>1231.7</v>
      </c>
      <c r="I707">
        <f>VLOOKUP(A707,'Short-term interest Rates daily'!$A:$E,2,FALSE)</f>
        <v>11.88</v>
      </c>
      <c r="J707">
        <f>VLOOKUP(A707,'Short-term interest Rates daily'!$A:$E,3,FALSE)</f>
        <v>8.5299999999999994</v>
      </c>
      <c r="K707">
        <f>VLOOKUP(A707,'Short-term interest Rates daily'!$A:$E,4,FALSE)</f>
        <v>8.2100000000000009</v>
      </c>
      <c r="L707">
        <f>VLOOKUP(A707,'Short-term interest Rates daily'!$A:$E,5,FALSE)</f>
        <v>5.82</v>
      </c>
    </row>
    <row r="708" spans="1:12" x14ac:dyDescent="0.3">
      <c r="A708" s="1">
        <v>32119</v>
      </c>
      <c r="B708">
        <f>VLOOKUP(A708,'STOCK DATA'!$A$2:$H$522,2,FALSE)</f>
        <v>73.41</v>
      </c>
      <c r="C708">
        <f>VLOOKUP($A708,'STOCK DATA'!$A$2:H$521,3,FALSE)</f>
        <v>1219.4000000000001</v>
      </c>
      <c r="D708">
        <f>VLOOKUP($A708,'STOCK DATA'!$A$2:$H$521,3,FALSE)</f>
        <v>1219.4000000000001</v>
      </c>
      <c r="E708">
        <f>VLOOKUP($A708,'STOCK DATA'!$A$2:$H$521,3,FALSE)</f>
        <v>1219.4000000000001</v>
      </c>
      <c r="F708">
        <f>VLOOKUP($A708,'STOCK DATA'!$A$2:$H$521,3,FALSE)</f>
        <v>1219.4000000000001</v>
      </c>
      <c r="G708">
        <f>VLOOKUP($A708,'STOCK DATA'!$A$2:$H$521,3,FALSE)</f>
        <v>1219.4000000000001</v>
      </c>
      <c r="H708">
        <f>VLOOKUP($A708,'STOCK DATA'!$A$2:$H$521,3,FALSE)</f>
        <v>1219.4000000000001</v>
      </c>
      <c r="I708">
        <f>VLOOKUP(A708,'Short-term interest Rates daily'!$A:$E,2,FALSE)</f>
        <v>12.35</v>
      </c>
      <c r="J708">
        <f>VLOOKUP(A708,'Short-term interest Rates daily'!$A:$E,3,FALSE)</f>
        <v>8.5500000000000007</v>
      </c>
      <c r="K708">
        <f>VLOOKUP(A708,'Short-term interest Rates daily'!$A:$E,4,FALSE)</f>
        <v>8.2200000000000006</v>
      </c>
      <c r="L708">
        <f>VLOOKUP(A708,'Short-term interest Rates daily'!$A:$E,5,FALSE)</f>
        <v>5.86</v>
      </c>
    </row>
    <row r="709" spans="1:12" x14ac:dyDescent="0.3">
      <c r="A709" s="1">
        <v>32120</v>
      </c>
      <c r="B709">
        <f>VLOOKUP(A709,'STOCK DATA'!$A$2:$H$522,2,FALSE)</f>
        <v>73.48</v>
      </c>
      <c r="C709">
        <f>VLOOKUP($A709,'STOCK DATA'!$A$2:H$521,3,FALSE)</f>
        <v>1237.9000000000001</v>
      </c>
      <c r="D709">
        <f>VLOOKUP($A709,'STOCK DATA'!$A$2:$H$521,3,FALSE)</f>
        <v>1237.9000000000001</v>
      </c>
      <c r="E709">
        <f>VLOOKUP($A709,'STOCK DATA'!$A$2:$H$521,3,FALSE)</f>
        <v>1237.9000000000001</v>
      </c>
      <c r="F709">
        <f>VLOOKUP($A709,'STOCK DATA'!$A$2:$H$521,3,FALSE)</f>
        <v>1237.9000000000001</v>
      </c>
      <c r="G709">
        <f>VLOOKUP($A709,'STOCK DATA'!$A$2:$H$521,3,FALSE)</f>
        <v>1237.9000000000001</v>
      </c>
      <c r="H709">
        <f>VLOOKUP($A709,'STOCK DATA'!$A$2:$H$521,3,FALSE)</f>
        <v>1237.9000000000001</v>
      </c>
      <c r="I709">
        <f>VLOOKUP(A709,'Short-term interest Rates daily'!$A:$E,2,FALSE)</f>
        <v>11.5</v>
      </c>
      <c r="J709">
        <f>VLOOKUP(A709,'Short-term interest Rates daily'!$A:$E,3,FALSE)</f>
        <v>8.44</v>
      </c>
      <c r="K709">
        <f>VLOOKUP(A709,'Short-term interest Rates daily'!$A:$E,4,FALSE)</f>
        <v>8.24</v>
      </c>
      <c r="L709">
        <f>VLOOKUP(A709,'Short-term interest Rates daily'!$A:$E,5,FALSE)</f>
        <v>5.83</v>
      </c>
    </row>
    <row r="710" spans="1:12" x14ac:dyDescent="0.3">
      <c r="A710" s="1">
        <v>32121</v>
      </c>
      <c r="B710">
        <f>VLOOKUP(A710,'STOCK DATA'!$A$2:$H$522,2,FALSE)</f>
        <v>71.959999999999994</v>
      </c>
      <c r="C710">
        <f>VLOOKUP($A710,'STOCK DATA'!$A$2:H$521,3,FALSE)</f>
        <v>1236.5999999999999</v>
      </c>
      <c r="D710">
        <f>VLOOKUP($A710,'STOCK DATA'!$A$2:$H$521,3,FALSE)</f>
        <v>1236.5999999999999</v>
      </c>
      <c r="E710">
        <f>VLOOKUP($A710,'STOCK DATA'!$A$2:$H$521,3,FALSE)</f>
        <v>1236.5999999999999</v>
      </c>
      <c r="F710">
        <f>VLOOKUP($A710,'STOCK DATA'!$A$2:$H$521,3,FALSE)</f>
        <v>1236.5999999999999</v>
      </c>
      <c r="G710">
        <f>VLOOKUP($A710,'STOCK DATA'!$A$2:$H$521,3,FALSE)</f>
        <v>1236.5999999999999</v>
      </c>
      <c r="H710">
        <f>VLOOKUP($A710,'STOCK DATA'!$A$2:$H$521,3,FALSE)</f>
        <v>1236.5999999999999</v>
      </c>
      <c r="I710">
        <f>VLOOKUP(A710,'Short-term interest Rates daily'!$A:$E,2,FALSE)</f>
        <v>11.65</v>
      </c>
      <c r="J710">
        <f>VLOOKUP(A710,'Short-term interest Rates daily'!$A:$E,3,FALSE)</f>
        <v>8.5299999999999994</v>
      </c>
      <c r="K710">
        <f>VLOOKUP(A710,'Short-term interest Rates daily'!$A:$E,4,FALSE)</f>
        <v>8.24</v>
      </c>
      <c r="L710">
        <f>VLOOKUP(A710,'Short-term interest Rates daily'!$A:$E,5,FALSE)</f>
        <v>5.92</v>
      </c>
    </row>
    <row r="711" spans="1:12" x14ac:dyDescent="0.3">
      <c r="A711" s="1">
        <v>32122</v>
      </c>
      <c r="B711">
        <f>VLOOKUP(A711,'STOCK DATA'!$A$2:$H$522,2,FALSE)</f>
        <v>73.680000000000007</v>
      </c>
      <c r="C711">
        <f>VLOOKUP($A711,'STOCK DATA'!$A$2:H$521,3,FALSE)</f>
        <v>1219.4000000000001</v>
      </c>
      <c r="D711">
        <f>VLOOKUP($A711,'STOCK DATA'!$A$2:$H$521,3,FALSE)</f>
        <v>1219.4000000000001</v>
      </c>
      <c r="E711">
        <f>VLOOKUP($A711,'STOCK DATA'!$A$2:$H$521,3,FALSE)</f>
        <v>1219.4000000000001</v>
      </c>
      <c r="F711">
        <f>VLOOKUP($A711,'STOCK DATA'!$A$2:$H$521,3,FALSE)</f>
        <v>1219.4000000000001</v>
      </c>
      <c r="G711">
        <f>VLOOKUP($A711,'STOCK DATA'!$A$2:$H$521,3,FALSE)</f>
        <v>1219.4000000000001</v>
      </c>
      <c r="H711">
        <f>VLOOKUP($A711,'STOCK DATA'!$A$2:$H$521,3,FALSE)</f>
        <v>1219.4000000000001</v>
      </c>
      <c r="I711">
        <f>VLOOKUP(A711,'Short-term interest Rates daily'!$A:$E,2,FALSE)</f>
        <v>11.88</v>
      </c>
      <c r="J711">
        <f>VLOOKUP(A711,'Short-term interest Rates daily'!$A:$E,3,FALSE)</f>
        <v>8.39</v>
      </c>
      <c r="K711">
        <f>VLOOKUP(A711,'Short-term interest Rates daily'!$A:$E,4,FALSE)</f>
        <v>8.24</v>
      </c>
      <c r="L711">
        <f>VLOOKUP(A711,'Short-term interest Rates daily'!$A:$E,5,FALSE)</f>
        <v>5.86</v>
      </c>
    </row>
    <row r="712" spans="1:12" x14ac:dyDescent="0.3">
      <c r="A712" s="1">
        <v>32123</v>
      </c>
      <c r="B712" t="e">
        <f>VLOOKUP(A712,'STOCK DATA'!$A$2:$H$522,2,FALSE)</f>
        <v>#N/A</v>
      </c>
      <c r="C712" t="e">
        <f>VLOOKUP($A712,'STOCK DATA'!$A$2:H$521,3,FALSE)</f>
        <v>#N/A</v>
      </c>
      <c r="D712" t="e">
        <f>VLOOKUP($A712,'STOCK DATA'!$A$2:$H$521,3,FALSE)</f>
        <v>#N/A</v>
      </c>
      <c r="E712" t="e">
        <f>VLOOKUP($A712,'STOCK DATA'!$A$2:$H$521,3,FALSE)</f>
        <v>#N/A</v>
      </c>
      <c r="F712" t="e">
        <f>VLOOKUP($A712,'STOCK DATA'!$A$2:$H$521,3,FALSE)</f>
        <v>#N/A</v>
      </c>
      <c r="G712" t="e">
        <f>VLOOKUP($A712,'STOCK DATA'!$A$2:$H$521,3,FALSE)</f>
        <v>#N/A</v>
      </c>
      <c r="H712" t="e">
        <f>VLOOKUP($A712,'STOCK DATA'!$A$2:$H$521,3,FALSE)</f>
        <v>#N/A</v>
      </c>
      <c r="I712" t="e">
        <f>VLOOKUP(A712,'Short-term interest Rates daily'!$A:$E,2,FALSE)</f>
        <v>#N/A</v>
      </c>
      <c r="J712" t="e">
        <f>VLOOKUP(A712,'Short-term interest Rates daily'!$A:$E,3,FALSE)</f>
        <v>#N/A</v>
      </c>
      <c r="K712" t="e">
        <f>VLOOKUP(A712,'Short-term interest Rates daily'!$A:$E,4,FALSE)</f>
        <v>#N/A</v>
      </c>
      <c r="L712" t="e">
        <f>VLOOKUP(A712,'Short-term interest Rates daily'!$A:$E,5,FALSE)</f>
        <v>#N/A</v>
      </c>
    </row>
    <row r="713" spans="1:12" x14ac:dyDescent="0.3">
      <c r="A713" s="1">
        <v>32124</v>
      </c>
      <c r="B713" t="e">
        <f>VLOOKUP(A713,'STOCK DATA'!$A$2:$H$522,2,FALSE)</f>
        <v>#N/A</v>
      </c>
      <c r="C713" t="e">
        <f>VLOOKUP($A713,'STOCK DATA'!$A$2:H$521,3,FALSE)</f>
        <v>#N/A</v>
      </c>
      <c r="D713" t="e">
        <f>VLOOKUP($A713,'STOCK DATA'!$A$2:$H$521,3,FALSE)</f>
        <v>#N/A</v>
      </c>
      <c r="E713" t="e">
        <f>VLOOKUP($A713,'STOCK DATA'!$A$2:$H$521,3,FALSE)</f>
        <v>#N/A</v>
      </c>
      <c r="F713" t="e">
        <f>VLOOKUP($A713,'STOCK DATA'!$A$2:$H$521,3,FALSE)</f>
        <v>#N/A</v>
      </c>
      <c r="G713" t="e">
        <f>VLOOKUP($A713,'STOCK DATA'!$A$2:$H$521,3,FALSE)</f>
        <v>#N/A</v>
      </c>
      <c r="H713" t="e">
        <f>VLOOKUP($A713,'STOCK DATA'!$A$2:$H$521,3,FALSE)</f>
        <v>#N/A</v>
      </c>
      <c r="I713" t="e">
        <f>VLOOKUP(A713,'Short-term interest Rates daily'!$A:$E,2,FALSE)</f>
        <v>#N/A</v>
      </c>
      <c r="J713" t="e">
        <f>VLOOKUP(A713,'Short-term interest Rates daily'!$A:$E,3,FALSE)</f>
        <v>#N/A</v>
      </c>
      <c r="K713" t="e">
        <f>VLOOKUP(A713,'Short-term interest Rates daily'!$A:$E,4,FALSE)</f>
        <v>#N/A</v>
      </c>
      <c r="L713" t="e">
        <f>VLOOKUP(A713,'Short-term interest Rates daily'!$A:$E,5,FALSE)</f>
        <v>#N/A</v>
      </c>
    </row>
    <row r="714" spans="1:12" x14ac:dyDescent="0.3">
      <c r="A714" s="1">
        <v>32125</v>
      </c>
      <c r="B714">
        <f>VLOOKUP(A714,'STOCK DATA'!$A$2:$H$522,2,FALSE)</f>
        <v>75.099999999999994</v>
      </c>
      <c r="C714">
        <f>VLOOKUP($A714,'STOCK DATA'!$A$2:H$521,3,FALSE)</f>
        <v>1222.4000000000001</v>
      </c>
      <c r="D714">
        <f>VLOOKUP($A714,'STOCK DATA'!$A$2:$H$521,3,FALSE)</f>
        <v>1222.4000000000001</v>
      </c>
      <c r="E714">
        <f>VLOOKUP($A714,'STOCK DATA'!$A$2:$H$521,3,FALSE)</f>
        <v>1222.4000000000001</v>
      </c>
      <c r="F714">
        <f>VLOOKUP($A714,'STOCK DATA'!$A$2:$H$521,3,FALSE)</f>
        <v>1222.4000000000001</v>
      </c>
      <c r="G714">
        <f>VLOOKUP($A714,'STOCK DATA'!$A$2:$H$521,3,FALSE)</f>
        <v>1222.4000000000001</v>
      </c>
      <c r="H714">
        <f>VLOOKUP($A714,'STOCK DATA'!$A$2:$H$521,3,FALSE)</f>
        <v>1222.4000000000001</v>
      </c>
      <c r="I714">
        <f>VLOOKUP(A714,'Short-term interest Rates daily'!$A:$E,2,FALSE)</f>
        <v>11.68</v>
      </c>
      <c r="J714">
        <f>VLOOKUP(A714,'Short-term interest Rates daily'!$A:$E,3,FALSE)</f>
        <v>8.34</v>
      </c>
      <c r="K714">
        <f>VLOOKUP(A714,'Short-term interest Rates daily'!$A:$E,4,FALSE)</f>
        <v>8.3000000000000007</v>
      </c>
      <c r="L714">
        <f>VLOOKUP(A714,'Short-term interest Rates daily'!$A:$E,5,FALSE)</f>
        <v>5.85</v>
      </c>
    </row>
    <row r="715" spans="1:12" x14ac:dyDescent="0.3">
      <c r="A715" s="1">
        <v>32126</v>
      </c>
      <c r="B715">
        <f>VLOOKUP(A715,'STOCK DATA'!$A$2:$H$522,2,FALSE)</f>
        <v>78.150000000000006</v>
      </c>
      <c r="C715">
        <f>VLOOKUP($A715,'STOCK DATA'!$A$2:H$521,3,FALSE)</f>
        <v>1248.7</v>
      </c>
      <c r="D715">
        <f>VLOOKUP($A715,'STOCK DATA'!$A$2:$H$521,3,FALSE)</f>
        <v>1248.7</v>
      </c>
      <c r="E715">
        <f>VLOOKUP($A715,'STOCK DATA'!$A$2:$H$521,3,FALSE)</f>
        <v>1248.7</v>
      </c>
      <c r="F715">
        <f>VLOOKUP($A715,'STOCK DATA'!$A$2:$H$521,3,FALSE)</f>
        <v>1248.7</v>
      </c>
      <c r="G715">
        <f>VLOOKUP($A715,'STOCK DATA'!$A$2:$H$521,3,FALSE)</f>
        <v>1248.7</v>
      </c>
      <c r="H715">
        <f>VLOOKUP($A715,'STOCK DATA'!$A$2:$H$521,3,FALSE)</f>
        <v>1248.7</v>
      </c>
      <c r="I715">
        <f>VLOOKUP(A715,'Short-term interest Rates daily'!$A:$E,2,FALSE)</f>
        <v>11.75</v>
      </c>
      <c r="J715">
        <f>VLOOKUP(A715,'Short-term interest Rates daily'!$A:$E,3,FALSE)</f>
        <v>8.34</v>
      </c>
      <c r="K715">
        <f>VLOOKUP(A715,'Short-term interest Rates daily'!$A:$E,4,FALSE)</f>
        <v>8.31</v>
      </c>
      <c r="L715">
        <f>VLOOKUP(A715,'Short-term interest Rates daily'!$A:$E,5,FALSE)</f>
        <v>5.93</v>
      </c>
    </row>
    <row r="716" spans="1:12" x14ac:dyDescent="0.3">
      <c r="A716" s="1">
        <v>32127</v>
      </c>
      <c r="B716">
        <f>VLOOKUP(A716,'STOCK DATA'!$A$2:$H$522,2,FALSE)</f>
        <v>79.42</v>
      </c>
      <c r="C716">
        <f>VLOOKUP($A716,'STOCK DATA'!$A$2:H$521,3,FALSE)</f>
        <v>1243.0999999999999</v>
      </c>
      <c r="D716">
        <f>VLOOKUP($A716,'STOCK DATA'!$A$2:$H$521,3,FALSE)</f>
        <v>1243.0999999999999</v>
      </c>
      <c r="E716">
        <f>VLOOKUP($A716,'STOCK DATA'!$A$2:$H$521,3,FALSE)</f>
        <v>1243.0999999999999</v>
      </c>
      <c r="F716">
        <f>VLOOKUP($A716,'STOCK DATA'!$A$2:$H$521,3,FALSE)</f>
        <v>1243.0999999999999</v>
      </c>
      <c r="G716">
        <f>VLOOKUP($A716,'STOCK DATA'!$A$2:$H$521,3,FALSE)</f>
        <v>1243.0999999999999</v>
      </c>
      <c r="H716">
        <f>VLOOKUP($A716,'STOCK DATA'!$A$2:$H$521,3,FALSE)</f>
        <v>1243.0999999999999</v>
      </c>
      <c r="I716">
        <f>VLOOKUP(A716,'Short-term interest Rates daily'!$A:$E,2,FALSE)</f>
        <v>11.13</v>
      </c>
      <c r="J716">
        <f>VLOOKUP(A716,'Short-term interest Rates daily'!$A:$E,3,FALSE)</f>
        <v>8.33</v>
      </c>
      <c r="K716">
        <f>VLOOKUP(A716,'Short-term interest Rates daily'!$A:$E,4,FALSE)</f>
        <v>8.39</v>
      </c>
      <c r="L716">
        <f>VLOOKUP(A716,'Short-term interest Rates daily'!$A:$E,5,FALSE)</f>
        <v>5.94</v>
      </c>
    </row>
    <row r="717" spans="1:12" x14ac:dyDescent="0.3">
      <c r="A717" s="1">
        <v>32128</v>
      </c>
      <c r="B717">
        <f>VLOOKUP(A717,'STOCK DATA'!$A$2:$H$522,2,FALSE)</f>
        <v>78.5</v>
      </c>
      <c r="C717">
        <f>VLOOKUP($A717,'STOCK DATA'!$A$2:H$521,3,FALSE)</f>
        <v>1250.5999999999999</v>
      </c>
      <c r="D717">
        <f>VLOOKUP($A717,'STOCK DATA'!$A$2:$H$521,3,FALSE)</f>
        <v>1250.5999999999999</v>
      </c>
      <c r="E717">
        <f>VLOOKUP($A717,'STOCK DATA'!$A$2:$H$521,3,FALSE)</f>
        <v>1250.5999999999999</v>
      </c>
      <c r="F717">
        <f>VLOOKUP($A717,'STOCK DATA'!$A$2:$H$521,3,FALSE)</f>
        <v>1250.5999999999999</v>
      </c>
      <c r="G717">
        <f>VLOOKUP($A717,'STOCK DATA'!$A$2:$H$521,3,FALSE)</f>
        <v>1250.5999999999999</v>
      </c>
      <c r="H717">
        <f>VLOOKUP($A717,'STOCK DATA'!$A$2:$H$521,3,FALSE)</f>
        <v>1250.5999999999999</v>
      </c>
      <c r="I717">
        <f>VLOOKUP(A717,'Short-term interest Rates daily'!$A:$E,2,FALSE)</f>
        <v>10.25</v>
      </c>
      <c r="J717">
        <f>VLOOKUP(A717,'Short-term interest Rates daily'!$A:$E,3,FALSE)</f>
        <v>8.4499999999999993</v>
      </c>
      <c r="K717">
        <f>VLOOKUP(A717,'Short-term interest Rates daily'!$A:$E,4,FALSE)</f>
        <v>8.3800000000000008</v>
      </c>
      <c r="L717">
        <f>VLOOKUP(A717,'Short-term interest Rates daily'!$A:$E,5,FALSE)</f>
        <v>5.93</v>
      </c>
    </row>
    <row r="718" spans="1:12" x14ac:dyDescent="0.3">
      <c r="A718" s="1">
        <v>32129</v>
      </c>
      <c r="B718">
        <f>VLOOKUP(A718,'STOCK DATA'!$A$2:$H$522,2,FALSE)</f>
        <v>77.63</v>
      </c>
      <c r="C718">
        <f>VLOOKUP($A718,'STOCK DATA'!$A$2:H$521,3,FALSE)</f>
        <v>1239.8</v>
      </c>
      <c r="D718">
        <f>VLOOKUP($A718,'STOCK DATA'!$A$2:$H$521,3,FALSE)</f>
        <v>1239.8</v>
      </c>
      <c r="E718">
        <f>VLOOKUP($A718,'STOCK DATA'!$A$2:$H$521,3,FALSE)</f>
        <v>1239.8</v>
      </c>
      <c r="F718">
        <f>VLOOKUP($A718,'STOCK DATA'!$A$2:$H$521,3,FALSE)</f>
        <v>1239.8</v>
      </c>
      <c r="G718">
        <f>VLOOKUP($A718,'STOCK DATA'!$A$2:$H$521,3,FALSE)</f>
        <v>1239.8</v>
      </c>
      <c r="H718">
        <f>VLOOKUP($A718,'STOCK DATA'!$A$2:$H$521,3,FALSE)</f>
        <v>1239.8</v>
      </c>
      <c r="I718">
        <f>VLOOKUP(A718,'Short-term interest Rates daily'!$A:$E,2,FALSE)</f>
        <v>10.25</v>
      </c>
      <c r="J718">
        <f>VLOOKUP(A718,'Short-term interest Rates daily'!$A:$E,3,FALSE)</f>
        <v>8.39</v>
      </c>
      <c r="K718">
        <f>VLOOKUP(A718,'Short-term interest Rates daily'!$A:$E,4,FALSE)</f>
        <v>8.41</v>
      </c>
      <c r="L718">
        <f>VLOOKUP(A718,'Short-term interest Rates daily'!$A:$E,5,FALSE)</f>
        <v>5.87</v>
      </c>
    </row>
    <row r="719" spans="1:12" x14ac:dyDescent="0.3">
      <c r="A719" s="1">
        <v>32130</v>
      </c>
      <c r="B719" t="e">
        <f>VLOOKUP(A719,'STOCK DATA'!$A$2:$H$522,2,FALSE)</f>
        <v>#N/A</v>
      </c>
      <c r="C719" t="e">
        <f>VLOOKUP($A719,'STOCK DATA'!$A$2:H$521,3,FALSE)</f>
        <v>#N/A</v>
      </c>
      <c r="D719" t="e">
        <f>VLOOKUP($A719,'STOCK DATA'!$A$2:$H$521,3,FALSE)</f>
        <v>#N/A</v>
      </c>
      <c r="E719" t="e">
        <f>VLOOKUP($A719,'STOCK DATA'!$A$2:$H$521,3,FALSE)</f>
        <v>#N/A</v>
      </c>
      <c r="F719" t="e">
        <f>VLOOKUP($A719,'STOCK DATA'!$A$2:$H$521,3,FALSE)</f>
        <v>#N/A</v>
      </c>
      <c r="G719" t="e">
        <f>VLOOKUP($A719,'STOCK DATA'!$A$2:$H$521,3,FALSE)</f>
        <v>#N/A</v>
      </c>
      <c r="H719" t="e">
        <f>VLOOKUP($A719,'STOCK DATA'!$A$2:$H$521,3,FALSE)</f>
        <v>#N/A</v>
      </c>
      <c r="I719" t="e">
        <f>VLOOKUP(A719,'Short-term interest Rates daily'!$A:$E,2,FALSE)</f>
        <v>#N/A</v>
      </c>
      <c r="J719" t="e">
        <f>VLOOKUP(A719,'Short-term interest Rates daily'!$A:$E,3,FALSE)</f>
        <v>#N/A</v>
      </c>
      <c r="K719" t="e">
        <f>VLOOKUP(A719,'Short-term interest Rates daily'!$A:$E,4,FALSE)</f>
        <v>#N/A</v>
      </c>
      <c r="L719" t="e">
        <f>VLOOKUP(A719,'Short-term interest Rates daily'!$A:$E,5,FALSE)</f>
        <v>#N/A</v>
      </c>
    </row>
    <row r="720" spans="1:12" x14ac:dyDescent="0.3">
      <c r="A720" s="1">
        <v>32131</v>
      </c>
      <c r="B720" t="e">
        <f>VLOOKUP(A720,'STOCK DATA'!$A$2:$H$522,2,FALSE)</f>
        <v>#N/A</v>
      </c>
      <c r="C720" t="e">
        <f>VLOOKUP($A720,'STOCK DATA'!$A$2:H$521,3,FALSE)</f>
        <v>#N/A</v>
      </c>
      <c r="D720" t="e">
        <f>VLOOKUP($A720,'STOCK DATA'!$A$2:$H$521,3,FALSE)</f>
        <v>#N/A</v>
      </c>
      <c r="E720" t="e">
        <f>VLOOKUP($A720,'STOCK DATA'!$A$2:$H$521,3,FALSE)</f>
        <v>#N/A</v>
      </c>
      <c r="F720" t="e">
        <f>VLOOKUP($A720,'STOCK DATA'!$A$2:$H$521,3,FALSE)</f>
        <v>#N/A</v>
      </c>
      <c r="G720" t="e">
        <f>VLOOKUP($A720,'STOCK DATA'!$A$2:$H$521,3,FALSE)</f>
        <v>#N/A</v>
      </c>
      <c r="H720" t="e">
        <f>VLOOKUP($A720,'STOCK DATA'!$A$2:$H$521,3,FALSE)</f>
        <v>#N/A</v>
      </c>
      <c r="I720" t="e">
        <f>VLOOKUP(A720,'Short-term interest Rates daily'!$A:$E,2,FALSE)</f>
        <v>#N/A</v>
      </c>
      <c r="J720" t="e">
        <f>VLOOKUP(A720,'Short-term interest Rates daily'!$A:$E,3,FALSE)</f>
        <v>#N/A</v>
      </c>
      <c r="K720" t="e">
        <f>VLOOKUP(A720,'Short-term interest Rates daily'!$A:$E,4,FALSE)</f>
        <v>#N/A</v>
      </c>
      <c r="L720" t="e">
        <f>VLOOKUP(A720,'Short-term interest Rates daily'!$A:$E,5,FALSE)</f>
        <v>#N/A</v>
      </c>
    </row>
    <row r="721" spans="1:12" x14ac:dyDescent="0.3">
      <c r="A721" s="1">
        <v>32132</v>
      </c>
      <c r="B721">
        <f>VLOOKUP(A721,'STOCK DATA'!$A$2:$H$522,2,FALSE)</f>
        <v>79.22</v>
      </c>
      <c r="C721">
        <f>VLOOKUP($A721,'STOCK DATA'!$A$2:H$521,3,FALSE)</f>
        <v>1250.3</v>
      </c>
      <c r="D721">
        <f>VLOOKUP($A721,'STOCK DATA'!$A$2:$H$521,3,FALSE)</f>
        <v>1250.3</v>
      </c>
      <c r="E721">
        <f>VLOOKUP($A721,'STOCK DATA'!$A$2:$H$521,3,FALSE)</f>
        <v>1250.3</v>
      </c>
      <c r="F721">
        <f>VLOOKUP($A721,'STOCK DATA'!$A$2:$H$521,3,FALSE)</f>
        <v>1250.3</v>
      </c>
      <c r="G721">
        <f>VLOOKUP($A721,'STOCK DATA'!$A$2:$H$521,3,FALSE)</f>
        <v>1250.3</v>
      </c>
      <c r="H721">
        <f>VLOOKUP($A721,'STOCK DATA'!$A$2:$H$521,3,FALSE)</f>
        <v>1250.3</v>
      </c>
      <c r="I721">
        <f>VLOOKUP(A721,'Short-term interest Rates daily'!$A:$E,2,FALSE)</f>
        <v>10.8</v>
      </c>
      <c r="J721">
        <f>VLOOKUP(A721,'Short-term interest Rates daily'!$A:$E,3,FALSE)</f>
        <v>8.41</v>
      </c>
      <c r="K721">
        <f>VLOOKUP(A721,'Short-term interest Rates daily'!$A:$E,4,FALSE)</f>
        <v>8.39</v>
      </c>
      <c r="L721">
        <f>VLOOKUP(A721,'Short-term interest Rates daily'!$A:$E,5,FALSE)</f>
        <v>5.87</v>
      </c>
    </row>
    <row r="722" spans="1:12" x14ac:dyDescent="0.3">
      <c r="A722" s="1">
        <v>32133</v>
      </c>
      <c r="B722">
        <f>VLOOKUP(A722,'STOCK DATA'!$A$2:$H$522,2,FALSE)</f>
        <v>78.87</v>
      </c>
      <c r="C722">
        <f>VLOOKUP($A722,'STOCK DATA'!$A$2:H$521,3,FALSE)</f>
        <v>1267.8</v>
      </c>
      <c r="D722">
        <f>VLOOKUP($A722,'STOCK DATA'!$A$2:$H$521,3,FALSE)</f>
        <v>1267.8</v>
      </c>
      <c r="E722">
        <f>VLOOKUP($A722,'STOCK DATA'!$A$2:$H$521,3,FALSE)</f>
        <v>1267.8</v>
      </c>
      <c r="F722">
        <f>VLOOKUP($A722,'STOCK DATA'!$A$2:$H$521,3,FALSE)</f>
        <v>1267.8</v>
      </c>
      <c r="G722">
        <f>VLOOKUP($A722,'STOCK DATA'!$A$2:$H$521,3,FALSE)</f>
        <v>1267.8</v>
      </c>
      <c r="H722">
        <f>VLOOKUP($A722,'STOCK DATA'!$A$2:$H$521,3,FALSE)</f>
        <v>1267.8</v>
      </c>
      <c r="I722">
        <f>VLOOKUP(A722,'Short-term interest Rates daily'!$A:$E,2,FALSE)</f>
        <v>11.88</v>
      </c>
      <c r="J722">
        <f>VLOOKUP(A722,'Short-term interest Rates daily'!$A:$E,3,FALSE)</f>
        <v>8.4</v>
      </c>
      <c r="K722">
        <f>VLOOKUP(A722,'Short-term interest Rates daily'!$A:$E,4,FALSE)</f>
        <v>8.39</v>
      </c>
      <c r="L722">
        <f>VLOOKUP(A722,'Short-term interest Rates daily'!$A:$E,5,FALSE)</f>
        <v>5.93</v>
      </c>
    </row>
    <row r="723" spans="1:12" x14ac:dyDescent="0.3">
      <c r="A723" s="1">
        <v>32134</v>
      </c>
      <c r="B723">
        <f>VLOOKUP(A723,'STOCK DATA'!$A$2:$H$522,2,FALSE)</f>
        <v>80.39</v>
      </c>
      <c r="C723">
        <f>VLOOKUP($A723,'STOCK DATA'!$A$2:H$521,3,FALSE)</f>
        <v>1287.5</v>
      </c>
      <c r="D723">
        <f>VLOOKUP($A723,'STOCK DATA'!$A$2:$H$521,3,FALSE)</f>
        <v>1287.5</v>
      </c>
      <c r="E723">
        <f>VLOOKUP($A723,'STOCK DATA'!$A$2:$H$521,3,FALSE)</f>
        <v>1287.5</v>
      </c>
      <c r="F723">
        <f>VLOOKUP($A723,'STOCK DATA'!$A$2:$H$521,3,FALSE)</f>
        <v>1287.5</v>
      </c>
      <c r="G723">
        <f>VLOOKUP($A723,'STOCK DATA'!$A$2:$H$521,3,FALSE)</f>
        <v>1287.5</v>
      </c>
      <c r="H723">
        <f>VLOOKUP($A723,'STOCK DATA'!$A$2:$H$521,3,FALSE)</f>
        <v>1287.5</v>
      </c>
      <c r="I723">
        <f>VLOOKUP(A723,'Short-term interest Rates daily'!$A:$E,2,FALSE)</f>
        <v>10.5</v>
      </c>
      <c r="J723">
        <f>VLOOKUP(A723,'Short-term interest Rates daily'!$A:$E,3,FALSE)</f>
        <v>8.42</v>
      </c>
      <c r="K723">
        <f>VLOOKUP(A723,'Short-term interest Rates daily'!$A:$E,4,FALSE)</f>
        <v>8.39</v>
      </c>
      <c r="L723">
        <f>VLOOKUP(A723,'Short-term interest Rates daily'!$A:$E,5,FALSE)</f>
        <v>5.78</v>
      </c>
    </row>
    <row r="724" spans="1:12" x14ac:dyDescent="0.3">
      <c r="A724" s="1">
        <v>32135</v>
      </c>
      <c r="B724">
        <f>VLOOKUP(A724,'STOCK DATA'!$A$2:$H$522,2,FALSE)</f>
        <v>81.31</v>
      </c>
      <c r="C724">
        <f>VLOOKUP($A724,'STOCK DATA'!$A$2:H$521,3,FALSE)</f>
        <v>1313.1</v>
      </c>
      <c r="D724">
        <f>VLOOKUP($A724,'STOCK DATA'!$A$2:$H$521,3,FALSE)</f>
        <v>1313.1</v>
      </c>
      <c r="E724">
        <f>VLOOKUP($A724,'STOCK DATA'!$A$2:$H$521,3,FALSE)</f>
        <v>1313.1</v>
      </c>
      <c r="F724">
        <f>VLOOKUP($A724,'STOCK DATA'!$A$2:$H$521,3,FALSE)</f>
        <v>1313.1</v>
      </c>
      <c r="G724">
        <f>VLOOKUP($A724,'STOCK DATA'!$A$2:$H$521,3,FALSE)</f>
        <v>1313.1</v>
      </c>
      <c r="H724">
        <f>VLOOKUP($A724,'STOCK DATA'!$A$2:$H$521,3,FALSE)</f>
        <v>1313.1</v>
      </c>
      <c r="I724">
        <f>VLOOKUP(A724,'Short-term interest Rates daily'!$A:$E,2,FALSE)</f>
        <v>10.83</v>
      </c>
      <c r="J724">
        <f>VLOOKUP(A724,'Short-term interest Rates daily'!$A:$E,3,FALSE)</f>
        <v>8.42</v>
      </c>
      <c r="K724">
        <f>VLOOKUP(A724,'Short-term interest Rates daily'!$A:$E,4,FALSE)</f>
        <v>8.39</v>
      </c>
      <c r="L724">
        <f>VLOOKUP(A724,'Short-term interest Rates daily'!$A:$E,5,FALSE)</f>
        <v>5.74</v>
      </c>
    </row>
    <row r="725" spans="1:12" x14ac:dyDescent="0.3">
      <c r="A725" s="1">
        <v>32136</v>
      </c>
      <c r="B725">
        <f>VLOOKUP(A725,'STOCK DATA'!$A$2:$H$522,2,FALSE)</f>
        <v>81.31</v>
      </c>
      <c r="C725">
        <f>VLOOKUP($A725,'STOCK DATA'!$A$2:H$521,3,FALSE)</f>
        <v>0</v>
      </c>
      <c r="D725">
        <f>VLOOKUP($A725,'STOCK DATA'!$A$2:$H$521,3,FALSE)</f>
        <v>0</v>
      </c>
      <c r="E725">
        <f>VLOOKUP($A725,'STOCK DATA'!$A$2:$H$521,3,FALSE)</f>
        <v>0</v>
      </c>
      <c r="F725">
        <f>VLOOKUP($A725,'STOCK DATA'!$A$2:$H$521,3,FALSE)</f>
        <v>0</v>
      </c>
      <c r="G725">
        <f>VLOOKUP($A725,'STOCK DATA'!$A$2:$H$521,3,FALSE)</f>
        <v>0</v>
      </c>
      <c r="H725">
        <f>VLOOKUP($A725,'STOCK DATA'!$A$2:$H$521,3,FALSE)</f>
        <v>0</v>
      </c>
      <c r="I725">
        <f>VLOOKUP(A725,'Short-term interest Rates daily'!$A:$E,2,FALSE)</f>
        <v>0</v>
      </c>
      <c r="J725">
        <f>VLOOKUP(A725,'Short-term interest Rates daily'!$A:$E,3,FALSE)</f>
        <v>0</v>
      </c>
      <c r="K725">
        <f>VLOOKUP(A725,'Short-term interest Rates daily'!$A:$E,4,FALSE)</f>
        <v>8.39</v>
      </c>
      <c r="L725">
        <f>VLOOKUP(A725,'Short-term interest Rates daily'!$A:$E,5,FALSE)</f>
        <v>0</v>
      </c>
    </row>
    <row r="726" spans="1:12" x14ac:dyDescent="0.3">
      <c r="A726" s="1">
        <v>32137</v>
      </c>
      <c r="B726" t="e">
        <f>VLOOKUP(A726,'STOCK DATA'!$A$2:$H$522,2,FALSE)</f>
        <v>#N/A</v>
      </c>
      <c r="C726" t="e">
        <f>VLOOKUP($A726,'STOCK DATA'!$A$2:H$521,3,FALSE)</f>
        <v>#N/A</v>
      </c>
      <c r="D726" t="e">
        <f>VLOOKUP($A726,'STOCK DATA'!$A$2:$H$521,3,FALSE)</f>
        <v>#N/A</v>
      </c>
      <c r="E726" t="e">
        <f>VLOOKUP($A726,'STOCK DATA'!$A$2:$H$521,3,FALSE)</f>
        <v>#N/A</v>
      </c>
      <c r="F726" t="e">
        <f>VLOOKUP($A726,'STOCK DATA'!$A$2:$H$521,3,FALSE)</f>
        <v>#N/A</v>
      </c>
      <c r="G726" t="e">
        <f>VLOOKUP($A726,'STOCK DATA'!$A$2:$H$521,3,FALSE)</f>
        <v>#N/A</v>
      </c>
      <c r="H726" t="e">
        <f>VLOOKUP($A726,'STOCK DATA'!$A$2:$H$521,3,FALSE)</f>
        <v>#N/A</v>
      </c>
      <c r="I726" t="e">
        <f>VLOOKUP(A726,'Short-term interest Rates daily'!$A:$E,2,FALSE)</f>
        <v>#N/A</v>
      </c>
      <c r="J726" t="e">
        <f>VLOOKUP(A726,'Short-term interest Rates daily'!$A:$E,3,FALSE)</f>
        <v>#N/A</v>
      </c>
      <c r="K726" t="e">
        <f>VLOOKUP(A726,'Short-term interest Rates daily'!$A:$E,4,FALSE)</f>
        <v>#N/A</v>
      </c>
      <c r="L726" t="e">
        <f>VLOOKUP(A726,'Short-term interest Rates daily'!$A:$E,5,FALSE)</f>
        <v>#N/A</v>
      </c>
    </row>
    <row r="727" spans="1:12" x14ac:dyDescent="0.3">
      <c r="A727" s="1">
        <v>32138</v>
      </c>
      <c r="B727" t="e">
        <f>VLOOKUP(A727,'STOCK DATA'!$A$2:$H$522,2,FALSE)</f>
        <v>#N/A</v>
      </c>
      <c r="C727" t="e">
        <f>VLOOKUP($A727,'STOCK DATA'!$A$2:H$521,3,FALSE)</f>
        <v>#N/A</v>
      </c>
      <c r="D727" t="e">
        <f>VLOOKUP($A727,'STOCK DATA'!$A$2:$H$521,3,FALSE)</f>
        <v>#N/A</v>
      </c>
      <c r="E727" t="e">
        <f>VLOOKUP($A727,'STOCK DATA'!$A$2:$H$521,3,FALSE)</f>
        <v>#N/A</v>
      </c>
      <c r="F727" t="e">
        <f>VLOOKUP($A727,'STOCK DATA'!$A$2:$H$521,3,FALSE)</f>
        <v>#N/A</v>
      </c>
      <c r="G727" t="e">
        <f>VLOOKUP($A727,'STOCK DATA'!$A$2:$H$521,3,FALSE)</f>
        <v>#N/A</v>
      </c>
      <c r="H727" t="e">
        <f>VLOOKUP($A727,'STOCK DATA'!$A$2:$H$521,3,FALSE)</f>
        <v>#N/A</v>
      </c>
      <c r="I727" t="e">
        <f>VLOOKUP(A727,'Short-term interest Rates daily'!$A:$E,2,FALSE)</f>
        <v>#N/A</v>
      </c>
      <c r="J727" t="e">
        <f>VLOOKUP(A727,'Short-term interest Rates daily'!$A:$E,3,FALSE)</f>
        <v>#N/A</v>
      </c>
      <c r="K727" t="e">
        <f>VLOOKUP(A727,'Short-term interest Rates daily'!$A:$E,4,FALSE)</f>
        <v>#N/A</v>
      </c>
      <c r="L727" t="e">
        <f>VLOOKUP(A727,'Short-term interest Rates daily'!$A:$E,5,FALSE)</f>
        <v>#N/A</v>
      </c>
    </row>
    <row r="728" spans="1:12" x14ac:dyDescent="0.3">
      <c r="A728" s="1">
        <v>32139</v>
      </c>
      <c r="B728">
        <f>VLOOKUP(A728,'STOCK DATA'!$A$2:$H$522,2,FALSE)</f>
        <v>76.89</v>
      </c>
      <c r="C728">
        <f>VLOOKUP($A728,'STOCK DATA'!$A$2:H$521,3,FALSE)</f>
        <v>0</v>
      </c>
      <c r="D728">
        <f>VLOOKUP($A728,'STOCK DATA'!$A$2:$H$521,3,FALSE)</f>
        <v>0</v>
      </c>
      <c r="E728">
        <f>VLOOKUP($A728,'STOCK DATA'!$A$2:$H$521,3,FALSE)</f>
        <v>0</v>
      </c>
      <c r="F728">
        <f>VLOOKUP($A728,'STOCK DATA'!$A$2:$H$521,3,FALSE)</f>
        <v>0</v>
      </c>
      <c r="G728">
        <f>VLOOKUP($A728,'STOCK DATA'!$A$2:$H$521,3,FALSE)</f>
        <v>0</v>
      </c>
      <c r="H728">
        <f>VLOOKUP($A728,'STOCK DATA'!$A$2:$H$521,3,FALSE)</f>
        <v>0</v>
      </c>
      <c r="I728">
        <f>VLOOKUP(A728,'Short-term interest Rates daily'!$A:$E,2,FALSE)</f>
        <v>0</v>
      </c>
      <c r="J728">
        <f>VLOOKUP(A728,'Short-term interest Rates daily'!$A:$E,3,FALSE)</f>
        <v>0</v>
      </c>
      <c r="K728">
        <f>VLOOKUP(A728,'Short-term interest Rates daily'!$A:$E,4,FALSE)</f>
        <v>8.39</v>
      </c>
      <c r="L728">
        <f>VLOOKUP(A728,'Short-term interest Rates daily'!$A:$E,5,FALSE)</f>
        <v>5.7</v>
      </c>
    </row>
    <row r="729" spans="1:12" x14ac:dyDescent="0.3">
      <c r="A729" s="1">
        <v>32140</v>
      </c>
      <c r="B729">
        <f>VLOOKUP(A729,'STOCK DATA'!$A$2:$H$522,2,FALSE)</f>
        <v>77.83</v>
      </c>
      <c r="C729">
        <f>VLOOKUP($A729,'STOCK DATA'!$A$2:H$521,3,FALSE)</f>
        <v>1304.8</v>
      </c>
      <c r="D729">
        <f>VLOOKUP($A729,'STOCK DATA'!$A$2:$H$521,3,FALSE)</f>
        <v>1304.8</v>
      </c>
      <c r="E729">
        <f>VLOOKUP($A729,'STOCK DATA'!$A$2:$H$521,3,FALSE)</f>
        <v>1304.8</v>
      </c>
      <c r="F729">
        <f>VLOOKUP($A729,'STOCK DATA'!$A$2:$H$521,3,FALSE)</f>
        <v>1304.8</v>
      </c>
      <c r="G729">
        <f>VLOOKUP($A729,'STOCK DATA'!$A$2:$H$521,3,FALSE)</f>
        <v>1304.8</v>
      </c>
      <c r="H729">
        <f>VLOOKUP($A729,'STOCK DATA'!$A$2:$H$521,3,FALSE)</f>
        <v>1304.8</v>
      </c>
      <c r="I729">
        <f>VLOOKUP(A729,'Short-term interest Rates daily'!$A:$E,2,FALSE)</f>
        <v>10.88</v>
      </c>
      <c r="J729">
        <f>VLOOKUP(A729,'Short-term interest Rates daily'!$A:$E,3,FALSE)</f>
        <v>8.43</v>
      </c>
      <c r="K729">
        <f>VLOOKUP(A729,'Short-term interest Rates daily'!$A:$E,4,FALSE)</f>
        <v>8.3699999999999992</v>
      </c>
      <c r="L729">
        <f>VLOOKUP(A729,'Short-term interest Rates daily'!$A:$E,5,FALSE)</f>
        <v>5.84</v>
      </c>
    </row>
    <row r="730" spans="1:12" x14ac:dyDescent="0.3">
      <c r="A730" s="1">
        <v>32141</v>
      </c>
      <c r="B730">
        <f>VLOOKUP(A730,'STOCK DATA'!$A$2:$H$522,2,FALSE)</f>
        <v>77.87</v>
      </c>
      <c r="C730">
        <f>VLOOKUP($A730,'STOCK DATA'!$A$2:H$521,3,FALSE)</f>
        <v>1298.7</v>
      </c>
      <c r="D730">
        <f>VLOOKUP($A730,'STOCK DATA'!$A$2:$H$521,3,FALSE)</f>
        <v>1298.7</v>
      </c>
      <c r="E730">
        <f>VLOOKUP($A730,'STOCK DATA'!$A$2:$H$521,3,FALSE)</f>
        <v>1298.7</v>
      </c>
      <c r="F730">
        <f>VLOOKUP($A730,'STOCK DATA'!$A$2:$H$521,3,FALSE)</f>
        <v>1298.7</v>
      </c>
      <c r="G730">
        <f>VLOOKUP($A730,'STOCK DATA'!$A$2:$H$521,3,FALSE)</f>
        <v>1298.7</v>
      </c>
      <c r="H730">
        <f>VLOOKUP($A730,'STOCK DATA'!$A$2:$H$521,3,FALSE)</f>
        <v>1298.7</v>
      </c>
      <c r="I730">
        <f>VLOOKUP(A730,'Short-term interest Rates daily'!$A:$E,2,FALSE)</f>
        <v>11.13</v>
      </c>
      <c r="J730">
        <f>VLOOKUP(A730,'Short-term interest Rates daily'!$A:$E,3,FALSE)</f>
        <v>8.41</v>
      </c>
      <c r="K730">
        <f>VLOOKUP(A730,'Short-term interest Rates daily'!$A:$E,4,FALSE)</f>
        <v>8.3699999999999992</v>
      </c>
      <c r="L730">
        <f>VLOOKUP(A730,'Short-term interest Rates daily'!$A:$E,5,FALSE)</f>
        <v>5.71</v>
      </c>
    </row>
    <row r="731" spans="1:12" x14ac:dyDescent="0.3">
      <c r="A731" s="1">
        <v>32142</v>
      </c>
      <c r="B731">
        <f>VLOOKUP(A731,'STOCK DATA'!$A$2:$H$522,2,FALSE)</f>
        <v>0</v>
      </c>
      <c r="C731">
        <f>VLOOKUP($A731,'STOCK DATA'!$A$2:H$521,3,FALSE)</f>
        <v>1320</v>
      </c>
      <c r="D731">
        <f>VLOOKUP($A731,'STOCK DATA'!$A$2:$H$521,3,FALSE)</f>
        <v>1320</v>
      </c>
      <c r="E731">
        <f>VLOOKUP($A731,'STOCK DATA'!$A$2:$H$521,3,FALSE)</f>
        <v>1320</v>
      </c>
      <c r="F731">
        <f>VLOOKUP($A731,'STOCK DATA'!$A$2:$H$521,3,FALSE)</f>
        <v>1320</v>
      </c>
      <c r="G731">
        <f>VLOOKUP($A731,'STOCK DATA'!$A$2:$H$521,3,FALSE)</f>
        <v>1320</v>
      </c>
      <c r="H731">
        <f>VLOOKUP($A731,'STOCK DATA'!$A$2:$H$521,3,FALSE)</f>
        <v>1320</v>
      </c>
      <c r="I731">
        <f>VLOOKUP(A731,'Short-term interest Rates daily'!$A:$E,2,FALSE)</f>
        <v>11.25</v>
      </c>
      <c r="J731">
        <f>VLOOKUP(A731,'Short-term interest Rates daily'!$A:$E,3,FALSE)</f>
        <v>8.42</v>
      </c>
      <c r="K731">
        <f>VLOOKUP(A731,'Short-term interest Rates daily'!$A:$E,4,FALSE)</f>
        <v>8.39</v>
      </c>
      <c r="L731">
        <f>VLOOKUP(A731,'Short-term interest Rates daily'!$A:$E,5,FALSE)</f>
        <v>5.68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55DF-3F8E-4D84-AB71-443A23998D91}">
  <dimension ref="A1:E731"/>
  <sheetViews>
    <sheetView workbookViewId="0">
      <selection activeCell="H21" sqref="H21"/>
    </sheetView>
  </sheetViews>
  <sheetFormatPr defaultRowHeight="14.4" x14ac:dyDescent="0.3"/>
  <cols>
    <col min="1" max="1" width="10.33203125" bestFit="1" customWidth="1"/>
    <col min="2" max="5" width="12" bestFit="1" customWidth="1"/>
  </cols>
  <sheetData>
    <row r="1" spans="1:5" x14ac:dyDescent="0.3">
      <c r="A1" s="2" t="s">
        <v>0</v>
      </c>
      <c r="B1" s="2" t="s">
        <v>43</v>
      </c>
      <c r="C1" s="2" t="s">
        <v>40</v>
      </c>
      <c r="D1" s="2" t="s">
        <v>41</v>
      </c>
      <c r="E1" s="2" t="s">
        <v>42</v>
      </c>
    </row>
    <row r="2" spans="1:5" x14ac:dyDescent="0.3">
      <c r="A2" s="1">
        <v>31413</v>
      </c>
      <c r="B2" t="e">
        <v>#N/A</v>
      </c>
      <c r="C2" t="e">
        <v>#N/A</v>
      </c>
      <c r="D2" t="e">
        <v>#N/A</v>
      </c>
      <c r="E2" t="e">
        <v>#N/A</v>
      </c>
    </row>
    <row r="3" spans="1:5" x14ac:dyDescent="0.3">
      <c r="A3" s="1">
        <v>31414</v>
      </c>
      <c r="B3">
        <v>209.58999633789</v>
      </c>
      <c r="C3">
        <v>1420.5</v>
      </c>
      <c r="D3">
        <v>1010.79998779296</v>
      </c>
      <c r="E3">
        <v>2874.1826171875</v>
      </c>
    </row>
    <row r="4" spans="1:5" x14ac:dyDescent="0.3">
      <c r="A4" s="1">
        <v>31415</v>
      </c>
      <c r="B4">
        <v>210.88000488281199</v>
      </c>
      <c r="C4">
        <v>1429.80004882812</v>
      </c>
      <c r="D4">
        <v>1020.40002441406</v>
      </c>
      <c r="E4">
        <v>2874.08251953125</v>
      </c>
    </row>
    <row r="5" spans="1:5" x14ac:dyDescent="0.3">
      <c r="A5" s="1">
        <v>31416</v>
      </c>
      <c r="B5" t="e">
        <v>#N/A</v>
      </c>
      <c r="C5" t="e">
        <v>#N/A</v>
      </c>
      <c r="D5" t="e">
        <v>#N/A</v>
      </c>
      <c r="E5" t="e">
        <v>#N/A</v>
      </c>
    </row>
    <row r="6" spans="1:5" x14ac:dyDescent="0.3">
      <c r="A6" s="1">
        <v>31417</v>
      </c>
      <c r="B6" t="e">
        <v>#N/A</v>
      </c>
      <c r="C6" t="e">
        <v>#N/A</v>
      </c>
      <c r="D6" t="e">
        <v>#N/A</v>
      </c>
      <c r="E6" t="e">
        <v>#N/A</v>
      </c>
    </row>
    <row r="7" spans="1:5" x14ac:dyDescent="0.3">
      <c r="A7" s="1">
        <v>31418</v>
      </c>
      <c r="B7">
        <v>210.64999389648401</v>
      </c>
      <c r="C7">
        <v>1424.09997558593</v>
      </c>
      <c r="D7">
        <v>1028</v>
      </c>
      <c r="E7">
        <v>2859.91870117187</v>
      </c>
    </row>
    <row r="8" spans="1:5" x14ac:dyDescent="0.3">
      <c r="A8" s="1">
        <v>31419</v>
      </c>
      <c r="B8">
        <v>213.80000305175699</v>
      </c>
      <c r="C8">
        <v>1415.19995117187</v>
      </c>
      <c r="D8">
        <v>1032.40002441406</v>
      </c>
      <c r="E8">
        <v>2881.2646484375</v>
      </c>
    </row>
    <row r="9" spans="1:5" x14ac:dyDescent="0.3">
      <c r="A9" s="1">
        <v>31420</v>
      </c>
      <c r="B9">
        <v>207.97000122070301</v>
      </c>
      <c r="C9">
        <v>1404.19995117187</v>
      </c>
      <c r="D9">
        <v>1041.59997558593</v>
      </c>
      <c r="E9">
        <v>2852.53759765625</v>
      </c>
    </row>
    <row r="10" spans="1:5" x14ac:dyDescent="0.3">
      <c r="A10" s="1">
        <v>31421</v>
      </c>
      <c r="B10">
        <v>206.11000061035099</v>
      </c>
      <c r="C10">
        <v>1379.59997558593</v>
      </c>
      <c r="D10">
        <v>1043.90002441406</v>
      </c>
      <c r="E10">
        <v>2817.52685546875</v>
      </c>
    </row>
    <row r="11" spans="1:5" x14ac:dyDescent="0.3">
      <c r="A11" s="1">
        <v>31422</v>
      </c>
      <c r="B11">
        <v>205.96000671386699</v>
      </c>
      <c r="C11">
        <v>1394.5</v>
      </c>
      <c r="D11">
        <v>1044.19995117187</v>
      </c>
      <c r="E11">
        <v>2810.44506835937</v>
      </c>
    </row>
    <row r="12" spans="1:5" x14ac:dyDescent="0.3">
      <c r="A12" s="1">
        <v>31423</v>
      </c>
      <c r="B12" t="e">
        <v>#N/A</v>
      </c>
      <c r="C12" t="e">
        <v>#N/A</v>
      </c>
      <c r="D12" t="e">
        <v>#N/A</v>
      </c>
      <c r="E12" t="e">
        <v>#N/A</v>
      </c>
    </row>
    <row r="13" spans="1:5" x14ac:dyDescent="0.3">
      <c r="A13" s="1">
        <v>31424</v>
      </c>
      <c r="B13" t="e">
        <v>#N/A</v>
      </c>
      <c r="C13" t="e">
        <v>#N/A</v>
      </c>
      <c r="D13" t="e">
        <v>#N/A</v>
      </c>
      <c r="E13" t="e">
        <v>#N/A</v>
      </c>
    </row>
    <row r="14" spans="1:5" x14ac:dyDescent="0.3">
      <c r="A14" s="1">
        <v>31425</v>
      </c>
      <c r="B14">
        <v>206.72000122070301</v>
      </c>
      <c r="C14">
        <v>1384.59997558593</v>
      </c>
      <c r="D14">
        <v>1051.09997558593</v>
      </c>
      <c r="E14">
        <v>2802.76416015625</v>
      </c>
    </row>
    <row r="15" spans="1:5" x14ac:dyDescent="0.3">
      <c r="A15" s="1">
        <v>31426</v>
      </c>
      <c r="B15">
        <v>206.63999938964801</v>
      </c>
      <c r="C15">
        <v>1370.09997558593</v>
      </c>
      <c r="D15">
        <v>1048.90002441406</v>
      </c>
      <c r="E15">
        <v>2804.85888671875</v>
      </c>
    </row>
    <row r="16" spans="1:5" x14ac:dyDescent="0.3">
      <c r="A16" s="1">
        <v>31427</v>
      </c>
      <c r="B16">
        <v>208.259994506835</v>
      </c>
      <c r="C16">
        <v>1390.5</v>
      </c>
      <c r="D16">
        <v>1050.5</v>
      </c>
      <c r="E16">
        <v>2846.35327148437</v>
      </c>
    </row>
    <row r="17" spans="1:5" x14ac:dyDescent="0.3">
      <c r="A17" s="1">
        <v>31428</v>
      </c>
      <c r="B17">
        <v>209.169998168945</v>
      </c>
      <c r="C17">
        <v>1394.5</v>
      </c>
      <c r="D17">
        <v>1060.90002441406</v>
      </c>
      <c r="E17">
        <v>2868.89599609375</v>
      </c>
    </row>
    <row r="18" spans="1:5" x14ac:dyDescent="0.3">
      <c r="A18" s="1">
        <v>31429</v>
      </c>
      <c r="B18">
        <v>208.42999267578099</v>
      </c>
      <c r="C18">
        <v>1396</v>
      </c>
      <c r="D18">
        <v>1066.69995117187</v>
      </c>
      <c r="E18">
        <v>2862.01342773437</v>
      </c>
    </row>
    <row r="19" spans="1:5" x14ac:dyDescent="0.3">
      <c r="A19" s="1">
        <v>31430</v>
      </c>
      <c r="B19" t="e">
        <v>#N/A</v>
      </c>
      <c r="C19" t="e">
        <v>#N/A</v>
      </c>
      <c r="D19" t="e">
        <v>#N/A</v>
      </c>
      <c r="E19" t="e">
        <v>#N/A</v>
      </c>
    </row>
    <row r="20" spans="1:5" x14ac:dyDescent="0.3">
      <c r="A20" s="1">
        <v>31431</v>
      </c>
      <c r="B20" t="e">
        <v>#N/A</v>
      </c>
      <c r="C20" t="e">
        <v>#N/A</v>
      </c>
      <c r="D20" t="e">
        <v>#N/A</v>
      </c>
      <c r="E20" t="e">
        <v>#N/A</v>
      </c>
    </row>
    <row r="21" spans="1:5" x14ac:dyDescent="0.3">
      <c r="A21" s="1">
        <v>31432</v>
      </c>
      <c r="B21">
        <v>207.52999877929599</v>
      </c>
      <c r="C21">
        <v>1378.30004882812</v>
      </c>
      <c r="D21">
        <v>1065.59997558593</v>
      </c>
      <c r="E21">
        <v>2839.271484375</v>
      </c>
    </row>
    <row r="22" spans="1:5" x14ac:dyDescent="0.3">
      <c r="A22" s="1">
        <v>31433</v>
      </c>
      <c r="B22">
        <v>205.78999328613199</v>
      </c>
      <c r="C22">
        <v>1378.09997558593</v>
      </c>
      <c r="D22">
        <v>1067.69995117187</v>
      </c>
      <c r="E22">
        <v>2807.05322265625</v>
      </c>
    </row>
    <row r="23" spans="1:5" x14ac:dyDescent="0.3">
      <c r="A23" s="1">
        <v>31434</v>
      </c>
      <c r="B23">
        <v>203.49000549316401</v>
      </c>
      <c r="C23">
        <v>1390.90002441406</v>
      </c>
      <c r="D23">
        <v>1069</v>
      </c>
      <c r="E23">
        <v>2751.7939453125</v>
      </c>
    </row>
    <row r="24" spans="1:5" x14ac:dyDescent="0.3">
      <c r="A24" s="1">
        <v>31435</v>
      </c>
      <c r="B24">
        <v>204.25</v>
      </c>
      <c r="C24">
        <v>1382.80004882812</v>
      </c>
      <c r="D24">
        <v>1059.90002441406</v>
      </c>
      <c r="E24">
        <v>2766.25732421875</v>
      </c>
    </row>
    <row r="25" spans="1:5" x14ac:dyDescent="0.3">
      <c r="A25" s="1">
        <v>31436</v>
      </c>
      <c r="B25">
        <v>206.42999267578099</v>
      </c>
      <c r="C25">
        <v>1392</v>
      </c>
      <c r="D25">
        <v>1052.90002441406</v>
      </c>
      <c r="E25">
        <v>2802.96411132812</v>
      </c>
    </row>
    <row r="26" spans="1:5" x14ac:dyDescent="0.3">
      <c r="A26" s="1">
        <v>31437</v>
      </c>
      <c r="B26" t="e">
        <v>#N/A</v>
      </c>
      <c r="C26" t="e">
        <v>#N/A</v>
      </c>
      <c r="D26" t="e">
        <v>#N/A</v>
      </c>
      <c r="E26" t="e">
        <v>#N/A</v>
      </c>
    </row>
    <row r="27" spans="1:5" x14ac:dyDescent="0.3">
      <c r="A27" s="1">
        <v>31438</v>
      </c>
      <c r="B27" t="e">
        <v>#N/A</v>
      </c>
      <c r="C27" t="e">
        <v>#N/A</v>
      </c>
      <c r="D27" t="e">
        <v>#N/A</v>
      </c>
      <c r="E27" t="e">
        <v>#N/A</v>
      </c>
    </row>
    <row r="28" spans="1:5" x14ac:dyDescent="0.3">
      <c r="A28" s="1">
        <v>31439</v>
      </c>
      <c r="B28">
        <v>207.38999938964801</v>
      </c>
      <c r="C28">
        <v>1405</v>
      </c>
      <c r="D28" t="e">
        <v>#N/A</v>
      </c>
      <c r="E28">
        <v>2820.71850585937</v>
      </c>
    </row>
    <row r="29" spans="1:5" x14ac:dyDescent="0.3">
      <c r="A29" s="1">
        <v>31440</v>
      </c>
      <c r="B29">
        <v>209.80999755859301</v>
      </c>
      <c r="C29">
        <v>1426.30004882812</v>
      </c>
      <c r="D29">
        <v>1055.59997558593</v>
      </c>
      <c r="E29">
        <v>2830.69311523437</v>
      </c>
    </row>
    <row r="30" spans="1:5" x14ac:dyDescent="0.3">
      <c r="A30" s="1">
        <v>31441</v>
      </c>
      <c r="B30">
        <v>210.28999328613199</v>
      </c>
      <c r="C30">
        <v>1421</v>
      </c>
      <c r="D30">
        <v>1060.5</v>
      </c>
      <c r="E30">
        <v>2849.64501953125</v>
      </c>
    </row>
    <row r="31" spans="1:5" x14ac:dyDescent="0.3">
      <c r="A31" s="1">
        <v>31442</v>
      </c>
      <c r="B31">
        <v>209.33000183105401</v>
      </c>
      <c r="C31">
        <v>1429.09997558593</v>
      </c>
      <c r="D31">
        <v>1074.19995117187</v>
      </c>
      <c r="E31">
        <v>2837.2763671875</v>
      </c>
    </row>
    <row r="32" spans="1:5" x14ac:dyDescent="0.3">
      <c r="A32" s="1">
        <v>31443</v>
      </c>
      <c r="B32">
        <v>211.77999877929599</v>
      </c>
      <c r="C32">
        <v>1435</v>
      </c>
      <c r="D32">
        <v>1075.09997558593</v>
      </c>
      <c r="E32">
        <v>2835.78051757812</v>
      </c>
    </row>
    <row r="33" spans="1:5" x14ac:dyDescent="0.3">
      <c r="A33" s="1">
        <v>31444</v>
      </c>
      <c r="B33" t="e">
        <v>#N/A</v>
      </c>
      <c r="C33" t="e">
        <v>#N/A</v>
      </c>
      <c r="D33" t="e">
        <v>#N/A</v>
      </c>
      <c r="E33" t="e">
        <v>#N/A</v>
      </c>
    </row>
    <row r="34" spans="1:5" x14ac:dyDescent="0.3">
      <c r="A34" s="1">
        <v>31445</v>
      </c>
      <c r="B34" t="e">
        <v>#N/A</v>
      </c>
      <c r="C34" t="e">
        <v>#N/A</v>
      </c>
      <c r="D34" t="e">
        <v>#N/A</v>
      </c>
      <c r="E34" t="e">
        <v>#N/A</v>
      </c>
    </row>
    <row r="35" spans="1:5" x14ac:dyDescent="0.3">
      <c r="A35" s="1">
        <v>31446</v>
      </c>
      <c r="B35">
        <v>213.96000671386699</v>
      </c>
      <c r="C35">
        <v>1425.09997558593</v>
      </c>
      <c r="D35">
        <v>1072.90002441406</v>
      </c>
      <c r="E35">
        <v>2835.6806640625</v>
      </c>
    </row>
    <row r="36" spans="1:5" x14ac:dyDescent="0.3">
      <c r="A36" s="1">
        <v>31447</v>
      </c>
      <c r="B36">
        <v>212.78999328613199</v>
      </c>
      <c r="C36">
        <v>1431.59997558593</v>
      </c>
      <c r="D36">
        <v>1075.59997558593</v>
      </c>
      <c r="E36">
        <v>2775.13452148437</v>
      </c>
    </row>
    <row r="37" spans="1:5" x14ac:dyDescent="0.3">
      <c r="A37" s="1">
        <v>31448</v>
      </c>
      <c r="B37">
        <v>212.96000671386699</v>
      </c>
      <c r="C37">
        <v>1424.09997558593</v>
      </c>
      <c r="D37">
        <v>1060.69995117187</v>
      </c>
      <c r="E37">
        <v>2764.56176757812</v>
      </c>
    </row>
    <row r="38" spans="1:5" x14ac:dyDescent="0.3">
      <c r="A38" s="1">
        <v>31449</v>
      </c>
      <c r="B38">
        <v>213.47000122070301</v>
      </c>
      <c r="C38">
        <v>1426.90002441406</v>
      </c>
      <c r="D38">
        <v>1066.90002441406</v>
      </c>
      <c r="E38">
        <v>2793.88696289062</v>
      </c>
    </row>
    <row r="39" spans="1:5" x14ac:dyDescent="0.3">
      <c r="A39" s="1">
        <v>31450</v>
      </c>
      <c r="B39">
        <v>214.55999755859301</v>
      </c>
      <c r="C39">
        <v>1445</v>
      </c>
      <c r="D39">
        <v>1069.40002441406</v>
      </c>
      <c r="E39">
        <v>2791.69262695312</v>
      </c>
    </row>
    <row r="40" spans="1:5" x14ac:dyDescent="0.3">
      <c r="A40" s="1">
        <v>31451</v>
      </c>
      <c r="B40" t="e">
        <v>#N/A</v>
      </c>
      <c r="C40" t="e">
        <v>#N/A</v>
      </c>
      <c r="D40" t="e">
        <v>#N/A</v>
      </c>
      <c r="E40" t="e">
        <v>#N/A</v>
      </c>
    </row>
    <row r="41" spans="1:5" x14ac:dyDescent="0.3">
      <c r="A41" s="1">
        <v>31452</v>
      </c>
      <c r="B41" t="e">
        <v>#N/A</v>
      </c>
      <c r="C41" t="e">
        <v>#N/A</v>
      </c>
      <c r="D41" t="e">
        <v>#N/A</v>
      </c>
      <c r="E41" t="e">
        <v>#N/A</v>
      </c>
    </row>
    <row r="42" spans="1:5" x14ac:dyDescent="0.3">
      <c r="A42" s="1">
        <v>31453</v>
      </c>
      <c r="B42">
        <v>216.24000549316401</v>
      </c>
      <c r="C42">
        <v>1461.5</v>
      </c>
      <c r="D42">
        <v>1068.90002441406</v>
      </c>
      <c r="E42">
        <v>2785.90698242187</v>
      </c>
    </row>
    <row r="43" spans="1:5" x14ac:dyDescent="0.3">
      <c r="A43" s="1">
        <v>31454</v>
      </c>
      <c r="B43">
        <v>215.919998168945</v>
      </c>
      <c r="C43">
        <v>1453.90002441406</v>
      </c>
      <c r="D43">
        <v>1064.5</v>
      </c>
      <c r="E43">
        <v>2761.6689453125</v>
      </c>
    </row>
    <row r="44" spans="1:5" x14ac:dyDescent="0.3">
      <c r="A44" s="1">
        <v>31455</v>
      </c>
      <c r="B44">
        <v>215.97000122070301</v>
      </c>
      <c r="C44">
        <v>1470</v>
      </c>
      <c r="D44">
        <v>1055.19995117187</v>
      </c>
      <c r="E44">
        <v>2774.03759765625</v>
      </c>
    </row>
    <row r="45" spans="1:5" x14ac:dyDescent="0.3">
      <c r="A45" s="1">
        <v>31456</v>
      </c>
      <c r="B45">
        <v>217.39999389648401</v>
      </c>
      <c r="C45">
        <v>1473.5</v>
      </c>
      <c r="D45">
        <v>1039.69995117187</v>
      </c>
      <c r="E45">
        <v>2753.7890625</v>
      </c>
    </row>
    <row r="46" spans="1:5" x14ac:dyDescent="0.3">
      <c r="A46" s="1">
        <v>31457</v>
      </c>
      <c r="B46">
        <v>219.759994506835</v>
      </c>
      <c r="C46">
        <v>1477.90002441406</v>
      </c>
      <c r="D46">
        <v>1046.69995117187</v>
      </c>
      <c r="E46">
        <v>2754.28784179687</v>
      </c>
    </row>
    <row r="47" spans="1:5" x14ac:dyDescent="0.3">
      <c r="A47" s="1">
        <v>31458</v>
      </c>
      <c r="B47" t="e">
        <v>#N/A</v>
      </c>
      <c r="C47" t="e">
        <v>#N/A</v>
      </c>
      <c r="D47" t="e">
        <v>#N/A</v>
      </c>
      <c r="E47" t="e">
        <v>#N/A</v>
      </c>
    </row>
    <row r="48" spans="1:5" x14ac:dyDescent="0.3">
      <c r="A48" s="1">
        <v>31459</v>
      </c>
      <c r="B48" t="e">
        <v>#N/A</v>
      </c>
      <c r="C48" t="e">
        <v>#N/A</v>
      </c>
      <c r="D48" t="e">
        <v>#N/A</v>
      </c>
      <c r="E48" t="e">
        <v>#N/A</v>
      </c>
    </row>
    <row r="49" spans="1:5" x14ac:dyDescent="0.3">
      <c r="A49" s="1">
        <v>31460</v>
      </c>
      <c r="B49" t="e">
        <v>#N/A</v>
      </c>
      <c r="C49">
        <v>1475.30004882812</v>
      </c>
      <c r="D49">
        <v>1048.5</v>
      </c>
      <c r="E49" t="e">
        <v>#N/A</v>
      </c>
    </row>
    <row r="50" spans="1:5" x14ac:dyDescent="0.3">
      <c r="A50" s="1">
        <v>31461</v>
      </c>
      <c r="B50">
        <v>222.44999694824199</v>
      </c>
      <c r="C50">
        <v>1491.90002441406</v>
      </c>
      <c r="D50">
        <v>1047.09997558593</v>
      </c>
      <c r="E50">
        <v>2774.83520507812</v>
      </c>
    </row>
    <row r="51" spans="1:5" x14ac:dyDescent="0.3">
      <c r="A51" s="1">
        <v>31462</v>
      </c>
      <c r="B51">
        <v>219.759994506835</v>
      </c>
      <c r="C51">
        <v>1491.40002441406</v>
      </c>
      <c r="D51">
        <v>1049.59997558593</v>
      </c>
      <c r="E51">
        <v>2783.61328125</v>
      </c>
    </row>
    <row r="52" spans="1:5" x14ac:dyDescent="0.3">
      <c r="A52" s="1">
        <v>31463</v>
      </c>
      <c r="B52">
        <v>222.22000122070301</v>
      </c>
      <c r="C52">
        <v>1492.09997558593</v>
      </c>
      <c r="D52">
        <v>1052.30004882812</v>
      </c>
      <c r="E52">
        <v>2794.28588867187</v>
      </c>
    </row>
    <row r="53" spans="1:5" x14ac:dyDescent="0.3">
      <c r="A53" s="1">
        <v>31464</v>
      </c>
      <c r="B53">
        <v>224.61999511718699</v>
      </c>
      <c r="C53">
        <v>1518</v>
      </c>
      <c r="D53">
        <v>1057</v>
      </c>
      <c r="E53">
        <v>2802.66430664062</v>
      </c>
    </row>
    <row r="54" spans="1:5" x14ac:dyDescent="0.3">
      <c r="A54" s="1">
        <v>31465</v>
      </c>
      <c r="B54" t="e">
        <v>#N/A</v>
      </c>
      <c r="C54" t="e">
        <v>#N/A</v>
      </c>
      <c r="D54" t="e">
        <v>#N/A</v>
      </c>
      <c r="E54" t="e">
        <v>#N/A</v>
      </c>
    </row>
    <row r="55" spans="1:5" x14ac:dyDescent="0.3">
      <c r="A55" s="1">
        <v>31466</v>
      </c>
      <c r="B55" t="e">
        <v>#N/A</v>
      </c>
      <c r="C55" t="e">
        <v>#N/A</v>
      </c>
      <c r="D55" t="e">
        <v>#N/A</v>
      </c>
      <c r="E55" t="e">
        <v>#N/A</v>
      </c>
    </row>
    <row r="56" spans="1:5" x14ac:dyDescent="0.3">
      <c r="A56" s="1">
        <v>31467</v>
      </c>
      <c r="B56">
        <v>224.33999633789</v>
      </c>
      <c r="C56">
        <v>1533</v>
      </c>
      <c r="D56">
        <v>1062</v>
      </c>
      <c r="E56">
        <v>2794.58520507812</v>
      </c>
    </row>
    <row r="57" spans="1:5" x14ac:dyDescent="0.3">
      <c r="A57" s="1">
        <v>31468</v>
      </c>
      <c r="B57">
        <v>223.78999328613199</v>
      </c>
      <c r="C57">
        <v>1527.69995117187</v>
      </c>
      <c r="D57">
        <v>1046.59997558593</v>
      </c>
      <c r="E57">
        <v>2801.36791992187</v>
      </c>
    </row>
    <row r="58" spans="1:5" x14ac:dyDescent="0.3">
      <c r="A58" s="1">
        <v>31469</v>
      </c>
      <c r="B58">
        <v>224.03999328613199</v>
      </c>
      <c r="C58">
        <v>1534.59997558593</v>
      </c>
      <c r="D58">
        <v>1047</v>
      </c>
      <c r="E58">
        <v>2820.0205078125</v>
      </c>
    </row>
    <row r="59" spans="1:5" x14ac:dyDescent="0.3">
      <c r="A59" s="1">
        <v>31470</v>
      </c>
      <c r="B59">
        <v>226.77000427246</v>
      </c>
      <c r="C59">
        <v>1549.5</v>
      </c>
      <c r="D59">
        <v>1041.59997558593</v>
      </c>
      <c r="E59">
        <v>2826.10522460937</v>
      </c>
    </row>
    <row r="60" spans="1:5" x14ac:dyDescent="0.3">
      <c r="A60" s="1">
        <v>31471</v>
      </c>
      <c r="B60">
        <v>226.919998168945</v>
      </c>
      <c r="C60">
        <v>1543.90002441406</v>
      </c>
      <c r="D60">
        <v>1041.59997558593</v>
      </c>
      <c r="E60">
        <v>2848.54760742187</v>
      </c>
    </row>
    <row r="61" spans="1:5" x14ac:dyDescent="0.3">
      <c r="A61" s="1">
        <v>31472</v>
      </c>
      <c r="B61" t="e">
        <v>#N/A</v>
      </c>
      <c r="C61" t="e">
        <v>#N/A</v>
      </c>
      <c r="D61" t="e">
        <v>#N/A</v>
      </c>
      <c r="E61" t="e">
        <v>#N/A</v>
      </c>
    </row>
    <row r="62" spans="1:5" x14ac:dyDescent="0.3">
      <c r="A62" s="1">
        <v>31473</v>
      </c>
      <c r="B62" t="e">
        <v>#N/A</v>
      </c>
      <c r="C62" t="e">
        <v>#N/A</v>
      </c>
      <c r="D62" t="e">
        <v>#N/A</v>
      </c>
      <c r="E62" t="e">
        <v>#N/A</v>
      </c>
    </row>
    <row r="63" spans="1:5" x14ac:dyDescent="0.3">
      <c r="A63" s="1">
        <v>31474</v>
      </c>
      <c r="B63">
        <v>225.419998168945</v>
      </c>
      <c r="C63">
        <v>1534.90002441406</v>
      </c>
      <c r="D63">
        <v>1041.59997558593</v>
      </c>
      <c r="E63">
        <v>2859.32055664062</v>
      </c>
    </row>
    <row r="64" spans="1:5" x14ac:dyDescent="0.3">
      <c r="A64" s="1">
        <v>31475</v>
      </c>
      <c r="B64">
        <v>224.38000488281199</v>
      </c>
      <c r="C64">
        <v>1548.90002441406</v>
      </c>
      <c r="D64">
        <v>1058.30004882812</v>
      </c>
      <c r="E64">
        <v>2864.20776367187</v>
      </c>
    </row>
    <row r="65" spans="1:5" x14ac:dyDescent="0.3">
      <c r="A65" s="1">
        <v>31476</v>
      </c>
      <c r="B65">
        <v>224.33999633789</v>
      </c>
      <c r="C65">
        <v>1569.09997558593</v>
      </c>
      <c r="D65">
        <v>1058.40002441406</v>
      </c>
      <c r="E65">
        <v>2882.26220703125</v>
      </c>
    </row>
    <row r="66" spans="1:5" x14ac:dyDescent="0.3">
      <c r="A66" s="1">
        <v>31477</v>
      </c>
      <c r="B66">
        <v>225.13000488281199</v>
      </c>
      <c r="C66">
        <v>1566.09997558593</v>
      </c>
      <c r="D66">
        <v>1053.69995117187</v>
      </c>
      <c r="E66">
        <v>2906.60009765625</v>
      </c>
    </row>
    <row r="67" spans="1:5" x14ac:dyDescent="0.3">
      <c r="A67" s="1">
        <v>31478</v>
      </c>
      <c r="B67">
        <v>225.57000732421801</v>
      </c>
      <c r="C67">
        <v>1573.80004882812</v>
      </c>
      <c r="D67">
        <v>1055</v>
      </c>
      <c r="E67">
        <v>2919.56713867187</v>
      </c>
    </row>
    <row r="68" spans="1:5" x14ac:dyDescent="0.3">
      <c r="A68" s="1">
        <v>31479</v>
      </c>
      <c r="B68" t="e">
        <v>#N/A</v>
      </c>
      <c r="C68" t="e">
        <v>#N/A</v>
      </c>
      <c r="D68" t="e">
        <v>#N/A</v>
      </c>
      <c r="E68" t="e">
        <v>#N/A</v>
      </c>
    </row>
    <row r="69" spans="1:5" x14ac:dyDescent="0.3">
      <c r="A69" s="1">
        <v>31480</v>
      </c>
      <c r="B69" t="e">
        <v>#N/A</v>
      </c>
      <c r="C69" t="e">
        <v>#N/A</v>
      </c>
      <c r="D69" t="e">
        <v>#N/A</v>
      </c>
      <c r="E69" t="e">
        <v>#N/A</v>
      </c>
    </row>
    <row r="70" spans="1:5" x14ac:dyDescent="0.3">
      <c r="A70" s="1">
        <v>31481</v>
      </c>
      <c r="B70">
        <v>226.58000183105401</v>
      </c>
      <c r="C70">
        <v>1572.19995117187</v>
      </c>
      <c r="D70">
        <v>1055</v>
      </c>
      <c r="E70">
        <v>2918.86889648437</v>
      </c>
    </row>
    <row r="71" spans="1:5" x14ac:dyDescent="0.3">
      <c r="A71" s="1">
        <v>31482</v>
      </c>
      <c r="B71">
        <v>231.69000244140599</v>
      </c>
      <c r="C71">
        <v>1597.09997558593</v>
      </c>
      <c r="D71">
        <v>1063.09997558593</v>
      </c>
      <c r="E71">
        <v>2965.94873046875</v>
      </c>
    </row>
    <row r="72" spans="1:5" x14ac:dyDescent="0.3">
      <c r="A72" s="1">
        <v>31483</v>
      </c>
      <c r="B72">
        <v>232.53999328613199</v>
      </c>
      <c r="C72">
        <v>1624.5</v>
      </c>
      <c r="D72">
        <v>1076.90002441406</v>
      </c>
      <c r="E72">
        <v>2986.29736328125</v>
      </c>
    </row>
    <row r="73" spans="1:5" x14ac:dyDescent="0.3">
      <c r="A73" s="1">
        <v>31484</v>
      </c>
      <c r="B73">
        <v>233.19000244140599</v>
      </c>
      <c r="C73">
        <v>1616.69995117187</v>
      </c>
      <c r="D73">
        <v>1085.80004882812</v>
      </c>
      <c r="E73">
        <v>2954.17895507812</v>
      </c>
    </row>
    <row r="74" spans="1:5" x14ac:dyDescent="0.3">
      <c r="A74" s="1">
        <v>31485</v>
      </c>
      <c r="B74">
        <v>236.55000305175699</v>
      </c>
      <c r="C74">
        <v>1624.40002441406</v>
      </c>
      <c r="D74">
        <v>1089.5</v>
      </c>
      <c r="E74">
        <v>2950.28881835937</v>
      </c>
    </row>
    <row r="75" spans="1:5" x14ac:dyDescent="0.3">
      <c r="A75" s="1">
        <v>31486</v>
      </c>
      <c r="B75" t="e">
        <v>#N/A</v>
      </c>
      <c r="C75" t="e">
        <v>#N/A</v>
      </c>
      <c r="D75" t="e">
        <v>#N/A</v>
      </c>
      <c r="E75" t="e">
        <v>#N/A</v>
      </c>
    </row>
    <row r="76" spans="1:5" x14ac:dyDescent="0.3">
      <c r="A76" s="1">
        <v>31487</v>
      </c>
      <c r="B76" t="e">
        <v>#N/A</v>
      </c>
      <c r="C76" t="e">
        <v>#N/A</v>
      </c>
      <c r="D76" t="e">
        <v>#N/A</v>
      </c>
      <c r="E76" t="e">
        <v>#N/A</v>
      </c>
    </row>
    <row r="77" spans="1:5" x14ac:dyDescent="0.3">
      <c r="A77" s="1">
        <v>31488</v>
      </c>
      <c r="B77">
        <v>234.669998168945</v>
      </c>
      <c r="C77">
        <v>1622.59997558593</v>
      </c>
      <c r="D77">
        <v>1112.19995117187</v>
      </c>
      <c r="E77">
        <v>2949.59057617187</v>
      </c>
    </row>
    <row r="78" spans="1:5" x14ac:dyDescent="0.3">
      <c r="A78" s="1">
        <v>31489</v>
      </c>
      <c r="B78">
        <v>235.77999877929599</v>
      </c>
      <c r="C78">
        <v>1644.40002441406</v>
      </c>
      <c r="D78">
        <v>1124.40002441406</v>
      </c>
      <c r="E78">
        <v>2976.62182617187</v>
      </c>
    </row>
    <row r="79" spans="1:5" x14ac:dyDescent="0.3">
      <c r="A79" s="1">
        <v>31490</v>
      </c>
      <c r="B79">
        <v>235.600006103515</v>
      </c>
      <c r="C79">
        <v>1659.80004882812</v>
      </c>
      <c r="D79">
        <v>1123.30004882812</v>
      </c>
      <c r="E79">
        <v>2988.99047851562</v>
      </c>
    </row>
    <row r="80" spans="1:5" x14ac:dyDescent="0.3">
      <c r="A80" s="1">
        <v>31491</v>
      </c>
      <c r="B80">
        <v>236.53999328613199</v>
      </c>
      <c r="C80">
        <v>1690.09997558593</v>
      </c>
      <c r="D80">
        <v>1128.09997558593</v>
      </c>
      <c r="E80">
        <v>3022.10571289062</v>
      </c>
    </row>
    <row r="81" spans="1:5" x14ac:dyDescent="0.3">
      <c r="A81" s="1">
        <v>31492</v>
      </c>
      <c r="B81">
        <v>233.33999633789</v>
      </c>
      <c r="C81">
        <v>1688.30004882812</v>
      </c>
      <c r="D81">
        <v>1136.69995117187</v>
      </c>
      <c r="E81">
        <v>3047.64086914062</v>
      </c>
    </row>
    <row r="82" spans="1:5" x14ac:dyDescent="0.3">
      <c r="A82" s="1">
        <v>31493</v>
      </c>
      <c r="B82" t="e">
        <v>#N/A</v>
      </c>
      <c r="C82" t="e">
        <v>#N/A</v>
      </c>
      <c r="D82" t="e">
        <v>#N/A</v>
      </c>
      <c r="E82" t="e">
        <v>#N/A</v>
      </c>
    </row>
    <row r="83" spans="1:5" x14ac:dyDescent="0.3">
      <c r="A83" s="1">
        <v>31494</v>
      </c>
      <c r="B83" t="e">
        <v>#N/A</v>
      </c>
      <c r="C83" t="e">
        <v>#N/A</v>
      </c>
      <c r="D83" t="e">
        <v>#N/A</v>
      </c>
      <c r="E83" t="e">
        <v>#N/A</v>
      </c>
    </row>
    <row r="84" spans="1:5" x14ac:dyDescent="0.3">
      <c r="A84" s="1">
        <v>31495</v>
      </c>
      <c r="B84">
        <v>235.33000183105401</v>
      </c>
      <c r="C84">
        <v>1663.90002441406</v>
      </c>
      <c r="D84">
        <v>1156.80004882812</v>
      </c>
      <c r="E84">
        <v>3033.57690429687</v>
      </c>
    </row>
    <row r="85" spans="1:5" x14ac:dyDescent="0.3">
      <c r="A85" s="1">
        <v>31496</v>
      </c>
      <c r="B85">
        <v>234.72000122070301</v>
      </c>
      <c r="C85">
        <v>1633.80004882812</v>
      </c>
      <c r="D85">
        <v>1168.69995117187</v>
      </c>
      <c r="E85">
        <v>3004.45092773437</v>
      </c>
    </row>
    <row r="86" spans="1:5" x14ac:dyDescent="0.3">
      <c r="A86" s="1">
        <v>31497</v>
      </c>
      <c r="B86">
        <v>237.30000305175699</v>
      </c>
      <c r="C86">
        <v>1653.90002441406</v>
      </c>
      <c r="D86">
        <v>1165.69995117187</v>
      </c>
      <c r="E86">
        <v>3016.7197265625</v>
      </c>
    </row>
    <row r="87" spans="1:5" x14ac:dyDescent="0.3">
      <c r="A87" s="1">
        <v>31498</v>
      </c>
      <c r="B87">
        <v>238.97000122070301</v>
      </c>
      <c r="C87">
        <v>1668.80004882812</v>
      </c>
      <c r="D87">
        <v>1136.5</v>
      </c>
      <c r="E87">
        <v>3028.39013671875</v>
      </c>
    </row>
    <row r="88" spans="1:5" x14ac:dyDescent="0.3">
      <c r="A88" s="1">
        <v>31499</v>
      </c>
      <c r="B88" t="e">
        <v>#N/A</v>
      </c>
      <c r="C88" t="e">
        <v>#N/A</v>
      </c>
      <c r="D88" t="e">
        <v>#N/A</v>
      </c>
      <c r="E88" t="e">
        <v>#N/A</v>
      </c>
    </row>
    <row r="89" spans="1:5" x14ac:dyDescent="0.3">
      <c r="A89" s="1">
        <v>31500</v>
      </c>
      <c r="B89" t="e">
        <v>#N/A</v>
      </c>
      <c r="C89" t="e">
        <v>#N/A</v>
      </c>
      <c r="D89" t="e">
        <v>#N/A</v>
      </c>
      <c r="E89" t="e">
        <v>#N/A</v>
      </c>
    </row>
    <row r="90" spans="1:5" x14ac:dyDescent="0.3">
      <c r="A90" s="1">
        <v>31501</v>
      </c>
      <c r="B90" t="e">
        <v>#N/A</v>
      </c>
      <c r="C90" t="e">
        <v>#N/A</v>
      </c>
      <c r="D90" t="e">
        <v>#N/A</v>
      </c>
      <c r="E90" t="e">
        <v>#N/A</v>
      </c>
    </row>
    <row r="91" spans="1:5" x14ac:dyDescent="0.3">
      <c r="A91" s="1">
        <v>31502</v>
      </c>
      <c r="B91">
        <v>238.89999389648401</v>
      </c>
      <c r="C91" t="e">
        <v>#N/A</v>
      </c>
      <c r="D91" t="e">
        <v>#N/A</v>
      </c>
      <c r="E91">
        <v>3039.5615234375</v>
      </c>
    </row>
    <row r="92" spans="1:5" x14ac:dyDescent="0.3">
      <c r="A92" s="1">
        <v>31503</v>
      </c>
      <c r="B92">
        <v>235.13999938964801</v>
      </c>
      <c r="C92">
        <v>1684</v>
      </c>
      <c r="D92">
        <v>1131.5</v>
      </c>
      <c r="E92">
        <v>3021.00854492187</v>
      </c>
    </row>
    <row r="93" spans="1:5" x14ac:dyDescent="0.3">
      <c r="A93" s="1">
        <v>31504</v>
      </c>
      <c r="B93">
        <v>235.71000671386699</v>
      </c>
      <c r="C93">
        <v>1702.90002441406</v>
      </c>
      <c r="D93">
        <v>1136</v>
      </c>
      <c r="E93">
        <v>3022.20556640625</v>
      </c>
    </row>
    <row r="94" spans="1:5" x14ac:dyDescent="0.3">
      <c r="A94" s="1">
        <v>31505</v>
      </c>
      <c r="B94">
        <v>232.47000122070301</v>
      </c>
      <c r="C94">
        <v>1717.59997558593</v>
      </c>
      <c r="D94">
        <v>1144.19995117187</v>
      </c>
      <c r="E94">
        <v>3028.48950195312</v>
      </c>
    </row>
    <row r="95" spans="1:5" x14ac:dyDescent="0.3">
      <c r="A95" s="1">
        <v>31506</v>
      </c>
      <c r="B95">
        <v>228.69000244140599</v>
      </c>
      <c r="C95">
        <v>1709.69995117187</v>
      </c>
      <c r="D95">
        <v>1153.90002441406</v>
      </c>
      <c r="E95">
        <v>3009.73754882812</v>
      </c>
    </row>
    <row r="96" spans="1:5" x14ac:dyDescent="0.3">
      <c r="A96" s="1">
        <v>31507</v>
      </c>
      <c r="B96" t="e">
        <v>#N/A</v>
      </c>
      <c r="C96" t="e">
        <v>#N/A</v>
      </c>
      <c r="D96" t="e">
        <v>#N/A</v>
      </c>
      <c r="E96" t="e">
        <v>#N/A</v>
      </c>
    </row>
    <row r="97" spans="1:5" x14ac:dyDescent="0.3">
      <c r="A97" s="1">
        <v>31508</v>
      </c>
      <c r="B97" t="e">
        <v>#N/A</v>
      </c>
      <c r="C97" t="e">
        <v>#N/A</v>
      </c>
      <c r="D97" t="e">
        <v>#N/A</v>
      </c>
      <c r="E97" t="e">
        <v>#N/A</v>
      </c>
    </row>
    <row r="98" spans="1:5" x14ac:dyDescent="0.3">
      <c r="A98" s="1">
        <v>31509</v>
      </c>
      <c r="B98">
        <v>228.63000488281199</v>
      </c>
      <c r="C98">
        <v>1688.5</v>
      </c>
      <c r="D98">
        <v>1148.5</v>
      </c>
      <c r="E98">
        <v>3022.20556640625</v>
      </c>
    </row>
    <row r="99" spans="1:5" x14ac:dyDescent="0.3">
      <c r="A99" s="1">
        <v>31510</v>
      </c>
      <c r="B99">
        <v>233.52000427246</v>
      </c>
      <c r="C99">
        <v>1675.69995117187</v>
      </c>
      <c r="D99">
        <v>1148.30004882812</v>
      </c>
      <c r="E99">
        <v>3031.88110351562</v>
      </c>
    </row>
    <row r="100" spans="1:5" x14ac:dyDescent="0.3">
      <c r="A100" s="1">
        <v>31511</v>
      </c>
      <c r="B100">
        <v>233.75</v>
      </c>
      <c r="C100">
        <v>1659</v>
      </c>
      <c r="D100">
        <v>1153.90002441406</v>
      </c>
      <c r="E100">
        <v>3051.33154296875</v>
      </c>
    </row>
    <row r="101" spans="1:5" x14ac:dyDescent="0.3">
      <c r="A101" s="1">
        <v>31512</v>
      </c>
      <c r="B101">
        <v>236.44000244140599</v>
      </c>
      <c r="C101">
        <v>1690.30004882812</v>
      </c>
      <c r="D101">
        <v>1195.59997558593</v>
      </c>
      <c r="E101">
        <v>3057.61547851562</v>
      </c>
    </row>
    <row r="102" spans="1:5" x14ac:dyDescent="0.3">
      <c r="A102" s="1">
        <v>31513</v>
      </c>
      <c r="B102">
        <v>235.97000122070301</v>
      </c>
      <c r="C102">
        <v>1694.09997558593</v>
      </c>
      <c r="D102">
        <v>1214.59997558593</v>
      </c>
      <c r="E102">
        <v>3075.76928710937</v>
      </c>
    </row>
    <row r="103" spans="1:5" x14ac:dyDescent="0.3">
      <c r="A103" s="1">
        <v>31514</v>
      </c>
      <c r="B103" t="e">
        <v>#N/A</v>
      </c>
      <c r="C103" t="e">
        <v>#N/A</v>
      </c>
      <c r="D103" t="e">
        <v>#N/A</v>
      </c>
      <c r="E103" t="e">
        <v>#N/A</v>
      </c>
    </row>
    <row r="104" spans="1:5" x14ac:dyDescent="0.3">
      <c r="A104" s="1">
        <v>31515</v>
      </c>
      <c r="B104" t="e">
        <v>#N/A</v>
      </c>
      <c r="C104" t="e">
        <v>#N/A</v>
      </c>
      <c r="D104" t="e">
        <v>#N/A</v>
      </c>
      <c r="E104" t="e">
        <v>#N/A</v>
      </c>
    </row>
    <row r="105" spans="1:5" x14ac:dyDescent="0.3">
      <c r="A105" s="1">
        <v>31516</v>
      </c>
      <c r="B105">
        <v>237.27999877929599</v>
      </c>
      <c r="C105">
        <v>1683.09997558593</v>
      </c>
      <c r="D105">
        <v>1202.19995117187</v>
      </c>
      <c r="E105">
        <v>3089.23510742187</v>
      </c>
    </row>
    <row r="106" spans="1:5" x14ac:dyDescent="0.3">
      <c r="A106" s="1">
        <v>31517</v>
      </c>
      <c r="B106">
        <v>237.72999572753901</v>
      </c>
      <c r="C106">
        <v>1654.80004882812</v>
      </c>
      <c r="D106">
        <v>1198.5</v>
      </c>
      <c r="E106">
        <v>3092.42724609375</v>
      </c>
    </row>
    <row r="107" spans="1:5" x14ac:dyDescent="0.3">
      <c r="A107" s="1">
        <v>31518</v>
      </c>
      <c r="B107">
        <v>242.22000122070301</v>
      </c>
      <c r="C107">
        <v>1662</v>
      </c>
      <c r="D107">
        <v>1202.59997558593</v>
      </c>
      <c r="E107">
        <v>3110.8798828125</v>
      </c>
    </row>
    <row r="108" spans="1:5" x14ac:dyDescent="0.3">
      <c r="A108" s="1">
        <v>31519</v>
      </c>
      <c r="B108">
        <v>243.02999877929599</v>
      </c>
      <c r="C108">
        <v>1680.90002441406</v>
      </c>
      <c r="D108">
        <v>1216.80004882812</v>
      </c>
      <c r="E108">
        <v>3110.7802734375</v>
      </c>
    </row>
    <row r="109" spans="1:5" x14ac:dyDescent="0.3">
      <c r="A109" s="1">
        <v>31520</v>
      </c>
      <c r="B109">
        <v>242.38000488281199</v>
      </c>
      <c r="C109">
        <v>1680.19995117187</v>
      </c>
      <c r="D109">
        <v>1218.40002441406</v>
      </c>
      <c r="E109">
        <v>3121.15405273437</v>
      </c>
    </row>
    <row r="110" spans="1:5" x14ac:dyDescent="0.3">
      <c r="A110" s="1">
        <v>31521</v>
      </c>
      <c r="B110" t="e">
        <v>#N/A</v>
      </c>
      <c r="C110" t="e">
        <v>#N/A</v>
      </c>
      <c r="D110" t="e">
        <v>#N/A</v>
      </c>
      <c r="E110" t="e">
        <v>#N/A</v>
      </c>
    </row>
    <row r="111" spans="1:5" x14ac:dyDescent="0.3">
      <c r="A111" s="1">
        <v>31522</v>
      </c>
      <c r="B111" t="e">
        <v>#N/A</v>
      </c>
      <c r="C111" t="e">
        <v>#N/A</v>
      </c>
      <c r="D111" t="e">
        <v>#N/A</v>
      </c>
      <c r="E111" t="e">
        <v>#N/A</v>
      </c>
    </row>
    <row r="112" spans="1:5" x14ac:dyDescent="0.3">
      <c r="A112" s="1">
        <v>31523</v>
      </c>
      <c r="B112">
        <v>244.74000549316401</v>
      </c>
      <c r="C112">
        <v>1668</v>
      </c>
      <c r="D112">
        <v>1218.40002441406</v>
      </c>
      <c r="E112">
        <v>3113.87231445312</v>
      </c>
    </row>
    <row r="113" spans="1:5" x14ac:dyDescent="0.3">
      <c r="A113" s="1">
        <v>31524</v>
      </c>
      <c r="B113">
        <v>242.419998168945</v>
      </c>
      <c r="C113">
        <v>1665.19995117187</v>
      </c>
      <c r="D113">
        <v>1206.5</v>
      </c>
      <c r="E113">
        <v>3090.23266601562</v>
      </c>
    </row>
    <row r="114" spans="1:5" x14ac:dyDescent="0.3">
      <c r="A114" s="1">
        <v>31525</v>
      </c>
      <c r="B114">
        <v>241.75</v>
      </c>
      <c r="C114">
        <v>1632.69995117187</v>
      </c>
      <c r="D114">
        <v>1207.30004882812</v>
      </c>
      <c r="E114">
        <v>3090.43188476562</v>
      </c>
    </row>
    <row r="115" spans="1:5" x14ac:dyDescent="0.3">
      <c r="A115" s="1">
        <v>31526</v>
      </c>
      <c r="B115">
        <v>242.02000427246</v>
      </c>
      <c r="C115">
        <v>1615.5</v>
      </c>
      <c r="D115">
        <v>1210.40002441406</v>
      </c>
      <c r="E115">
        <v>3117.26342773437</v>
      </c>
    </row>
    <row r="116" spans="1:5" x14ac:dyDescent="0.3">
      <c r="A116" s="1">
        <v>31527</v>
      </c>
      <c r="B116">
        <v>242.28999328613199</v>
      </c>
      <c r="C116">
        <v>1622.59997558593</v>
      </c>
      <c r="D116" t="e">
        <v>#N/A</v>
      </c>
      <c r="E116">
        <v>3117.86206054687</v>
      </c>
    </row>
    <row r="117" spans="1:5" x14ac:dyDescent="0.3">
      <c r="A117" s="1">
        <v>31528</v>
      </c>
      <c r="B117" t="e">
        <v>#N/A</v>
      </c>
      <c r="C117" t="e">
        <v>#N/A</v>
      </c>
      <c r="D117" t="e">
        <v>#N/A</v>
      </c>
      <c r="E117" t="e">
        <v>#N/A</v>
      </c>
    </row>
    <row r="118" spans="1:5" x14ac:dyDescent="0.3">
      <c r="A118" s="1">
        <v>31529</v>
      </c>
      <c r="B118" t="e">
        <v>#N/A</v>
      </c>
      <c r="C118" t="e">
        <v>#N/A</v>
      </c>
      <c r="D118" t="e">
        <v>#N/A</v>
      </c>
      <c r="E118" t="e">
        <v>#N/A</v>
      </c>
    </row>
    <row r="119" spans="1:5" x14ac:dyDescent="0.3">
      <c r="A119" s="1">
        <v>31530</v>
      </c>
      <c r="B119">
        <v>243.08000183105401</v>
      </c>
      <c r="C119">
        <v>1628.80004882812</v>
      </c>
      <c r="D119">
        <v>1206.90002441406</v>
      </c>
      <c r="E119">
        <v>3118.46069335937</v>
      </c>
    </row>
    <row r="120" spans="1:5" x14ac:dyDescent="0.3">
      <c r="A120" s="1">
        <v>31531</v>
      </c>
      <c r="B120">
        <v>240.509994506835</v>
      </c>
      <c r="C120">
        <v>1656.30004882812</v>
      </c>
      <c r="D120">
        <v>1209.09997558593</v>
      </c>
      <c r="E120">
        <v>3108.28637695312</v>
      </c>
    </row>
    <row r="121" spans="1:5" x14ac:dyDescent="0.3">
      <c r="A121" s="1">
        <v>31532</v>
      </c>
      <c r="B121">
        <v>235.52000427246</v>
      </c>
      <c r="C121">
        <v>1660.5</v>
      </c>
      <c r="D121">
        <v>1210.59997558593</v>
      </c>
      <c r="E121">
        <v>3071.0810546875</v>
      </c>
    </row>
    <row r="122" spans="1:5" x14ac:dyDescent="0.3">
      <c r="A122" s="1">
        <v>31533</v>
      </c>
      <c r="B122">
        <v>235.16000366210901</v>
      </c>
      <c r="C122">
        <v>1640.09997558593</v>
      </c>
      <c r="D122">
        <v>1212.90002441406</v>
      </c>
      <c r="E122">
        <v>3059.81005859375</v>
      </c>
    </row>
    <row r="123" spans="1:5" x14ac:dyDescent="0.3">
      <c r="A123" s="1">
        <v>31534</v>
      </c>
      <c r="B123">
        <v>234.78999328613199</v>
      </c>
      <c r="C123">
        <v>1652.5</v>
      </c>
      <c r="D123">
        <v>1224.69995117187</v>
      </c>
      <c r="E123">
        <v>3070.18334960937</v>
      </c>
    </row>
    <row r="124" spans="1:5" x14ac:dyDescent="0.3">
      <c r="A124" s="1">
        <v>31535</v>
      </c>
      <c r="B124" t="e">
        <v>#N/A</v>
      </c>
      <c r="C124" t="e">
        <v>#N/A</v>
      </c>
      <c r="D124" t="e">
        <v>#N/A</v>
      </c>
      <c r="E124" t="e">
        <v>#N/A</v>
      </c>
    </row>
    <row r="125" spans="1:5" x14ac:dyDescent="0.3">
      <c r="A125" s="1">
        <v>31536</v>
      </c>
      <c r="B125" t="e">
        <v>#N/A</v>
      </c>
      <c r="C125" t="e">
        <v>#N/A</v>
      </c>
      <c r="D125" t="e">
        <v>#N/A</v>
      </c>
      <c r="E125" t="e">
        <v>#N/A</v>
      </c>
    </row>
    <row r="126" spans="1:5" x14ac:dyDescent="0.3">
      <c r="A126" s="1">
        <v>31537</v>
      </c>
      <c r="B126">
        <v>237.72999572753901</v>
      </c>
      <c r="C126" t="e">
        <v>#N/A</v>
      </c>
      <c r="D126">
        <v>1231.40002441406</v>
      </c>
      <c r="E126">
        <v>3060.40869140625</v>
      </c>
    </row>
    <row r="127" spans="1:5" x14ac:dyDescent="0.3">
      <c r="A127" s="1">
        <v>31538</v>
      </c>
      <c r="B127">
        <v>237.24000549316401</v>
      </c>
      <c r="C127">
        <v>1636.19995117187</v>
      </c>
      <c r="D127">
        <v>1238.30004882812</v>
      </c>
      <c r="E127">
        <v>3066.8916015625</v>
      </c>
    </row>
    <row r="128" spans="1:5" x14ac:dyDescent="0.3">
      <c r="A128" s="1">
        <v>31539</v>
      </c>
      <c r="B128">
        <v>236.08000183105401</v>
      </c>
      <c r="C128">
        <v>1610.09997558593</v>
      </c>
      <c r="D128">
        <v>1247</v>
      </c>
      <c r="E128">
        <v>3047.541015625</v>
      </c>
    </row>
    <row r="129" spans="1:5" x14ac:dyDescent="0.3">
      <c r="A129" s="1">
        <v>31540</v>
      </c>
      <c r="B129">
        <v>237.13000488281199</v>
      </c>
      <c r="C129">
        <v>1602.59997558593</v>
      </c>
      <c r="D129">
        <v>1242.59997558593</v>
      </c>
      <c r="E129">
        <v>3056.31884765625</v>
      </c>
    </row>
    <row r="130" spans="1:5" x14ac:dyDescent="0.3">
      <c r="A130" s="1">
        <v>31541</v>
      </c>
      <c r="B130">
        <v>237.850006103515</v>
      </c>
      <c r="C130">
        <v>1601.59997558593</v>
      </c>
      <c r="D130">
        <v>1232.09997558593</v>
      </c>
      <c r="E130">
        <v>3058.31372070312</v>
      </c>
    </row>
    <row r="131" spans="1:5" x14ac:dyDescent="0.3">
      <c r="A131" s="1">
        <v>31542</v>
      </c>
      <c r="B131" t="e">
        <v>#N/A</v>
      </c>
      <c r="C131" t="e">
        <v>#N/A</v>
      </c>
      <c r="D131" t="e">
        <v>#N/A</v>
      </c>
      <c r="E131" t="e">
        <v>#N/A</v>
      </c>
    </row>
    <row r="132" spans="1:5" x14ac:dyDescent="0.3">
      <c r="A132" s="1">
        <v>31543</v>
      </c>
      <c r="B132" t="e">
        <v>#N/A</v>
      </c>
      <c r="C132" t="e">
        <v>#N/A</v>
      </c>
      <c r="D132" t="e">
        <v>#N/A</v>
      </c>
      <c r="E132" t="e">
        <v>#N/A</v>
      </c>
    </row>
    <row r="133" spans="1:5" x14ac:dyDescent="0.3">
      <c r="A133" s="1">
        <v>31544</v>
      </c>
      <c r="B133">
        <v>237.58000183105401</v>
      </c>
      <c r="C133">
        <v>1603.80004882812</v>
      </c>
      <c r="D133">
        <v>1218.30004882812</v>
      </c>
      <c r="E133">
        <v>3061.20654296875</v>
      </c>
    </row>
    <row r="134" spans="1:5" x14ac:dyDescent="0.3">
      <c r="A134" s="1">
        <v>31545</v>
      </c>
      <c r="B134">
        <v>236.41000366210901</v>
      </c>
      <c r="C134">
        <v>1623.30004882812</v>
      </c>
      <c r="D134">
        <v>1201.80004882812</v>
      </c>
      <c r="E134">
        <v>3064.29858398437</v>
      </c>
    </row>
    <row r="135" spans="1:5" x14ac:dyDescent="0.3">
      <c r="A135" s="1">
        <v>31546</v>
      </c>
      <c r="B135">
        <v>237.53999328613199</v>
      </c>
      <c r="C135">
        <v>1594.30004882812</v>
      </c>
      <c r="D135">
        <v>1222.40002441406</v>
      </c>
      <c r="E135">
        <v>3069.4853515625</v>
      </c>
    </row>
    <row r="136" spans="1:5" x14ac:dyDescent="0.3">
      <c r="A136" s="1">
        <v>31547</v>
      </c>
      <c r="B136">
        <v>234.42999267578099</v>
      </c>
      <c r="C136">
        <v>1575.69995117187</v>
      </c>
      <c r="D136">
        <v>1222.40002441406</v>
      </c>
      <c r="E136">
        <v>3054.82275390625</v>
      </c>
    </row>
    <row r="137" spans="1:5" x14ac:dyDescent="0.3">
      <c r="A137" s="1">
        <v>31548</v>
      </c>
      <c r="B137">
        <v>232.759994506835</v>
      </c>
      <c r="C137">
        <v>1564.90002441406</v>
      </c>
      <c r="D137">
        <v>1194.30004882812</v>
      </c>
      <c r="E137">
        <v>3036.5693359375</v>
      </c>
    </row>
    <row r="138" spans="1:5" x14ac:dyDescent="0.3">
      <c r="A138" s="1">
        <v>31549</v>
      </c>
      <c r="B138" t="e">
        <v>#N/A</v>
      </c>
      <c r="C138" t="e">
        <v>#N/A</v>
      </c>
      <c r="D138" t="e">
        <v>#N/A</v>
      </c>
      <c r="E138" t="e">
        <v>#N/A</v>
      </c>
    </row>
    <row r="139" spans="1:5" x14ac:dyDescent="0.3">
      <c r="A139" s="1">
        <v>31550</v>
      </c>
      <c r="B139" t="e">
        <v>#N/A</v>
      </c>
      <c r="C139" t="e">
        <v>#N/A</v>
      </c>
      <c r="D139" t="e">
        <v>#N/A</v>
      </c>
      <c r="E139" t="e">
        <v>#N/A</v>
      </c>
    </row>
    <row r="140" spans="1:5" x14ac:dyDescent="0.3">
      <c r="A140" s="1">
        <v>31551</v>
      </c>
      <c r="B140">
        <v>233.19999694824199</v>
      </c>
      <c r="C140">
        <v>1573.09997558593</v>
      </c>
      <c r="D140">
        <v>1197.90002441406</v>
      </c>
      <c r="E140" t="e">
        <v>#N/A</v>
      </c>
    </row>
    <row r="141" spans="1:5" x14ac:dyDescent="0.3">
      <c r="A141" s="1">
        <v>31552</v>
      </c>
      <c r="B141">
        <v>236.11000061035099</v>
      </c>
      <c r="C141">
        <v>1585.80004882812</v>
      </c>
      <c r="D141">
        <v>1176.30004882812</v>
      </c>
      <c r="E141">
        <v>3030.78393554687</v>
      </c>
    </row>
    <row r="142" spans="1:5" x14ac:dyDescent="0.3">
      <c r="A142" s="1">
        <v>31553</v>
      </c>
      <c r="B142">
        <v>235.44999694824199</v>
      </c>
      <c r="C142">
        <v>1591.90002441406</v>
      </c>
      <c r="D142">
        <v>1172.90002441406</v>
      </c>
      <c r="E142">
        <v>3019.81176757812</v>
      </c>
    </row>
    <row r="143" spans="1:5" x14ac:dyDescent="0.3">
      <c r="A143" s="1">
        <v>31554</v>
      </c>
      <c r="B143">
        <v>240.11999511718699</v>
      </c>
      <c r="C143">
        <v>1598.80004882812</v>
      </c>
      <c r="D143">
        <v>1174.59997558593</v>
      </c>
      <c r="E143">
        <v>3031.1826171875</v>
      </c>
    </row>
    <row r="144" spans="1:5" x14ac:dyDescent="0.3">
      <c r="A144" s="1">
        <v>31555</v>
      </c>
      <c r="B144">
        <v>241.350006103515</v>
      </c>
      <c r="C144">
        <v>1617.40002441406</v>
      </c>
      <c r="D144">
        <v>1191.69995117187</v>
      </c>
      <c r="E144">
        <v>3039.5615234375</v>
      </c>
    </row>
    <row r="145" spans="1:5" x14ac:dyDescent="0.3">
      <c r="A145" s="1">
        <v>31556</v>
      </c>
      <c r="B145" t="e">
        <v>#N/A</v>
      </c>
      <c r="C145" t="e">
        <v>#N/A</v>
      </c>
      <c r="D145" t="e">
        <v>#N/A</v>
      </c>
      <c r="E145" t="e">
        <v>#N/A</v>
      </c>
    </row>
    <row r="146" spans="1:5" x14ac:dyDescent="0.3">
      <c r="A146" s="1">
        <v>31557</v>
      </c>
      <c r="B146" t="e">
        <v>#N/A</v>
      </c>
      <c r="C146" t="e">
        <v>#N/A</v>
      </c>
      <c r="D146" t="e">
        <v>#N/A</v>
      </c>
      <c r="E146" t="e">
        <v>#N/A</v>
      </c>
    </row>
    <row r="147" spans="1:5" x14ac:dyDescent="0.3">
      <c r="A147" s="1">
        <v>31558</v>
      </c>
      <c r="B147" t="e">
        <v>#N/A</v>
      </c>
      <c r="C147" t="e">
        <v>#N/A</v>
      </c>
      <c r="D147">
        <v>1204.59997558593</v>
      </c>
      <c r="E147">
        <v>3046.24462890625</v>
      </c>
    </row>
    <row r="148" spans="1:5" x14ac:dyDescent="0.3">
      <c r="A148" s="1">
        <v>31559</v>
      </c>
      <c r="B148">
        <v>244.75</v>
      </c>
      <c r="C148">
        <v>1612.09997558593</v>
      </c>
      <c r="D148">
        <v>1200.90002441406</v>
      </c>
      <c r="E148">
        <v>3054.82275390625</v>
      </c>
    </row>
    <row r="149" spans="1:5" x14ac:dyDescent="0.3">
      <c r="A149" s="1">
        <v>31560</v>
      </c>
      <c r="B149">
        <v>246.63000488281199</v>
      </c>
      <c r="C149">
        <v>1624.80004882812</v>
      </c>
      <c r="D149">
        <v>1208.80004882812</v>
      </c>
      <c r="E149">
        <v>3085.24536132812</v>
      </c>
    </row>
    <row r="150" spans="1:5" x14ac:dyDescent="0.3">
      <c r="A150" s="1">
        <v>31561</v>
      </c>
      <c r="B150">
        <v>247.97999572753901</v>
      </c>
      <c r="C150">
        <v>1609</v>
      </c>
      <c r="D150">
        <v>1228.30004882812</v>
      </c>
      <c r="E150">
        <v>3101.50341796875</v>
      </c>
    </row>
    <row r="151" spans="1:5" x14ac:dyDescent="0.3">
      <c r="A151" s="1">
        <v>31562</v>
      </c>
      <c r="B151">
        <v>247.350006103515</v>
      </c>
      <c r="C151">
        <v>1602.80004882812</v>
      </c>
      <c r="D151">
        <v>1241</v>
      </c>
      <c r="E151">
        <v>3114.07177734375</v>
      </c>
    </row>
    <row r="152" spans="1:5" x14ac:dyDescent="0.3">
      <c r="A152" s="1">
        <v>31563</v>
      </c>
      <c r="B152" t="e">
        <v>#N/A</v>
      </c>
      <c r="C152" t="e">
        <v>#N/A</v>
      </c>
      <c r="D152" t="e">
        <v>#N/A</v>
      </c>
      <c r="E152" t="e">
        <v>#N/A</v>
      </c>
    </row>
    <row r="153" spans="1:5" x14ac:dyDescent="0.3">
      <c r="A153" s="1">
        <v>31564</v>
      </c>
      <c r="B153" t="e">
        <v>#N/A</v>
      </c>
      <c r="C153" t="e">
        <v>#N/A</v>
      </c>
      <c r="D153" t="e">
        <v>#N/A</v>
      </c>
      <c r="E153" t="e">
        <v>#N/A</v>
      </c>
    </row>
    <row r="154" spans="1:5" x14ac:dyDescent="0.3">
      <c r="A154" s="1">
        <v>31565</v>
      </c>
      <c r="B154">
        <v>245.03999328613199</v>
      </c>
      <c r="C154">
        <v>1596.5</v>
      </c>
      <c r="D154">
        <v>1229.30004882812</v>
      </c>
      <c r="E154">
        <v>3090.9306640625</v>
      </c>
    </row>
    <row r="155" spans="1:5" x14ac:dyDescent="0.3">
      <c r="A155" s="1">
        <v>31566</v>
      </c>
      <c r="B155">
        <v>245.509994506835</v>
      </c>
      <c r="C155">
        <v>1602.19995117187</v>
      </c>
      <c r="D155">
        <v>1220.5</v>
      </c>
      <c r="E155">
        <v>3088.63671875</v>
      </c>
    </row>
    <row r="156" spans="1:5" x14ac:dyDescent="0.3">
      <c r="A156" s="1">
        <v>31567</v>
      </c>
      <c r="B156">
        <v>243.94000244140599</v>
      </c>
      <c r="C156">
        <v>1601.40002441406</v>
      </c>
      <c r="D156">
        <v>1223.40002441406</v>
      </c>
      <c r="E156">
        <v>3087.63916015625</v>
      </c>
    </row>
    <row r="157" spans="1:5" x14ac:dyDescent="0.3">
      <c r="A157" s="1">
        <v>31568</v>
      </c>
      <c r="B157">
        <v>245.64999389648401</v>
      </c>
      <c r="C157">
        <v>1612.59997558593</v>
      </c>
      <c r="D157">
        <v>1227.80004882812</v>
      </c>
      <c r="E157">
        <v>3076.56713867187</v>
      </c>
    </row>
    <row r="158" spans="1:5" x14ac:dyDescent="0.3">
      <c r="A158" s="1">
        <v>31569</v>
      </c>
      <c r="B158">
        <v>245.669998168945</v>
      </c>
      <c r="C158">
        <v>1611.90002441406</v>
      </c>
      <c r="D158">
        <v>1230.19995117187</v>
      </c>
      <c r="E158">
        <v>3082.85107421875</v>
      </c>
    </row>
    <row r="159" spans="1:5" x14ac:dyDescent="0.3">
      <c r="A159" s="1">
        <v>31570</v>
      </c>
      <c r="B159" t="e">
        <v>#N/A</v>
      </c>
      <c r="C159" t="e">
        <v>#N/A</v>
      </c>
      <c r="D159" t="e">
        <v>#N/A</v>
      </c>
      <c r="E159" t="e">
        <v>#N/A</v>
      </c>
    </row>
    <row r="160" spans="1:5" x14ac:dyDescent="0.3">
      <c r="A160" s="1">
        <v>31571</v>
      </c>
      <c r="B160" t="e">
        <v>#N/A</v>
      </c>
      <c r="C160" t="e">
        <v>#N/A</v>
      </c>
      <c r="D160" t="e">
        <v>#N/A</v>
      </c>
      <c r="E160" t="e">
        <v>#N/A</v>
      </c>
    </row>
    <row r="161" spans="1:5" x14ac:dyDescent="0.3">
      <c r="A161" s="1">
        <v>31572</v>
      </c>
      <c r="B161">
        <v>239.96000671386699</v>
      </c>
      <c r="C161">
        <v>1604.59997558593</v>
      </c>
      <c r="D161" t="e">
        <v>#N/A</v>
      </c>
      <c r="E161">
        <v>3056.31884765625</v>
      </c>
    </row>
    <row r="162" spans="1:5" x14ac:dyDescent="0.3">
      <c r="A162" s="1">
        <v>31573</v>
      </c>
      <c r="B162">
        <v>239.58000183105401</v>
      </c>
      <c r="C162">
        <v>1586.40002441406</v>
      </c>
      <c r="D162">
        <v>1222.09997558593</v>
      </c>
      <c r="E162">
        <v>3042.45434570312</v>
      </c>
    </row>
    <row r="163" spans="1:5" x14ac:dyDescent="0.3">
      <c r="A163" s="1">
        <v>31574</v>
      </c>
      <c r="B163">
        <v>241.13000488281199</v>
      </c>
      <c r="C163">
        <v>1571.40002441406</v>
      </c>
      <c r="D163">
        <v>1225.40002441406</v>
      </c>
      <c r="E163">
        <v>3062.00415039062</v>
      </c>
    </row>
    <row r="164" spans="1:5" x14ac:dyDescent="0.3">
      <c r="A164" s="1">
        <v>31575</v>
      </c>
      <c r="B164">
        <v>241.49000549316401</v>
      </c>
      <c r="C164">
        <v>1571.80004882812</v>
      </c>
      <c r="D164">
        <v>1218.59997558593</v>
      </c>
      <c r="E164">
        <v>3065.19604492187</v>
      </c>
    </row>
    <row r="165" spans="1:5" x14ac:dyDescent="0.3">
      <c r="A165" s="1">
        <v>31576</v>
      </c>
      <c r="B165">
        <v>245.72999572753901</v>
      </c>
      <c r="C165">
        <v>1582.40002441406</v>
      </c>
      <c r="D165">
        <v>1216.30004882812</v>
      </c>
      <c r="E165">
        <v>3081.15576171875</v>
      </c>
    </row>
    <row r="166" spans="1:5" x14ac:dyDescent="0.3">
      <c r="A166" s="1">
        <v>31577</v>
      </c>
      <c r="B166" t="e">
        <v>#N/A</v>
      </c>
      <c r="C166" t="e">
        <v>#N/A</v>
      </c>
      <c r="D166" t="e">
        <v>#N/A</v>
      </c>
      <c r="E166" t="e">
        <v>#N/A</v>
      </c>
    </row>
    <row r="167" spans="1:5" x14ac:dyDescent="0.3">
      <c r="A167" s="1">
        <v>31578</v>
      </c>
      <c r="B167" t="e">
        <v>#N/A</v>
      </c>
      <c r="C167" t="e">
        <v>#N/A</v>
      </c>
      <c r="D167" t="e">
        <v>#N/A</v>
      </c>
      <c r="E167" t="e">
        <v>#N/A</v>
      </c>
    </row>
    <row r="168" spans="1:5" x14ac:dyDescent="0.3">
      <c r="A168" s="1">
        <v>31579</v>
      </c>
      <c r="B168">
        <v>246.13000488281199</v>
      </c>
      <c r="C168">
        <v>1593.59997558593</v>
      </c>
      <c r="D168">
        <v>1209.09997558593</v>
      </c>
      <c r="E168">
        <v>3064.49829101562</v>
      </c>
    </row>
    <row r="169" spans="1:5" x14ac:dyDescent="0.3">
      <c r="A169" s="1">
        <v>31580</v>
      </c>
      <c r="B169">
        <v>244.350006103515</v>
      </c>
      <c r="C169">
        <v>1605.30004882812</v>
      </c>
      <c r="D169">
        <v>1197.19995117187</v>
      </c>
      <c r="E169">
        <v>3058.31372070312</v>
      </c>
    </row>
    <row r="170" spans="1:5" x14ac:dyDescent="0.3">
      <c r="A170" s="1">
        <v>31581</v>
      </c>
      <c r="B170">
        <v>244.99000549316401</v>
      </c>
      <c r="C170">
        <v>1619</v>
      </c>
      <c r="D170">
        <v>1200.59997558593</v>
      </c>
      <c r="E170">
        <v>3058.912109375</v>
      </c>
    </row>
    <row r="171" spans="1:5" x14ac:dyDescent="0.3">
      <c r="A171" s="1">
        <v>31582</v>
      </c>
      <c r="B171">
        <v>244.05999755859301</v>
      </c>
      <c r="C171">
        <v>1629.59997558593</v>
      </c>
      <c r="D171">
        <v>1210.80004882812</v>
      </c>
      <c r="E171">
        <v>3052.4287109375</v>
      </c>
    </row>
    <row r="172" spans="1:5" x14ac:dyDescent="0.3">
      <c r="A172" s="1">
        <v>31583</v>
      </c>
      <c r="B172">
        <v>247.58000183105401</v>
      </c>
      <c r="C172">
        <v>1637.19995117187</v>
      </c>
      <c r="D172">
        <v>1214.69995117187</v>
      </c>
      <c r="E172">
        <v>3052.02954101562</v>
      </c>
    </row>
    <row r="173" spans="1:5" x14ac:dyDescent="0.3">
      <c r="A173" s="1">
        <v>31584</v>
      </c>
      <c r="B173" t="e">
        <v>#N/A</v>
      </c>
      <c r="C173" t="e">
        <v>#N/A</v>
      </c>
      <c r="D173" t="e">
        <v>#N/A</v>
      </c>
      <c r="E173" t="e">
        <v>#N/A</v>
      </c>
    </row>
    <row r="174" spans="1:5" x14ac:dyDescent="0.3">
      <c r="A174" s="1">
        <v>31585</v>
      </c>
      <c r="B174" t="e">
        <v>#N/A</v>
      </c>
      <c r="C174" t="e">
        <v>#N/A</v>
      </c>
      <c r="D174" t="e">
        <v>#N/A</v>
      </c>
      <c r="E174" t="e">
        <v>#N/A</v>
      </c>
    </row>
    <row r="175" spans="1:5" x14ac:dyDescent="0.3">
      <c r="A175" s="1">
        <v>31586</v>
      </c>
      <c r="B175">
        <v>245.259994506835</v>
      </c>
      <c r="C175">
        <v>1622.80004882812</v>
      </c>
      <c r="D175">
        <v>1214.80004882812</v>
      </c>
      <c r="E175">
        <v>3044.44897460937</v>
      </c>
    </row>
    <row r="176" spans="1:5" x14ac:dyDescent="0.3">
      <c r="A176" s="1">
        <v>31587</v>
      </c>
      <c r="B176">
        <v>247.02999877929599</v>
      </c>
      <c r="C176">
        <v>1624.90002441406</v>
      </c>
      <c r="D176">
        <v>1205.90002441406</v>
      </c>
      <c r="E176">
        <v>3050.43383789062</v>
      </c>
    </row>
    <row r="177" spans="1:5" x14ac:dyDescent="0.3">
      <c r="A177" s="1">
        <v>31588</v>
      </c>
      <c r="B177">
        <v>248.92999267578099</v>
      </c>
      <c r="C177">
        <v>1629.40002441406</v>
      </c>
      <c r="D177">
        <v>1195.69995117187</v>
      </c>
      <c r="E177">
        <v>3060.40869140625</v>
      </c>
    </row>
    <row r="178" spans="1:5" x14ac:dyDescent="0.3">
      <c r="A178" s="1">
        <v>31589</v>
      </c>
      <c r="B178">
        <v>248.74000549316401</v>
      </c>
      <c r="C178">
        <v>1637.5</v>
      </c>
      <c r="D178">
        <v>1190.09997558593</v>
      </c>
      <c r="E178">
        <v>3061.00659179687</v>
      </c>
    </row>
    <row r="179" spans="1:5" x14ac:dyDescent="0.3">
      <c r="A179" s="1">
        <v>31590</v>
      </c>
      <c r="B179">
        <v>249.600006103515</v>
      </c>
      <c r="C179">
        <v>1639.09997558593</v>
      </c>
      <c r="D179">
        <v>1183.59997558593</v>
      </c>
      <c r="E179">
        <v>3062.50317382812</v>
      </c>
    </row>
    <row r="180" spans="1:5" x14ac:dyDescent="0.3">
      <c r="A180" s="1">
        <v>31591</v>
      </c>
      <c r="B180" t="e">
        <v>#N/A</v>
      </c>
      <c r="C180" t="e">
        <v>#N/A</v>
      </c>
      <c r="D180" t="e">
        <v>#N/A</v>
      </c>
      <c r="E180" t="e">
        <v>#N/A</v>
      </c>
    </row>
    <row r="181" spans="1:5" x14ac:dyDescent="0.3">
      <c r="A181" s="1">
        <v>31592</v>
      </c>
      <c r="B181" t="e">
        <v>#N/A</v>
      </c>
      <c r="C181" t="e">
        <v>#N/A</v>
      </c>
      <c r="D181" t="e">
        <v>#N/A</v>
      </c>
      <c r="E181" t="e">
        <v>#N/A</v>
      </c>
    </row>
    <row r="182" spans="1:5" x14ac:dyDescent="0.3">
      <c r="A182" s="1">
        <v>31593</v>
      </c>
      <c r="B182">
        <v>250.83999633789</v>
      </c>
      <c r="C182">
        <v>1649.80004882812</v>
      </c>
      <c r="D182">
        <v>1179.80004882812</v>
      </c>
      <c r="E182">
        <v>3077.66430664062</v>
      </c>
    </row>
    <row r="183" spans="1:5" x14ac:dyDescent="0.3">
      <c r="A183" s="1">
        <v>31594</v>
      </c>
      <c r="B183">
        <v>252.03999328613199</v>
      </c>
      <c r="C183">
        <v>1660.80004882812</v>
      </c>
      <c r="D183">
        <v>1175.80004882812</v>
      </c>
      <c r="E183" t="e">
        <v>#N/A</v>
      </c>
    </row>
    <row r="184" spans="1:5" x14ac:dyDescent="0.3">
      <c r="A184" s="1">
        <v>31595</v>
      </c>
      <c r="B184">
        <v>252.69999694824199</v>
      </c>
      <c r="C184">
        <v>1656.69995117187</v>
      </c>
      <c r="D184">
        <v>1149.90002441406</v>
      </c>
      <c r="E184">
        <v>3082.05322265625</v>
      </c>
    </row>
    <row r="185" spans="1:5" x14ac:dyDescent="0.3">
      <c r="A185" s="1">
        <v>31596</v>
      </c>
      <c r="B185">
        <v>251.78999328613199</v>
      </c>
      <c r="C185">
        <v>1656.19995117187</v>
      </c>
      <c r="D185">
        <v>1135.80004882812</v>
      </c>
      <c r="E185">
        <v>3084.24780273437</v>
      </c>
    </row>
    <row r="186" spans="1:5" x14ac:dyDescent="0.3">
      <c r="A186" s="1">
        <v>31597</v>
      </c>
      <c r="B186" t="e">
        <v>#N/A</v>
      </c>
      <c r="C186">
        <v>1649.40002441406</v>
      </c>
      <c r="D186">
        <v>1142.69995117187</v>
      </c>
      <c r="E186">
        <v>3084.14794921875</v>
      </c>
    </row>
    <row r="187" spans="1:5" x14ac:dyDescent="0.3">
      <c r="A187" s="1">
        <v>31598</v>
      </c>
      <c r="B187" t="e">
        <v>#N/A</v>
      </c>
      <c r="C187" t="e">
        <v>#N/A</v>
      </c>
      <c r="D187" t="e">
        <v>#N/A</v>
      </c>
      <c r="E187" t="e">
        <v>#N/A</v>
      </c>
    </row>
    <row r="188" spans="1:5" x14ac:dyDescent="0.3">
      <c r="A188" s="1">
        <v>31599</v>
      </c>
      <c r="B188" t="e">
        <v>#N/A</v>
      </c>
      <c r="C188" t="e">
        <v>#N/A</v>
      </c>
      <c r="D188" t="e">
        <v>#N/A</v>
      </c>
      <c r="E188" t="e">
        <v>#N/A</v>
      </c>
    </row>
    <row r="189" spans="1:5" x14ac:dyDescent="0.3">
      <c r="A189" s="1">
        <v>31600</v>
      </c>
      <c r="B189">
        <v>244.05000305175699</v>
      </c>
      <c r="C189">
        <v>1631</v>
      </c>
      <c r="D189">
        <v>1136.19995117187</v>
      </c>
      <c r="E189">
        <v>3034.47436523437</v>
      </c>
    </row>
    <row r="190" spans="1:5" x14ac:dyDescent="0.3">
      <c r="A190" s="1">
        <v>31601</v>
      </c>
      <c r="B190">
        <v>241.58999633789</v>
      </c>
      <c r="C190">
        <v>1599</v>
      </c>
      <c r="D190">
        <v>1125.19995117187</v>
      </c>
      <c r="E190">
        <v>2989.68823242187</v>
      </c>
    </row>
    <row r="191" spans="1:5" x14ac:dyDescent="0.3">
      <c r="A191" s="1">
        <v>31602</v>
      </c>
      <c r="B191">
        <v>242.82000732421801</v>
      </c>
      <c r="C191">
        <v>1614.59997558593</v>
      </c>
      <c r="D191">
        <v>1122.30004882812</v>
      </c>
      <c r="E191">
        <v>3005.4482421875</v>
      </c>
    </row>
    <row r="192" spans="1:5" x14ac:dyDescent="0.3">
      <c r="A192" s="1">
        <v>31603</v>
      </c>
      <c r="B192">
        <v>243.009994506835</v>
      </c>
      <c r="C192">
        <v>1626.69995117187</v>
      </c>
      <c r="D192">
        <v>1134</v>
      </c>
      <c r="E192">
        <v>3007.24365234375</v>
      </c>
    </row>
    <row r="193" spans="1:5" x14ac:dyDescent="0.3">
      <c r="A193" s="1">
        <v>31604</v>
      </c>
      <c r="B193">
        <v>242.22000122070301</v>
      </c>
      <c r="C193">
        <v>1626.40002441406</v>
      </c>
      <c r="D193">
        <v>1139.90002441406</v>
      </c>
      <c r="E193">
        <v>3016.42065429687</v>
      </c>
    </row>
    <row r="194" spans="1:5" x14ac:dyDescent="0.3">
      <c r="A194" s="1">
        <v>31605</v>
      </c>
      <c r="B194" t="e">
        <v>#N/A</v>
      </c>
      <c r="C194" t="e">
        <v>#N/A</v>
      </c>
      <c r="D194" t="e">
        <v>#N/A</v>
      </c>
      <c r="E194" t="e">
        <v>#N/A</v>
      </c>
    </row>
    <row r="195" spans="1:5" x14ac:dyDescent="0.3">
      <c r="A195" s="1">
        <v>31606</v>
      </c>
      <c r="B195" t="e">
        <v>#N/A</v>
      </c>
      <c r="C195" t="e">
        <v>#N/A</v>
      </c>
      <c r="D195" t="e">
        <v>#N/A</v>
      </c>
      <c r="E195" t="e">
        <v>#N/A</v>
      </c>
    </row>
    <row r="196" spans="1:5" x14ac:dyDescent="0.3">
      <c r="A196" s="1">
        <v>31607</v>
      </c>
      <c r="B196">
        <v>238.11000061035099</v>
      </c>
      <c r="C196">
        <v>1597.30004882812</v>
      </c>
      <c r="D196">
        <v>1137.09997558593</v>
      </c>
      <c r="E196">
        <v>2991.78295898437</v>
      </c>
    </row>
    <row r="197" spans="1:5" x14ac:dyDescent="0.3">
      <c r="A197" s="1">
        <v>31608</v>
      </c>
      <c r="B197">
        <v>233.66000366210901</v>
      </c>
      <c r="C197">
        <v>1593</v>
      </c>
      <c r="D197">
        <v>1122.19995117187</v>
      </c>
      <c r="E197">
        <v>2970.4375</v>
      </c>
    </row>
    <row r="198" spans="1:5" x14ac:dyDescent="0.3">
      <c r="A198" s="1">
        <v>31609</v>
      </c>
      <c r="B198">
        <v>235.009994506835</v>
      </c>
      <c r="C198">
        <v>1597.30004882812</v>
      </c>
      <c r="D198">
        <v>1127</v>
      </c>
      <c r="E198">
        <v>2968.84155273437</v>
      </c>
    </row>
    <row r="199" spans="1:5" x14ac:dyDescent="0.3">
      <c r="A199" s="1">
        <v>31610</v>
      </c>
      <c r="B199">
        <v>236.07000732421801</v>
      </c>
      <c r="C199">
        <v>1609.30004882812</v>
      </c>
      <c r="D199">
        <v>1126.90002441406</v>
      </c>
      <c r="E199">
        <v>2961.46020507812</v>
      </c>
    </row>
    <row r="200" spans="1:5" x14ac:dyDescent="0.3">
      <c r="A200" s="1">
        <v>31611</v>
      </c>
      <c r="B200">
        <v>236.36000061035099</v>
      </c>
      <c r="C200">
        <v>1584.40002441406</v>
      </c>
      <c r="D200">
        <v>1130.40002441406</v>
      </c>
      <c r="E200">
        <v>2954.97680664062</v>
      </c>
    </row>
    <row r="201" spans="1:5" x14ac:dyDescent="0.3">
      <c r="A201" s="1">
        <v>31612</v>
      </c>
      <c r="B201" t="e">
        <v>#N/A</v>
      </c>
      <c r="C201" t="e">
        <v>#N/A</v>
      </c>
      <c r="D201" t="e">
        <v>#N/A</v>
      </c>
      <c r="E201" t="e">
        <v>#N/A</v>
      </c>
    </row>
    <row r="202" spans="1:5" x14ac:dyDescent="0.3">
      <c r="A202" s="1">
        <v>31613</v>
      </c>
      <c r="B202" t="e">
        <v>#N/A</v>
      </c>
      <c r="C202" t="e">
        <v>#N/A</v>
      </c>
      <c r="D202" t="e">
        <v>#N/A</v>
      </c>
      <c r="E202" t="e">
        <v>#N/A</v>
      </c>
    </row>
    <row r="203" spans="1:5" x14ac:dyDescent="0.3">
      <c r="A203" s="1">
        <v>31614</v>
      </c>
      <c r="B203">
        <v>236.24000549316401</v>
      </c>
      <c r="C203">
        <v>1560.19995117187</v>
      </c>
      <c r="D203">
        <v>1135.40002441406</v>
      </c>
      <c r="E203">
        <v>2960.56298828125</v>
      </c>
    </row>
    <row r="204" spans="1:5" x14ac:dyDescent="0.3">
      <c r="A204" s="1">
        <v>31615</v>
      </c>
      <c r="B204">
        <v>238.17999267578099</v>
      </c>
      <c r="C204">
        <v>1559.19995117187</v>
      </c>
      <c r="D204">
        <v>1136.80004882812</v>
      </c>
      <c r="E204">
        <v>2963.55517578125</v>
      </c>
    </row>
    <row r="205" spans="1:5" x14ac:dyDescent="0.3">
      <c r="A205" s="1">
        <v>31616</v>
      </c>
      <c r="B205">
        <v>238.669998168945</v>
      </c>
      <c r="C205">
        <v>1572.30004882812</v>
      </c>
      <c r="D205">
        <v>1137.69995117187</v>
      </c>
      <c r="E205">
        <v>2958.96655273437</v>
      </c>
    </row>
    <row r="206" spans="1:5" x14ac:dyDescent="0.3">
      <c r="A206" s="1">
        <v>31617</v>
      </c>
      <c r="B206">
        <v>237.94999694824199</v>
      </c>
      <c r="C206">
        <v>1547.69995117187</v>
      </c>
      <c r="D206">
        <v>1128.19995117187</v>
      </c>
      <c r="E206">
        <v>2945.00219726562</v>
      </c>
    </row>
    <row r="207" spans="1:5" x14ac:dyDescent="0.3">
      <c r="A207" s="1">
        <v>31618</v>
      </c>
      <c r="B207">
        <v>240.22000122070301</v>
      </c>
      <c r="C207">
        <v>1545.80004882812</v>
      </c>
      <c r="D207">
        <v>1118.80004882812</v>
      </c>
      <c r="E207">
        <v>2949.98950195312</v>
      </c>
    </row>
    <row r="208" spans="1:5" x14ac:dyDescent="0.3">
      <c r="A208" s="1">
        <v>31619</v>
      </c>
      <c r="B208" t="e">
        <v>#N/A</v>
      </c>
      <c r="C208" t="e">
        <v>#N/A</v>
      </c>
      <c r="D208" t="e">
        <v>#N/A</v>
      </c>
      <c r="E208" t="e">
        <v>#N/A</v>
      </c>
    </row>
    <row r="209" spans="1:5" x14ac:dyDescent="0.3">
      <c r="A209" s="1">
        <v>31620</v>
      </c>
      <c r="B209" t="e">
        <v>#N/A</v>
      </c>
      <c r="C209" t="e">
        <v>#N/A</v>
      </c>
      <c r="D209" t="e">
        <v>#N/A</v>
      </c>
      <c r="E209" t="e">
        <v>#N/A</v>
      </c>
    </row>
    <row r="210" spans="1:5" x14ac:dyDescent="0.3">
      <c r="A210" s="1">
        <v>31621</v>
      </c>
      <c r="B210">
        <v>236.009994506835</v>
      </c>
      <c r="C210">
        <v>1549.40002441406</v>
      </c>
      <c r="D210">
        <v>1094.69995117187</v>
      </c>
      <c r="E210">
        <v>2933.43139648437</v>
      </c>
    </row>
    <row r="211" spans="1:5" x14ac:dyDescent="0.3">
      <c r="A211" s="1">
        <v>31622</v>
      </c>
      <c r="B211">
        <v>234.55000305175699</v>
      </c>
      <c r="C211">
        <v>1556.40002441406</v>
      </c>
      <c r="D211">
        <v>1105.09997558593</v>
      </c>
      <c r="E211">
        <v>2927.34741210937</v>
      </c>
    </row>
    <row r="212" spans="1:5" x14ac:dyDescent="0.3">
      <c r="A212" s="1">
        <v>31623</v>
      </c>
      <c r="B212">
        <v>236.58999633789</v>
      </c>
      <c r="C212">
        <v>1566.30004882812</v>
      </c>
      <c r="D212">
        <v>1108.69995117187</v>
      </c>
      <c r="E212">
        <v>2923.65673828125</v>
      </c>
    </row>
    <row r="213" spans="1:5" x14ac:dyDescent="0.3">
      <c r="A213" s="1">
        <v>31624</v>
      </c>
      <c r="B213">
        <v>236.11999511718699</v>
      </c>
      <c r="C213">
        <v>1558.09997558593</v>
      </c>
      <c r="D213">
        <v>1123.5</v>
      </c>
      <c r="E213">
        <v>2927.84594726562</v>
      </c>
    </row>
    <row r="214" spans="1:5" x14ac:dyDescent="0.3">
      <c r="A214" s="1">
        <v>31625</v>
      </c>
      <c r="B214">
        <v>234.91000366210901</v>
      </c>
      <c r="C214">
        <v>1561.80004882812</v>
      </c>
      <c r="D214">
        <v>1124.90002441406</v>
      </c>
      <c r="E214">
        <v>2925.05297851562</v>
      </c>
    </row>
    <row r="215" spans="1:5" x14ac:dyDescent="0.3">
      <c r="A215" s="1">
        <v>31626</v>
      </c>
      <c r="B215" t="e">
        <v>#N/A</v>
      </c>
      <c r="C215" t="e">
        <v>#N/A</v>
      </c>
      <c r="D215" t="e">
        <v>#N/A</v>
      </c>
      <c r="E215" t="e">
        <v>#N/A</v>
      </c>
    </row>
    <row r="216" spans="1:5" x14ac:dyDescent="0.3">
      <c r="A216" s="1">
        <v>31627</v>
      </c>
      <c r="B216" t="e">
        <v>#N/A</v>
      </c>
      <c r="C216" t="e">
        <v>#N/A</v>
      </c>
      <c r="D216" t="e">
        <v>#N/A</v>
      </c>
      <c r="E216" t="e">
        <v>#N/A</v>
      </c>
    </row>
    <row r="217" spans="1:5" x14ac:dyDescent="0.3">
      <c r="A217" s="1">
        <v>31628</v>
      </c>
      <c r="B217">
        <v>235.99000549316401</v>
      </c>
      <c r="C217">
        <v>1545.40002441406</v>
      </c>
      <c r="D217">
        <v>1120.19995117187</v>
      </c>
      <c r="E217" t="e">
        <v>#N/A</v>
      </c>
    </row>
    <row r="218" spans="1:5" x14ac:dyDescent="0.3">
      <c r="A218" s="1">
        <v>31629</v>
      </c>
      <c r="B218">
        <v>237.02999877929599</v>
      </c>
      <c r="C218">
        <v>1561.59997558593</v>
      </c>
      <c r="D218">
        <v>1127.19995117187</v>
      </c>
      <c r="E218">
        <v>2948.19384765625</v>
      </c>
    </row>
    <row r="219" spans="1:5" x14ac:dyDescent="0.3">
      <c r="A219" s="1">
        <v>31630</v>
      </c>
      <c r="B219">
        <v>236.83999633789</v>
      </c>
      <c r="C219">
        <v>1540.40002441406</v>
      </c>
      <c r="D219">
        <v>1139.59997558593</v>
      </c>
      <c r="E219">
        <v>2979.21508789062</v>
      </c>
    </row>
    <row r="220" spans="1:5" x14ac:dyDescent="0.3">
      <c r="A220" s="1">
        <v>31631</v>
      </c>
      <c r="B220">
        <v>237.03999328613199</v>
      </c>
      <c r="C220">
        <v>1529.90002441406</v>
      </c>
      <c r="D220">
        <v>1150.5</v>
      </c>
      <c r="E220">
        <v>2996.57080078125</v>
      </c>
    </row>
    <row r="221" spans="1:5" x14ac:dyDescent="0.3">
      <c r="A221" s="1">
        <v>31632</v>
      </c>
      <c r="B221">
        <v>236.88000488281199</v>
      </c>
      <c r="C221">
        <v>1526.69995117187</v>
      </c>
      <c r="D221">
        <v>1153.09997558593</v>
      </c>
      <c r="E221">
        <v>3009.93701171875</v>
      </c>
    </row>
    <row r="222" spans="1:5" x14ac:dyDescent="0.3">
      <c r="A222" s="1">
        <v>31633</v>
      </c>
      <c r="B222" t="e">
        <v>#N/A</v>
      </c>
      <c r="C222" t="e">
        <v>#N/A</v>
      </c>
      <c r="D222" t="e">
        <v>#N/A</v>
      </c>
      <c r="E222" t="e">
        <v>#N/A</v>
      </c>
    </row>
    <row r="223" spans="1:5" x14ac:dyDescent="0.3">
      <c r="A223" s="1">
        <v>31634</v>
      </c>
      <c r="B223" t="e">
        <v>#N/A</v>
      </c>
      <c r="C223" t="e">
        <v>#N/A</v>
      </c>
      <c r="D223" t="e">
        <v>#N/A</v>
      </c>
      <c r="E223" t="e">
        <v>#N/A</v>
      </c>
    </row>
    <row r="224" spans="1:5" x14ac:dyDescent="0.3">
      <c r="A224" s="1">
        <v>31635</v>
      </c>
      <c r="B224">
        <v>240.67999267578099</v>
      </c>
      <c r="C224">
        <v>1542.80004882812</v>
      </c>
      <c r="D224">
        <v>1153.90002441406</v>
      </c>
      <c r="E224">
        <v>3034.1748046875</v>
      </c>
    </row>
    <row r="225" spans="1:5" x14ac:dyDescent="0.3">
      <c r="A225" s="1">
        <v>31636</v>
      </c>
      <c r="B225">
        <v>243.33999633789</v>
      </c>
      <c r="C225">
        <v>1558.19995117187</v>
      </c>
      <c r="D225">
        <v>1149.19995117187</v>
      </c>
      <c r="E225">
        <v>3030.68383789062</v>
      </c>
    </row>
    <row r="226" spans="1:5" x14ac:dyDescent="0.3">
      <c r="A226" s="1">
        <v>31637</v>
      </c>
      <c r="B226">
        <v>245.669998168945</v>
      </c>
      <c r="C226">
        <v>1581</v>
      </c>
      <c r="D226">
        <v>1160.19995117187</v>
      </c>
      <c r="E226">
        <v>3031.28271484375</v>
      </c>
    </row>
    <row r="227" spans="1:5" x14ac:dyDescent="0.3">
      <c r="A227" s="1">
        <v>31638</v>
      </c>
      <c r="B227">
        <v>246.25</v>
      </c>
      <c r="C227">
        <v>1588.19995117187</v>
      </c>
      <c r="D227">
        <v>1163.80004882812</v>
      </c>
      <c r="E227">
        <v>3023.103515625</v>
      </c>
    </row>
    <row r="228" spans="1:5" x14ac:dyDescent="0.3">
      <c r="A228" s="1">
        <v>31639</v>
      </c>
      <c r="B228">
        <v>247.14999389648401</v>
      </c>
      <c r="C228">
        <v>1601.90002441406</v>
      </c>
      <c r="D228">
        <v>1176.5</v>
      </c>
      <c r="E228">
        <v>3023.50244140625</v>
      </c>
    </row>
    <row r="229" spans="1:5" x14ac:dyDescent="0.3">
      <c r="A229" s="1">
        <v>31640</v>
      </c>
      <c r="B229" t="e">
        <v>#N/A</v>
      </c>
      <c r="C229" t="e">
        <v>#N/A</v>
      </c>
      <c r="D229" t="e">
        <v>#N/A</v>
      </c>
      <c r="E229" t="e">
        <v>#N/A</v>
      </c>
    </row>
    <row r="230" spans="1:5" x14ac:dyDescent="0.3">
      <c r="A230" s="1">
        <v>31641</v>
      </c>
      <c r="B230" t="e">
        <v>#N/A</v>
      </c>
      <c r="C230" t="e">
        <v>#N/A</v>
      </c>
      <c r="D230" t="e">
        <v>#N/A</v>
      </c>
      <c r="E230" t="e">
        <v>#N/A</v>
      </c>
    </row>
    <row r="231" spans="1:5" x14ac:dyDescent="0.3">
      <c r="A231" s="1">
        <v>31642</v>
      </c>
      <c r="B231">
        <v>247.38000488281199</v>
      </c>
      <c r="C231">
        <v>1609</v>
      </c>
      <c r="D231">
        <v>1185.90002441406</v>
      </c>
      <c r="E231">
        <v>3009.53784179687</v>
      </c>
    </row>
    <row r="232" spans="1:5" x14ac:dyDescent="0.3">
      <c r="A232" s="1">
        <v>31643</v>
      </c>
      <c r="B232">
        <v>246.509994506835</v>
      </c>
      <c r="C232">
        <v>1604.40002441406</v>
      </c>
      <c r="D232">
        <v>1185.30004882812</v>
      </c>
      <c r="E232">
        <v>2999.26416015625</v>
      </c>
    </row>
    <row r="233" spans="1:5" x14ac:dyDescent="0.3">
      <c r="A233" s="1">
        <v>31644</v>
      </c>
      <c r="B233">
        <v>249.77000427246</v>
      </c>
      <c r="C233">
        <v>1604.59997558593</v>
      </c>
      <c r="D233">
        <v>1177.59997558593</v>
      </c>
      <c r="E233">
        <v>3011.53295898437</v>
      </c>
    </row>
    <row r="234" spans="1:5" x14ac:dyDescent="0.3">
      <c r="A234" s="1">
        <v>31645</v>
      </c>
      <c r="B234">
        <v>249.669998168945</v>
      </c>
      <c r="C234">
        <v>1606.80004882812</v>
      </c>
      <c r="D234">
        <v>1179.5</v>
      </c>
      <c r="E234">
        <v>3013.12915039062</v>
      </c>
    </row>
    <row r="235" spans="1:5" x14ac:dyDescent="0.3">
      <c r="A235" s="1">
        <v>31646</v>
      </c>
      <c r="B235">
        <v>250.19000244140599</v>
      </c>
      <c r="C235">
        <v>1607.09997558593</v>
      </c>
      <c r="D235">
        <v>1183.80004882812</v>
      </c>
      <c r="E235">
        <v>3008.1416015625</v>
      </c>
    </row>
    <row r="236" spans="1:5" x14ac:dyDescent="0.3">
      <c r="A236" s="1">
        <v>31647</v>
      </c>
      <c r="B236" t="e">
        <v>#N/A</v>
      </c>
      <c r="C236" t="e">
        <v>#N/A</v>
      </c>
      <c r="D236" t="e">
        <v>#N/A</v>
      </c>
      <c r="E236" t="e">
        <v>#N/A</v>
      </c>
    </row>
    <row r="237" spans="1:5" x14ac:dyDescent="0.3">
      <c r="A237" s="1">
        <v>31648</v>
      </c>
      <c r="B237" t="e">
        <v>#N/A</v>
      </c>
      <c r="C237" t="e">
        <v>#N/A</v>
      </c>
      <c r="D237" t="e">
        <v>#N/A</v>
      </c>
      <c r="E237" t="e">
        <v>#N/A</v>
      </c>
    </row>
    <row r="238" spans="1:5" x14ac:dyDescent="0.3">
      <c r="A238" s="1">
        <v>31649</v>
      </c>
      <c r="B238">
        <v>247.80999755859301</v>
      </c>
      <c r="C238" t="e">
        <v>#N/A</v>
      </c>
      <c r="D238">
        <v>1179.19995117187</v>
      </c>
      <c r="E238">
        <v>3009.6376953125</v>
      </c>
    </row>
    <row r="239" spans="1:5" x14ac:dyDescent="0.3">
      <c r="A239" s="1">
        <v>31650</v>
      </c>
      <c r="B239">
        <v>252.83999633789</v>
      </c>
      <c r="C239">
        <v>1616.19995117187</v>
      </c>
      <c r="D239">
        <v>1179.30004882812</v>
      </c>
      <c r="E239">
        <v>3028.68896484375</v>
      </c>
    </row>
    <row r="240" spans="1:5" x14ac:dyDescent="0.3">
      <c r="A240" s="1">
        <v>31651</v>
      </c>
      <c r="B240">
        <v>253.30000305175699</v>
      </c>
      <c r="C240">
        <v>1629.80004882812</v>
      </c>
      <c r="D240">
        <v>1182.40002441406</v>
      </c>
      <c r="E240">
        <v>3030.38500976562</v>
      </c>
    </row>
    <row r="241" spans="1:5" x14ac:dyDescent="0.3">
      <c r="A241" s="1">
        <v>31652</v>
      </c>
      <c r="B241">
        <v>252.83999633789</v>
      </c>
      <c r="C241">
        <v>1636.80004882812</v>
      </c>
      <c r="D241">
        <v>1183.30004882812</v>
      </c>
      <c r="E241">
        <v>3026.89379882812</v>
      </c>
    </row>
    <row r="242" spans="1:5" x14ac:dyDescent="0.3">
      <c r="A242" s="1">
        <v>31653</v>
      </c>
      <c r="B242">
        <v>252.92999267578099</v>
      </c>
      <c r="C242">
        <v>1661.19995117187</v>
      </c>
      <c r="D242">
        <v>1192.30004882812</v>
      </c>
      <c r="E242">
        <v>3020.51025390625</v>
      </c>
    </row>
    <row r="243" spans="1:5" x14ac:dyDescent="0.3">
      <c r="A243" s="1">
        <v>31654</v>
      </c>
      <c r="B243" t="e">
        <v>#N/A</v>
      </c>
      <c r="C243" t="e">
        <v>#N/A</v>
      </c>
      <c r="D243" t="e">
        <v>#N/A</v>
      </c>
      <c r="E243" t="e">
        <v>#N/A</v>
      </c>
    </row>
    <row r="244" spans="1:5" x14ac:dyDescent="0.3">
      <c r="A244" s="1">
        <v>31655</v>
      </c>
      <c r="B244" t="e">
        <v>#N/A</v>
      </c>
      <c r="C244" t="e">
        <v>#N/A</v>
      </c>
      <c r="D244" t="e">
        <v>#N/A</v>
      </c>
      <c r="E244" t="e">
        <v>#N/A</v>
      </c>
    </row>
    <row r="245" spans="1:5" x14ac:dyDescent="0.3">
      <c r="A245" s="1">
        <v>31656</v>
      </c>
      <c r="B245" t="e">
        <v>#N/A</v>
      </c>
      <c r="C245">
        <v>1672.80004882812</v>
      </c>
      <c r="D245">
        <v>1200</v>
      </c>
      <c r="E245" t="e">
        <v>#N/A</v>
      </c>
    </row>
    <row r="246" spans="1:5" x14ac:dyDescent="0.3">
      <c r="A246" s="1">
        <v>31657</v>
      </c>
      <c r="B246">
        <v>248.52000427246</v>
      </c>
      <c r="C246">
        <v>1667.80004882812</v>
      </c>
      <c r="D246">
        <v>1211.40002441406</v>
      </c>
      <c r="E246">
        <v>3032.27978515625</v>
      </c>
    </row>
    <row r="247" spans="1:5" x14ac:dyDescent="0.3">
      <c r="A247" s="1">
        <v>31658</v>
      </c>
      <c r="B247">
        <v>250.08000183105401</v>
      </c>
      <c r="C247">
        <v>1670.69995117187</v>
      </c>
      <c r="D247">
        <v>1220</v>
      </c>
      <c r="E247">
        <v>3050.53344726562</v>
      </c>
    </row>
    <row r="248" spans="1:5" x14ac:dyDescent="0.3">
      <c r="A248" s="1">
        <v>31659</v>
      </c>
      <c r="B248">
        <v>253.83000183105401</v>
      </c>
      <c r="C248">
        <v>1680.30004882812</v>
      </c>
      <c r="D248">
        <v>1231.69995117187</v>
      </c>
      <c r="E248">
        <v>3088.53662109375</v>
      </c>
    </row>
    <row r="249" spans="1:5" x14ac:dyDescent="0.3">
      <c r="A249" s="1">
        <v>31660</v>
      </c>
      <c r="B249">
        <v>250.47000122070301</v>
      </c>
      <c r="C249">
        <v>1684.80004882812</v>
      </c>
      <c r="D249">
        <v>1238.5</v>
      </c>
      <c r="E249">
        <v>3099.70849609375</v>
      </c>
    </row>
    <row r="250" spans="1:5" x14ac:dyDescent="0.3">
      <c r="A250" s="1">
        <v>31661</v>
      </c>
      <c r="B250" t="e">
        <v>#N/A</v>
      </c>
      <c r="C250" t="e">
        <v>#N/A</v>
      </c>
      <c r="D250" t="e">
        <v>#N/A</v>
      </c>
      <c r="E250" t="e">
        <v>#N/A</v>
      </c>
    </row>
    <row r="251" spans="1:5" x14ac:dyDescent="0.3">
      <c r="A251" s="1">
        <v>31662</v>
      </c>
      <c r="B251" t="e">
        <v>#N/A</v>
      </c>
      <c r="C251" t="e">
        <v>#N/A</v>
      </c>
      <c r="D251" t="e">
        <v>#N/A</v>
      </c>
      <c r="E251" t="e">
        <v>#N/A</v>
      </c>
    </row>
    <row r="252" spans="1:5" x14ac:dyDescent="0.3">
      <c r="A252" s="1">
        <v>31663</v>
      </c>
      <c r="B252">
        <v>248.13999938964801</v>
      </c>
      <c r="C252">
        <v>1666.59997558593</v>
      </c>
      <c r="D252">
        <v>1235.5</v>
      </c>
      <c r="E252">
        <v>3084.34741210937</v>
      </c>
    </row>
    <row r="253" spans="1:5" x14ac:dyDescent="0.3">
      <c r="A253" s="1">
        <v>31664</v>
      </c>
      <c r="B253">
        <v>247.669998168945</v>
      </c>
      <c r="C253">
        <v>1673.40002441406</v>
      </c>
      <c r="D253">
        <v>1220.69995117187</v>
      </c>
      <c r="E253">
        <v>3086.84106445312</v>
      </c>
    </row>
    <row r="254" spans="1:5" x14ac:dyDescent="0.3">
      <c r="A254" s="1">
        <v>31665</v>
      </c>
      <c r="B254">
        <v>247.05999755859301</v>
      </c>
      <c r="C254">
        <v>1663.5</v>
      </c>
      <c r="D254">
        <v>1232.40002441406</v>
      </c>
      <c r="E254">
        <v>3088.23779296875</v>
      </c>
    </row>
    <row r="255" spans="1:5" x14ac:dyDescent="0.3">
      <c r="A255" s="1">
        <v>31666</v>
      </c>
      <c r="B255">
        <v>235.17999267578099</v>
      </c>
      <c r="C255">
        <v>1636.5</v>
      </c>
      <c r="D255">
        <v>1235.30004882812</v>
      </c>
      <c r="E255">
        <v>3013.22827148437</v>
      </c>
    </row>
    <row r="256" spans="1:5" x14ac:dyDescent="0.3">
      <c r="A256" s="1">
        <v>31667</v>
      </c>
      <c r="B256">
        <v>230.669998168945</v>
      </c>
      <c r="C256">
        <v>1608.59997558593</v>
      </c>
      <c r="D256">
        <v>1235.90002441406</v>
      </c>
      <c r="E256">
        <v>2994.67578125</v>
      </c>
    </row>
    <row r="257" spans="1:5" x14ac:dyDescent="0.3">
      <c r="A257" s="1">
        <v>31668</v>
      </c>
      <c r="B257" t="e">
        <v>#N/A</v>
      </c>
      <c r="C257" t="e">
        <v>#N/A</v>
      </c>
      <c r="D257" t="e">
        <v>#N/A</v>
      </c>
      <c r="E257" t="e">
        <v>#N/A</v>
      </c>
    </row>
    <row r="258" spans="1:5" x14ac:dyDescent="0.3">
      <c r="A258" s="1">
        <v>31669</v>
      </c>
      <c r="B258" t="e">
        <v>#N/A</v>
      </c>
      <c r="C258" t="e">
        <v>#N/A</v>
      </c>
      <c r="D258" t="e">
        <v>#N/A</v>
      </c>
      <c r="E258" t="e">
        <v>#N/A</v>
      </c>
    </row>
    <row r="259" spans="1:5" x14ac:dyDescent="0.3">
      <c r="A259" s="1">
        <v>31670</v>
      </c>
      <c r="B259">
        <v>231.94000244140599</v>
      </c>
      <c r="C259">
        <v>1628.30004882812</v>
      </c>
      <c r="D259">
        <v>1224.40002441406</v>
      </c>
      <c r="E259">
        <v>3011.33325195312</v>
      </c>
    </row>
    <row r="260" spans="1:5" x14ac:dyDescent="0.3">
      <c r="A260" s="1">
        <v>31671</v>
      </c>
      <c r="B260">
        <v>231.72000122070301</v>
      </c>
      <c r="C260">
        <v>1596.69995117187</v>
      </c>
      <c r="D260">
        <v>1222.09997558593</v>
      </c>
      <c r="E260">
        <v>2989.28955078125</v>
      </c>
    </row>
    <row r="261" spans="1:5" x14ac:dyDescent="0.3">
      <c r="A261" s="1">
        <v>31672</v>
      </c>
      <c r="B261">
        <v>231.67999267578099</v>
      </c>
      <c r="C261">
        <v>1610.40002441406</v>
      </c>
      <c r="D261">
        <v>1214.30004882812</v>
      </c>
      <c r="E261">
        <v>2983.70385742187</v>
      </c>
    </row>
    <row r="262" spans="1:5" x14ac:dyDescent="0.3">
      <c r="A262" s="1">
        <v>31673</v>
      </c>
      <c r="B262">
        <v>232.30999755859301</v>
      </c>
      <c r="C262">
        <v>1614.19995117187</v>
      </c>
      <c r="D262">
        <v>1199.30004882812</v>
      </c>
      <c r="E262">
        <v>2977.22021484375</v>
      </c>
    </row>
    <row r="263" spans="1:5" x14ac:dyDescent="0.3">
      <c r="A263" s="1">
        <v>31674</v>
      </c>
      <c r="B263">
        <v>232.21000671386699</v>
      </c>
      <c r="C263">
        <v>1600.40002441406</v>
      </c>
      <c r="D263">
        <v>1210.5</v>
      </c>
      <c r="E263">
        <v>3000.76025390625</v>
      </c>
    </row>
    <row r="264" spans="1:5" x14ac:dyDescent="0.3">
      <c r="A264" s="1">
        <v>31675</v>
      </c>
      <c r="B264" t="e">
        <v>#N/A</v>
      </c>
      <c r="C264" t="e">
        <v>#N/A</v>
      </c>
      <c r="D264" t="e">
        <v>#N/A</v>
      </c>
      <c r="E264" t="e">
        <v>#N/A</v>
      </c>
    </row>
    <row r="265" spans="1:5" x14ac:dyDescent="0.3">
      <c r="A265" s="1">
        <v>31676</v>
      </c>
      <c r="B265" t="e">
        <v>#N/A</v>
      </c>
      <c r="C265" t="e">
        <v>#N/A</v>
      </c>
      <c r="D265" t="e">
        <v>#N/A</v>
      </c>
      <c r="E265" t="e">
        <v>#N/A</v>
      </c>
    </row>
    <row r="266" spans="1:5" x14ac:dyDescent="0.3">
      <c r="A266" s="1">
        <v>31677</v>
      </c>
      <c r="B266">
        <v>234.92999267578099</v>
      </c>
      <c r="C266">
        <v>1617.09997558593</v>
      </c>
      <c r="D266">
        <v>1223.80004882812</v>
      </c>
      <c r="E266">
        <v>3011.43334960937</v>
      </c>
    </row>
    <row r="267" spans="1:5" x14ac:dyDescent="0.3">
      <c r="A267" s="1">
        <v>31678</v>
      </c>
      <c r="B267">
        <v>235.669998168945</v>
      </c>
      <c r="C267">
        <v>1610</v>
      </c>
      <c r="D267">
        <v>1234.09997558593</v>
      </c>
      <c r="E267">
        <v>2998.46655273437</v>
      </c>
    </row>
    <row r="268" spans="1:5" x14ac:dyDescent="0.3">
      <c r="A268" s="1">
        <v>31679</v>
      </c>
      <c r="B268">
        <v>236.27999877929599</v>
      </c>
      <c r="C268">
        <v>1603.40002441406</v>
      </c>
      <c r="D268">
        <v>1235.90002441406</v>
      </c>
      <c r="E268">
        <v>3009.6376953125</v>
      </c>
    </row>
    <row r="269" spans="1:5" x14ac:dyDescent="0.3">
      <c r="A269" s="1">
        <v>31680</v>
      </c>
      <c r="B269">
        <v>231.83000183105401</v>
      </c>
      <c r="C269">
        <v>1575.90002441406</v>
      </c>
      <c r="D269">
        <v>1250.5</v>
      </c>
      <c r="E269">
        <v>2981.90795898437</v>
      </c>
    </row>
    <row r="270" spans="1:5" x14ac:dyDescent="0.3">
      <c r="A270" s="1">
        <v>31681</v>
      </c>
      <c r="B270">
        <v>232.22999572753901</v>
      </c>
      <c r="C270">
        <v>1568.59997558593</v>
      </c>
      <c r="D270">
        <v>1259</v>
      </c>
      <c r="E270">
        <v>2974.42700195312</v>
      </c>
    </row>
    <row r="271" spans="1:5" x14ac:dyDescent="0.3">
      <c r="A271" s="1">
        <v>31682</v>
      </c>
      <c r="B271" t="e">
        <v>#N/A</v>
      </c>
      <c r="C271" t="e">
        <v>#N/A</v>
      </c>
      <c r="D271" t="e">
        <v>#N/A</v>
      </c>
      <c r="E271" t="e">
        <v>#N/A</v>
      </c>
    </row>
    <row r="272" spans="1:5" x14ac:dyDescent="0.3">
      <c r="A272" s="1">
        <v>31683</v>
      </c>
      <c r="B272" t="e">
        <v>#N/A</v>
      </c>
      <c r="C272" t="e">
        <v>#N/A</v>
      </c>
      <c r="D272" t="e">
        <v>#N/A</v>
      </c>
      <c r="E272" t="e">
        <v>#N/A</v>
      </c>
    </row>
    <row r="273" spans="1:5" x14ac:dyDescent="0.3">
      <c r="A273" s="1">
        <v>31684</v>
      </c>
      <c r="B273">
        <v>229.91000366210901</v>
      </c>
      <c r="C273">
        <v>1539.19995117187</v>
      </c>
      <c r="D273">
        <v>1257.19995117187</v>
      </c>
      <c r="E273">
        <v>2954.17895507812</v>
      </c>
    </row>
    <row r="274" spans="1:5" x14ac:dyDescent="0.3">
      <c r="A274" s="1">
        <v>31685</v>
      </c>
      <c r="B274">
        <v>231.32000732421801</v>
      </c>
      <c r="C274">
        <v>1555.80004882812</v>
      </c>
      <c r="D274">
        <v>1257.19995117187</v>
      </c>
      <c r="E274">
        <v>2971.73413085937</v>
      </c>
    </row>
    <row r="275" spans="1:5" x14ac:dyDescent="0.3">
      <c r="A275" s="1">
        <v>31686</v>
      </c>
      <c r="B275">
        <v>233.600006103515</v>
      </c>
      <c r="C275">
        <v>1578.30004882812</v>
      </c>
      <c r="D275">
        <v>1253.59997558593</v>
      </c>
      <c r="E275">
        <v>2980.81079101562</v>
      </c>
    </row>
    <row r="276" spans="1:5" x14ac:dyDescent="0.3">
      <c r="A276" s="1">
        <v>31687</v>
      </c>
      <c r="B276">
        <v>233.919998168945</v>
      </c>
      <c r="C276">
        <v>1573.09997558593</v>
      </c>
      <c r="D276">
        <v>1275.59997558593</v>
      </c>
      <c r="E276">
        <v>2994.37646484375</v>
      </c>
    </row>
    <row r="277" spans="1:5" x14ac:dyDescent="0.3">
      <c r="A277" s="1">
        <v>31688</v>
      </c>
      <c r="B277">
        <v>233.71000671386699</v>
      </c>
      <c r="C277">
        <v>1560.80004882812</v>
      </c>
      <c r="D277">
        <v>1297.30004882812</v>
      </c>
      <c r="E277">
        <v>2991.38403320312</v>
      </c>
    </row>
    <row r="278" spans="1:5" x14ac:dyDescent="0.3">
      <c r="A278" s="1">
        <v>31689</v>
      </c>
      <c r="B278" t="e">
        <v>#N/A</v>
      </c>
      <c r="C278" t="e">
        <v>#N/A</v>
      </c>
      <c r="D278" t="e">
        <v>#N/A</v>
      </c>
      <c r="E278" t="e">
        <v>#N/A</v>
      </c>
    </row>
    <row r="279" spans="1:5" x14ac:dyDescent="0.3">
      <c r="A279" s="1">
        <v>31690</v>
      </c>
      <c r="B279" t="e">
        <v>#N/A</v>
      </c>
      <c r="C279" t="e">
        <v>#N/A</v>
      </c>
      <c r="D279" t="e">
        <v>#N/A</v>
      </c>
      <c r="E279" t="e">
        <v>#N/A</v>
      </c>
    </row>
    <row r="280" spans="1:5" x14ac:dyDescent="0.3">
      <c r="A280" s="1">
        <v>31691</v>
      </c>
      <c r="B280">
        <v>234.77999877929599</v>
      </c>
      <c r="C280">
        <v>1578.90002441406</v>
      </c>
      <c r="D280">
        <v>1310.80004882812</v>
      </c>
      <c r="E280">
        <v>3008.73974609375</v>
      </c>
    </row>
    <row r="281" spans="1:5" x14ac:dyDescent="0.3">
      <c r="A281" s="1">
        <v>31692</v>
      </c>
      <c r="B281">
        <v>234.41000366210901</v>
      </c>
      <c r="C281">
        <v>1592.30004882812</v>
      </c>
      <c r="D281">
        <v>1329.40002441406</v>
      </c>
      <c r="E281">
        <v>3016.51977539062</v>
      </c>
    </row>
    <row r="282" spans="1:5" x14ac:dyDescent="0.3">
      <c r="A282" s="1">
        <v>31693</v>
      </c>
      <c r="B282">
        <v>236.67999267578099</v>
      </c>
      <c r="C282">
        <v>1587.80004882812</v>
      </c>
      <c r="D282">
        <v>1332.19995117187</v>
      </c>
      <c r="E282">
        <v>3034.1748046875</v>
      </c>
    </row>
    <row r="283" spans="1:5" x14ac:dyDescent="0.3">
      <c r="A283" s="1">
        <v>31694</v>
      </c>
      <c r="B283">
        <v>235.850006103515</v>
      </c>
      <c r="C283">
        <v>1608.59997558593</v>
      </c>
      <c r="D283">
        <v>1338.09997558593</v>
      </c>
      <c r="E283">
        <v>3021.50732421875</v>
      </c>
    </row>
    <row r="284" spans="1:5" x14ac:dyDescent="0.3">
      <c r="A284" s="1">
        <v>31695</v>
      </c>
      <c r="B284">
        <v>235.47999572753901</v>
      </c>
      <c r="C284">
        <v>1599.40002441406</v>
      </c>
      <c r="D284">
        <v>1329.90002441406</v>
      </c>
      <c r="E284">
        <v>3026.29541015625</v>
      </c>
    </row>
    <row r="285" spans="1:5" x14ac:dyDescent="0.3">
      <c r="A285" s="1">
        <v>31696</v>
      </c>
      <c r="B285" t="e">
        <v>#N/A</v>
      </c>
      <c r="C285" t="e">
        <v>#N/A</v>
      </c>
      <c r="D285" t="e">
        <v>#N/A</v>
      </c>
      <c r="E285" t="e">
        <v>#N/A</v>
      </c>
    </row>
    <row r="286" spans="1:5" x14ac:dyDescent="0.3">
      <c r="A286" s="1">
        <v>31697</v>
      </c>
      <c r="B286" t="e">
        <v>#N/A</v>
      </c>
      <c r="C286" t="e">
        <v>#N/A</v>
      </c>
      <c r="D286" t="e">
        <v>#N/A</v>
      </c>
      <c r="E286" t="e">
        <v>#N/A</v>
      </c>
    </row>
    <row r="287" spans="1:5" x14ac:dyDescent="0.3">
      <c r="A287" s="1">
        <v>31698</v>
      </c>
      <c r="B287">
        <v>235.91000366210901</v>
      </c>
      <c r="C287">
        <v>1612.30004882812</v>
      </c>
      <c r="D287">
        <v>1338.69995117187</v>
      </c>
      <c r="E287" t="e">
        <v>#N/A</v>
      </c>
    </row>
    <row r="288" spans="1:5" x14ac:dyDescent="0.3">
      <c r="A288" s="1">
        <v>31699</v>
      </c>
      <c r="B288">
        <v>235.36999511718699</v>
      </c>
      <c r="C288">
        <v>1592.5</v>
      </c>
      <c r="D288">
        <v>1350.5</v>
      </c>
      <c r="E288">
        <v>3010.53564453125</v>
      </c>
    </row>
    <row r="289" spans="1:5" x14ac:dyDescent="0.3">
      <c r="A289" s="1">
        <v>31700</v>
      </c>
      <c r="B289">
        <v>238.80000305175699</v>
      </c>
      <c r="C289">
        <v>1607.5</v>
      </c>
      <c r="D289">
        <v>1347.80004882812</v>
      </c>
      <c r="E289">
        <v>3009.73754882812</v>
      </c>
    </row>
    <row r="290" spans="1:5" x14ac:dyDescent="0.3">
      <c r="A290" s="1">
        <v>31701</v>
      </c>
      <c r="B290">
        <v>239.52999877929599</v>
      </c>
      <c r="C290">
        <v>1605</v>
      </c>
      <c r="D290">
        <v>1353.40002441406</v>
      </c>
      <c r="E290">
        <v>3022.00610351562</v>
      </c>
    </row>
    <row r="291" spans="1:5" x14ac:dyDescent="0.3">
      <c r="A291" s="1">
        <v>31702</v>
      </c>
      <c r="B291">
        <v>238.83999633789</v>
      </c>
      <c r="C291">
        <v>1610</v>
      </c>
      <c r="D291">
        <v>1367.30004882812</v>
      </c>
      <c r="E291">
        <v>3033.17749023437</v>
      </c>
    </row>
    <row r="292" spans="1:5" x14ac:dyDescent="0.3">
      <c r="A292" s="1">
        <v>31703</v>
      </c>
      <c r="B292" t="e">
        <v>#N/A</v>
      </c>
      <c r="C292" t="e">
        <v>#N/A</v>
      </c>
      <c r="D292" t="e">
        <v>#N/A</v>
      </c>
      <c r="E292" t="e">
        <v>#N/A</v>
      </c>
    </row>
    <row r="293" spans="1:5" x14ac:dyDescent="0.3">
      <c r="A293" s="1">
        <v>31704</v>
      </c>
      <c r="B293" t="e">
        <v>#N/A</v>
      </c>
      <c r="C293" t="e">
        <v>#N/A</v>
      </c>
      <c r="D293" t="e">
        <v>#N/A</v>
      </c>
      <c r="E293" t="e">
        <v>#N/A</v>
      </c>
    </row>
    <row r="294" spans="1:5" x14ac:dyDescent="0.3">
      <c r="A294" s="1">
        <v>31705</v>
      </c>
      <c r="B294">
        <v>235.97000122070301</v>
      </c>
      <c r="C294">
        <v>1590.19995117187</v>
      </c>
      <c r="D294">
        <v>1361.30004882812</v>
      </c>
      <c r="E294">
        <v>3015.4228515625</v>
      </c>
    </row>
    <row r="295" spans="1:5" x14ac:dyDescent="0.3">
      <c r="A295" s="1">
        <v>31706</v>
      </c>
      <c r="B295">
        <v>235.88000488281199</v>
      </c>
      <c r="C295">
        <v>1591.19995117187</v>
      </c>
      <c r="D295">
        <v>1372.69995117187</v>
      </c>
      <c r="E295">
        <v>3008.83984375</v>
      </c>
    </row>
    <row r="296" spans="1:5" x14ac:dyDescent="0.3">
      <c r="A296" s="1">
        <v>31707</v>
      </c>
      <c r="B296">
        <v>236.259994506835</v>
      </c>
      <c r="C296">
        <v>1589.59997558593</v>
      </c>
      <c r="D296">
        <v>1372.40002441406</v>
      </c>
      <c r="E296">
        <v>3013.9267578125</v>
      </c>
    </row>
    <row r="297" spans="1:5" x14ac:dyDescent="0.3">
      <c r="A297" s="1">
        <v>31708</v>
      </c>
      <c r="B297">
        <v>239.27999877929599</v>
      </c>
      <c r="C297">
        <v>1572.5</v>
      </c>
      <c r="D297">
        <v>1367.30004882812</v>
      </c>
      <c r="E297">
        <v>3006.34594726562</v>
      </c>
    </row>
    <row r="298" spans="1:5" x14ac:dyDescent="0.3">
      <c r="A298" s="1">
        <v>31709</v>
      </c>
      <c r="B298">
        <v>238.259994506835</v>
      </c>
      <c r="C298">
        <v>1577.09997558593</v>
      </c>
      <c r="D298">
        <v>1362.30004882812</v>
      </c>
      <c r="E298">
        <v>2999.46362304687</v>
      </c>
    </row>
    <row r="299" spans="1:5" x14ac:dyDescent="0.3">
      <c r="A299" s="1">
        <v>31710</v>
      </c>
      <c r="B299" t="e">
        <v>#N/A</v>
      </c>
      <c r="C299" t="e">
        <v>#N/A</v>
      </c>
      <c r="D299" t="e">
        <v>#N/A</v>
      </c>
      <c r="E299" t="e">
        <v>#N/A</v>
      </c>
    </row>
    <row r="300" spans="1:5" x14ac:dyDescent="0.3">
      <c r="A300" s="1">
        <v>31711</v>
      </c>
      <c r="B300" t="e">
        <v>#N/A</v>
      </c>
      <c r="C300" t="e">
        <v>#N/A</v>
      </c>
      <c r="D300" t="e">
        <v>#N/A</v>
      </c>
      <c r="E300" t="e">
        <v>#N/A</v>
      </c>
    </row>
    <row r="301" spans="1:5" x14ac:dyDescent="0.3">
      <c r="A301" s="1">
        <v>31712</v>
      </c>
      <c r="B301">
        <v>238.77000427246</v>
      </c>
      <c r="C301">
        <v>1586.19995117187</v>
      </c>
      <c r="D301">
        <v>1348.59997558593</v>
      </c>
      <c r="E301">
        <v>3002.05712890625</v>
      </c>
    </row>
    <row r="302" spans="1:5" x14ac:dyDescent="0.3">
      <c r="A302" s="1">
        <v>31713</v>
      </c>
      <c r="B302">
        <v>239.259994506835</v>
      </c>
      <c r="C302">
        <v>1583.59997558593</v>
      </c>
      <c r="D302">
        <v>1357.5</v>
      </c>
      <c r="E302">
        <v>3004.94970703125</v>
      </c>
    </row>
    <row r="303" spans="1:5" x14ac:dyDescent="0.3">
      <c r="A303" s="1">
        <v>31714</v>
      </c>
      <c r="B303">
        <v>240.94000244140599</v>
      </c>
      <c r="C303">
        <v>1597</v>
      </c>
      <c r="D303">
        <v>1374.40002441406</v>
      </c>
      <c r="E303">
        <v>3004.15185546875</v>
      </c>
    </row>
    <row r="304" spans="1:5" x14ac:dyDescent="0.3">
      <c r="A304" s="1">
        <v>31715</v>
      </c>
      <c r="B304">
        <v>243.71000671386699</v>
      </c>
      <c r="C304">
        <v>1615.80004882812</v>
      </c>
      <c r="D304">
        <v>1365</v>
      </c>
      <c r="E304">
        <v>3018.91430664062</v>
      </c>
    </row>
    <row r="305" spans="1:5" x14ac:dyDescent="0.3">
      <c r="A305" s="1">
        <v>31716</v>
      </c>
      <c r="B305">
        <v>243.97999572753901</v>
      </c>
      <c r="C305">
        <v>1632.09997558593</v>
      </c>
      <c r="D305">
        <v>1377.5</v>
      </c>
      <c r="E305">
        <v>3031.1826171875</v>
      </c>
    </row>
    <row r="306" spans="1:5" x14ac:dyDescent="0.3">
      <c r="A306" s="1">
        <v>31717</v>
      </c>
      <c r="B306" t="e">
        <v>#N/A</v>
      </c>
      <c r="C306" t="e">
        <v>#N/A</v>
      </c>
      <c r="D306" t="e">
        <v>#N/A</v>
      </c>
      <c r="E306" t="e">
        <v>#N/A</v>
      </c>
    </row>
    <row r="307" spans="1:5" x14ac:dyDescent="0.3">
      <c r="A307" s="1">
        <v>31718</v>
      </c>
      <c r="B307" t="e">
        <v>#N/A</v>
      </c>
      <c r="C307" t="e">
        <v>#N/A</v>
      </c>
      <c r="D307" t="e">
        <v>#N/A</v>
      </c>
      <c r="E307" t="e">
        <v>#N/A</v>
      </c>
    </row>
    <row r="308" spans="1:5" x14ac:dyDescent="0.3">
      <c r="A308" s="1">
        <v>31719</v>
      </c>
      <c r="B308">
        <v>245.80000305175699</v>
      </c>
      <c r="C308">
        <v>1639.19995117187</v>
      </c>
      <c r="D308">
        <v>1375.5</v>
      </c>
      <c r="E308">
        <v>3043.75073242187</v>
      </c>
    </row>
    <row r="309" spans="1:5" x14ac:dyDescent="0.3">
      <c r="A309" s="1">
        <v>31720</v>
      </c>
      <c r="B309">
        <v>246.19999694824199</v>
      </c>
      <c r="C309">
        <v>1637.69995117187</v>
      </c>
      <c r="D309">
        <v>1381.09997558593</v>
      </c>
      <c r="E309">
        <v>3055.02221679687</v>
      </c>
    </row>
    <row r="310" spans="1:5" x14ac:dyDescent="0.3">
      <c r="A310" s="1">
        <v>31721</v>
      </c>
      <c r="B310">
        <v>246.58000183105401</v>
      </c>
      <c r="C310">
        <v>1644.40002441406</v>
      </c>
      <c r="D310">
        <v>1390.19995117187</v>
      </c>
      <c r="E310">
        <v>3052.92749023437</v>
      </c>
    </row>
    <row r="311" spans="1:5" x14ac:dyDescent="0.3">
      <c r="A311" s="1">
        <v>31722</v>
      </c>
      <c r="B311">
        <v>245.86999511718699</v>
      </c>
      <c r="C311">
        <v>1648.5</v>
      </c>
      <c r="D311">
        <v>1393.30004882812</v>
      </c>
      <c r="E311">
        <v>3063.001953125</v>
      </c>
    </row>
    <row r="312" spans="1:5" x14ac:dyDescent="0.3">
      <c r="A312" s="1">
        <v>31723</v>
      </c>
      <c r="B312">
        <v>245.77000427246</v>
      </c>
      <c r="C312">
        <v>1662.59997558593</v>
      </c>
      <c r="D312">
        <v>1403.5</v>
      </c>
      <c r="E312">
        <v>3062.20385742187</v>
      </c>
    </row>
    <row r="313" spans="1:5" x14ac:dyDescent="0.3">
      <c r="A313" s="1">
        <v>31724</v>
      </c>
      <c r="B313" t="e">
        <v>#N/A</v>
      </c>
      <c r="C313" t="e">
        <v>#N/A</v>
      </c>
      <c r="D313" t="e">
        <v>#N/A</v>
      </c>
      <c r="E313" t="e">
        <v>#N/A</v>
      </c>
    </row>
    <row r="314" spans="1:5" x14ac:dyDescent="0.3">
      <c r="A314" s="1">
        <v>31725</v>
      </c>
      <c r="B314" t="e">
        <v>#N/A</v>
      </c>
      <c r="C314" t="e">
        <v>#N/A</v>
      </c>
      <c r="D314" t="e">
        <v>#N/A</v>
      </c>
      <c r="E314" t="e">
        <v>#N/A</v>
      </c>
    </row>
    <row r="315" spans="1:5" x14ac:dyDescent="0.3">
      <c r="A315" s="1">
        <v>31726</v>
      </c>
      <c r="B315">
        <v>246.13000488281199</v>
      </c>
      <c r="C315">
        <v>1656.19995117187</v>
      </c>
      <c r="D315">
        <v>1400.69995117187</v>
      </c>
      <c r="E315">
        <v>3065.79467773437</v>
      </c>
    </row>
    <row r="316" spans="1:5" x14ac:dyDescent="0.3">
      <c r="A316" s="1">
        <v>31727</v>
      </c>
      <c r="B316">
        <v>247.08000183105401</v>
      </c>
      <c r="C316">
        <v>1660.90002441406</v>
      </c>
      <c r="D316">
        <v>1383.90002441406</v>
      </c>
      <c r="E316">
        <v>3071.87915039062</v>
      </c>
    </row>
    <row r="317" spans="1:5" x14ac:dyDescent="0.3">
      <c r="A317" s="1">
        <v>31728</v>
      </c>
      <c r="B317">
        <v>246.63999938964801</v>
      </c>
      <c r="C317">
        <v>1654.5</v>
      </c>
      <c r="D317">
        <v>1380.90002441406</v>
      </c>
      <c r="E317">
        <v>3080.8564453125</v>
      </c>
    </row>
    <row r="318" spans="1:5" x14ac:dyDescent="0.3">
      <c r="A318" s="1">
        <v>31729</v>
      </c>
      <c r="B318">
        <v>243.02000427246</v>
      </c>
      <c r="C318">
        <v>1644.59997558593</v>
      </c>
      <c r="D318">
        <v>1379</v>
      </c>
      <c r="E318">
        <v>3054.22412109375</v>
      </c>
    </row>
    <row r="319" spans="1:5" x14ac:dyDescent="0.3">
      <c r="A319" s="1">
        <v>31730</v>
      </c>
      <c r="B319">
        <v>244.5</v>
      </c>
      <c r="C319">
        <v>1644.30004882812</v>
      </c>
      <c r="D319">
        <v>1362.30004882812</v>
      </c>
      <c r="E319">
        <v>3062.20385742187</v>
      </c>
    </row>
    <row r="320" spans="1:5" x14ac:dyDescent="0.3">
      <c r="A320" s="1">
        <v>31731</v>
      </c>
      <c r="B320" t="e">
        <v>#N/A</v>
      </c>
      <c r="C320" t="e">
        <v>#N/A</v>
      </c>
      <c r="D320" t="e">
        <v>#N/A</v>
      </c>
      <c r="E320" t="e">
        <v>#N/A</v>
      </c>
    </row>
    <row r="321" spans="1:5" x14ac:dyDescent="0.3">
      <c r="A321" s="1">
        <v>31732</v>
      </c>
      <c r="B321" t="e">
        <v>#N/A</v>
      </c>
      <c r="C321" t="e">
        <v>#N/A</v>
      </c>
      <c r="D321" t="e">
        <v>#N/A</v>
      </c>
      <c r="E321" t="e">
        <v>#N/A</v>
      </c>
    </row>
    <row r="322" spans="1:5" x14ac:dyDescent="0.3">
      <c r="A322" s="1">
        <v>31733</v>
      </c>
      <c r="B322">
        <v>243.21000671386699</v>
      </c>
      <c r="C322">
        <v>1628.59997558593</v>
      </c>
      <c r="D322">
        <v>1326.69995117187</v>
      </c>
      <c r="E322">
        <v>3039.76098632812</v>
      </c>
    </row>
    <row r="323" spans="1:5" x14ac:dyDescent="0.3">
      <c r="A323" s="1">
        <v>31734</v>
      </c>
      <c r="B323">
        <v>236.77999877929599</v>
      </c>
      <c r="C323">
        <v>1617.5</v>
      </c>
      <c r="D323">
        <v>1316.40002441406</v>
      </c>
      <c r="E323">
        <v>3011.1337890625</v>
      </c>
    </row>
    <row r="324" spans="1:5" x14ac:dyDescent="0.3">
      <c r="A324" s="1">
        <v>31735</v>
      </c>
      <c r="B324">
        <v>237.66000366210901</v>
      </c>
      <c r="C324">
        <v>1604.30004882812</v>
      </c>
      <c r="D324">
        <v>1335.80004882812</v>
      </c>
      <c r="E324">
        <v>2992.38159179687</v>
      </c>
    </row>
    <row r="325" spans="1:5" x14ac:dyDescent="0.3">
      <c r="A325" s="1">
        <v>31736</v>
      </c>
      <c r="B325">
        <v>242.05000305175699</v>
      </c>
      <c r="C325">
        <v>1610.69995117187</v>
      </c>
      <c r="D325">
        <v>1331</v>
      </c>
      <c r="E325">
        <v>3006.54541015625</v>
      </c>
    </row>
    <row r="326" spans="1:5" x14ac:dyDescent="0.3">
      <c r="A326" s="1">
        <v>31737</v>
      </c>
      <c r="B326">
        <v>245.86000061035099</v>
      </c>
      <c r="C326">
        <v>1624.90002441406</v>
      </c>
      <c r="D326">
        <v>1346.09997558593</v>
      </c>
      <c r="E326">
        <v>3013.62768554687</v>
      </c>
    </row>
    <row r="327" spans="1:5" x14ac:dyDescent="0.3">
      <c r="A327" s="1">
        <v>31738</v>
      </c>
      <c r="B327" t="e">
        <v>#N/A</v>
      </c>
      <c r="C327" t="e">
        <v>#N/A</v>
      </c>
      <c r="D327" t="e">
        <v>#N/A</v>
      </c>
      <c r="E327" t="e">
        <v>#N/A</v>
      </c>
    </row>
    <row r="328" spans="1:5" x14ac:dyDescent="0.3">
      <c r="A328" s="1">
        <v>31739</v>
      </c>
      <c r="B328" t="e">
        <v>#N/A</v>
      </c>
      <c r="C328" t="e">
        <v>#N/A</v>
      </c>
      <c r="D328" t="e">
        <v>#N/A</v>
      </c>
      <c r="E328" t="e">
        <v>#N/A</v>
      </c>
    </row>
    <row r="329" spans="1:5" x14ac:dyDescent="0.3">
      <c r="A329" s="1">
        <v>31740</v>
      </c>
      <c r="B329">
        <v>247.44999694824199</v>
      </c>
      <c r="C329">
        <v>1636.5</v>
      </c>
      <c r="D329">
        <v>1337.59997558593</v>
      </c>
      <c r="E329">
        <v>3021.2080078125</v>
      </c>
    </row>
    <row r="330" spans="1:5" x14ac:dyDescent="0.3">
      <c r="A330" s="1">
        <v>31741</v>
      </c>
      <c r="B330">
        <v>248.169998168945</v>
      </c>
      <c r="C330">
        <v>1619.30004882812</v>
      </c>
      <c r="D330">
        <v>1350.90002441406</v>
      </c>
      <c r="E330">
        <v>3017.31811523437</v>
      </c>
    </row>
    <row r="331" spans="1:5" x14ac:dyDescent="0.3">
      <c r="A331" s="1">
        <v>31742</v>
      </c>
      <c r="B331">
        <v>248.77000427246</v>
      </c>
      <c r="C331">
        <v>1633</v>
      </c>
      <c r="D331">
        <v>1363.59997558593</v>
      </c>
      <c r="E331">
        <v>3017.41772460937</v>
      </c>
    </row>
    <row r="332" spans="1:5" x14ac:dyDescent="0.3">
      <c r="A332" s="1">
        <v>31743</v>
      </c>
      <c r="B332" t="e">
        <v>#N/A</v>
      </c>
      <c r="C332">
        <v>1632.5</v>
      </c>
      <c r="D332">
        <v>1371.09997558593</v>
      </c>
      <c r="E332" t="e">
        <v>#N/A</v>
      </c>
    </row>
    <row r="333" spans="1:5" x14ac:dyDescent="0.3">
      <c r="A333" s="1">
        <v>31744</v>
      </c>
      <c r="B333">
        <v>249.22000122070301</v>
      </c>
      <c r="C333">
        <v>1636.69995117187</v>
      </c>
      <c r="D333">
        <v>1379.59997558593</v>
      </c>
      <c r="E333">
        <v>3039.06274414062</v>
      </c>
    </row>
    <row r="334" spans="1:5" x14ac:dyDescent="0.3">
      <c r="A334" s="1">
        <v>31745</v>
      </c>
      <c r="B334" t="e">
        <v>#N/A</v>
      </c>
      <c r="C334" t="e">
        <v>#N/A</v>
      </c>
      <c r="D334" t="e">
        <v>#N/A</v>
      </c>
      <c r="E334" t="e">
        <v>#N/A</v>
      </c>
    </row>
    <row r="335" spans="1:5" x14ac:dyDescent="0.3">
      <c r="A335" s="1">
        <v>31746</v>
      </c>
      <c r="B335" t="e">
        <v>#N/A</v>
      </c>
      <c r="C335" t="e">
        <v>#N/A</v>
      </c>
      <c r="D335" t="e">
        <v>#N/A</v>
      </c>
      <c r="E335" t="e">
        <v>#N/A</v>
      </c>
    </row>
    <row r="336" spans="1:5" x14ac:dyDescent="0.3">
      <c r="A336" s="1">
        <v>31747</v>
      </c>
      <c r="B336">
        <v>249.05000305175699</v>
      </c>
      <c r="C336">
        <v>1617.80004882812</v>
      </c>
      <c r="D336">
        <v>1385.5</v>
      </c>
      <c r="E336">
        <v>3037.3671875</v>
      </c>
    </row>
    <row r="337" spans="1:5" x14ac:dyDescent="0.3">
      <c r="A337" s="1">
        <v>31748</v>
      </c>
      <c r="B337">
        <v>254</v>
      </c>
      <c r="C337">
        <v>1625.5</v>
      </c>
      <c r="D337">
        <v>1376.80004882812</v>
      </c>
      <c r="E337">
        <v>3052.72778320312</v>
      </c>
    </row>
    <row r="338" spans="1:5" x14ac:dyDescent="0.3">
      <c r="A338" s="1">
        <v>31749</v>
      </c>
      <c r="B338">
        <v>253.850006103515</v>
      </c>
      <c r="C338">
        <v>1615.09997558593</v>
      </c>
      <c r="D338">
        <v>1390.5</v>
      </c>
      <c r="E338">
        <v>3063.001953125</v>
      </c>
    </row>
    <row r="339" spans="1:5" x14ac:dyDescent="0.3">
      <c r="A339" s="1">
        <v>31750</v>
      </c>
      <c r="B339">
        <v>253.03999328613199</v>
      </c>
      <c r="C339">
        <v>1610.09997558593</v>
      </c>
      <c r="D339">
        <v>1411.09997558593</v>
      </c>
      <c r="E339">
        <v>3064.79736328125</v>
      </c>
    </row>
    <row r="340" spans="1:5" x14ac:dyDescent="0.3">
      <c r="A340" s="1">
        <v>31751</v>
      </c>
      <c r="B340">
        <v>251.169998168945</v>
      </c>
      <c r="C340">
        <v>1613.5</v>
      </c>
      <c r="D340">
        <v>1420.30004882812</v>
      </c>
      <c r="E340">
        <v>3059.3115234375</v>
      </c>
    </row>
    <row r="341" spans="1:5" x14ac:dyDescent="0.3">
      <c r="A341" s="1">
        <v>31752</v>
      </c>
      <c r="B341" t="e">
        <v>#N/A</v>
      </c>
      <c r="C341" t="e">
        <v>#N/A</v>
      </c>
      <c r="D341" t="e">
        <v>#N/A</v>
      </c>
      <c r="E341" t="e">
        <v>#N/A</v>
      </c>
    </row>
    <row r="342" spans="1:5" x14ac:dyDescent="0.3">
      <c r="A342" s="1">
        <v>31753</v>
      </c>
      <c r="B342" t="e">
        <v>#N/A</v>
      </c>
      <c r="C342" t="e">
        <v>#N/A</v>
      </c>
      <c r="D342" t="e">
        <v>#N/A</v>
      </c>
      <c r="E342" t="e">
        <v>#N/A</v>
      </c>
    </row>
    <row r="343" spans="1:5" x14ac:dyDescent="0.3">
      <c r="A343" s="1">
        <v>31754</v>
      </c>
      <c r="B343">
        <v>251.16000366210901</v>
      </c>
      <c r="C343">
        <v>1623.40002441406</v>
      </c>
      <c r="D343">
        <v>1427.69995117187</v>
      </c>
      <c r="E343">
        <v>3045.04760742187</v>
      </c>
    </row>
    <row r="344" spans="1:5" x14ac:dyDescent="0.3">
      <c r="A344" s="1">
        <v>31755</v>
      </c>
      <c r="B344">
        <v>249.27999877929599</v>
      </c>
      <c r="C344">
        <v>1635.90002441406</v>
      </c>
      <c r="D344">
        <v>1440.30004882812</v>
      </c>
      <c r="E344">
        <v>3030.28540039062</v>
      </c>
    </row>
    <row r="345" spans="1:5" x14ac:dyDescent="0.3">
      <c r="A345" s="1">
        <v>31756</v>
      </c>
      <c r="B345">
        <v>250.96000671386699</v>
      </c>
      <c r="C345">
        <v>1634.59997558593</v>
      </c>
      <c r="D345">
        <v>1431</v>
      </c>
      <c r="E345">
        <v>3035.27221679687</v>
      </c>
    </row>
    <row r="346" spans="1:5" x14ac:dyDescent="0.3">
      <c r="A346" s="1">
        <v>31757</v>
      </c>
      <c r="B346">
        <v>248.169998168945</v>
      </c>
      <c r="C346">
        <v>1634</v>
      </c>
      <c r="D346">
        <v>1437.40002441406</v>
      </c>
      <c r="E346">
        <v>3027.19311523437</v>
      </c>
    </row>
    <row r="347" spans="1:5" x14ac:dyDescent="0.3">
      <c r="A347" s="1">
        <v>31758</v>
      </c>
      <c r="B347">
        <v>247.350006103515</v>
      </c>
      <c r="C347">
        <v>1629.80004882812</v>
      </c>
      <c r="D347">
        <v>1437.69995117187</v>
      </c>
      <c r="E347">
        <v>3033.87622070312</v>
      </c>
    </row>
    <row r="348" spans="1:5" x14ac:dyDescent="0.3">
      <c r="A348" s="1">
        <v>31759</v>
      </c>
      <c r="B348" t="e">
        <v>#N/A</v>
      </c>
      <c r="C348" t="e">
        <v>#N/A</v>
      </c>
      <c r="D348" t="e">
        <v>#N/A</v>
      </c>
      <c r="E348" t="e">
        <v>#N/A</v>
      </c>
    </row>
    <row r="349" spans="1:5" x14ac:dyDescent="0.3">
      <c r="A349" s="1">
        <v>31760</v>
      </c>
      <c r="B349" t="e">
        <v>#N/A</v>
      </c>
      <c r="C349" t="e">
        <v>#N/A</v>
      </c>
      <c r="D349" t="e">
        <v>#N/A</v>
      </c>
      <c r="E349" t="e">
        <v>#N/A</v>
      </c>
    </row>
    <row r="350" spans="1:5" x14ac:dyDescent="0.3">
      <c r="A350" s="1">
        <v>31761</v>
      </c>
      <c r="B350">
        <v>248.21000671386699</v>
      </c>
      <c r="C350">
        <v>1637</v>
      </c>
      <c r="D350">
        <v>1437.30004882812</v>
      </c>
      <c r="E350">
        <v>3023.302734375</v>
      </c>
    </row>
    <row r="351" spans="1:5" x14ac:dyDescent="0.3">
      <c r="A351" s="1">
        <v>31762</v>
      </c>
      <c r="B351">
        <v>250.03999328613199</v>
      </c>
      <c r="C351">
        <v>1637.90002441406</v>
      </c>
      <c r="D351">
        <v>1446.69995117187</v>
      </c>
      <c r="E351">
        <v>3022.90380859375</v>
      </c>
    </row>
    <row r="352" spans="1:5" x14ac:dyDescent="0.3">
      <c r="A352" s="1">
        <v>31763</v>
      </c>
      <c r="B352">
        <v>247.55999755859301</v>
      </c>
      <c r="C352">
        <v>1636.30004882812</v>
      </c>
      <c r="D352">
        <v>1453.80004882812</v>
      </c>
      <c r="E352">
        <v>3020.70922851562</v>
      </c>
    </row>
    <row r="353" spans="1:5" x14ac:dyDescent="0.3">
      <c r="A353" s="1">
        <v>31764</v>
      </c>
      <c r="B353">
        <v>246.77999877929599</v>
      </c>
      <c r="C353">
        <v>1630.59997558593</v>
      </c>
      <c r="D353">
        <v>1453.5</v>
      </c>
      <c r="E353">
        <v>3020.01123046875</v>
      </c>
    </row>
    <row r="354" spans="1:5" x14ac:dyDescent="0.3">
      <c r="A354" s="1">
        <v>31765</v>
      </c>
      <c r="B354">
        <v>249.72999572753901</v>
      </c>
      <c r="C354">
        <v>1632.19995117187</v>
      </c>
      <c r="D354">
        <v>1455.90002441406</v>
      </c>
      <c r="E354">
        <v>3040.75854492187</v>
      </c>
    </row>
    <row r="355" spans="1:5" x14ac:dyDescent="0.3">
      <c r="A355" s="1">
        <v>31766</v>
      </c>
      <c r="B355" t="e">
        <v>#N/A</v>
      </c>
      <c r="C355" t="e">
        <v>#N/A</v>
      </c>
      <c r="D355" t="e">
        <v>#N/A</v>
      </c>
      <c r="E355" t="e">
        <v>#N/A</v>
      </c>
    </row>
    <row r="356" spans="1:5" x14ac:dyDescent="0.3">
      <c r="A356" s="1">
        <v>31767</v>
      </c>
      <c r="B356" t="e">
        <v>#N/A</v>
      </c>
      <c r="C356" t="e">
        <v>#N/A</v>
      </c>
      <c r="D356" t="e">
        <v>#N/A</v>
      </c>
      <c r="E356" t="e">
        <v>#N/A</v>
      </c>
    </row>
    <row r="357" spans="1:5" x14ac:dyDescent="0.3">
      <c r="A357" s="1">
        <v>31768</v>
      </c>
      <c r="B357">
        <v>248.75</v>
      </c>
      <c r="C357">
        <v>1652.19995117187</v>
      </c>
      <c r="D357">
        <v>1460.69995117187</v>
      </c>
      <c r="E357">
        <v>3036.86840820312</v>
      </c>
    </row>
    <row r="358" spans="1:5" x14ac:dyDescent="0.3">
      <c r="A358" s="1">
        <v>31769</v>
      </c>
      <c r="B358">
        <v>246.33999633789</v>
      </c>
      <c r="C358">
        <v>1660.90002441406</v>
      </c>
      <c r="D358">
        <v>1464</v>
      </c>
      <c r="E358">
        <v>3034.07543945312</v>
      </c>
    </row>
    <row r="359" spans="1:5" x14ac:dyDescent="0.3">
      <c r="A359" s="1">
        <v>31770</v>
      </c>
      <c r="B359">
        <v>246.75</v>
      </c>
      <c r="C359">
        <v>1665.09997558593</v>
      </c>
      <c r="D359">
        <v>1462.30004882812</v>
      </c>
      <c r="E359">
        <v>3038.962890625</v>
      </c>
    </row>
    <row r="360" spans="1:5" x14ac:dyDescent="0.3">
      <c r="A360" s="1">
        <v>31771</v>
      </c>
      <c r="B360" t="e">
        <v>#N/A</v>
      </c>
      <c r="C360" t="e">
        <v>#N/A</v>
      </c>
      <c r="D360" t="e">
        <v>#N/A</v>
      </c>
      <c r="E360" t="e">
        <v>#N/A</v>
      </c>
    </row>
    <row r="361" spans="1:5" x14ac:dyDescent="0.3">
      <c r="A361" s="1">
        <v>31772</v>
      </c>
      <c r="B361">
        <v>246.919998168945</v>
      </c>
      <c r="C361" t="e">
        <v>#N/A</v>
      </c>
      <c r="D361" t="e">
        <v>#N/A</v>
      </c>
      <c r="E361" t="e">
        <v>#N/A</v>
      </c>
    </row>
    <row r="362" spans="1:5" x14ac:dyDescent="0.3">
      <c r="A362" s="1">
        <v>31773</v>
      </c>
      <c r="B362" t="e">
        <v>#N/A</v>
      </c>
      <c r="C362" t="e">
        <v>#N/A</v>
      </c>
      <c r="D362" t="e">
        <v>#N/A</v>
      </c>
      <c r="E362" t="e">
        <v>#N/A</v>
      </c>
    </row>
    <row r="363" spans="1:5" x14ac:dyDescent="0.3">
      <c r="A363" s="1">
        <v>31774</v>
      </c>
      <c r="B363" t="e">
        <v>#N/A</v>
      </c>
      <c r="C363" t="e">
        <v>#N/A</v>
      </c>
      <c r="D363" t="e">
        <v>#N/A</v>
      </c>
      <c r="E363" t="e">
        <v>#N/A</v>
      </c>
    </row>
    <row r="364" spans="1:5" x14ac:dyDescent="0.3">
      <c r="A364" s="1">
        <v>31775</v>
      </c>
      <c r="B364">
        <v>244.669998168945</v>
      </c>
      <c r="C364">
        <v>1671.59997558593</v>
      </c>
      <c r="D364">
        <v>1467.40002441406</v>
      </c>
      <c r="E364">
        <v>3037.3671875</v>
      </c>
    </row>
    <row r="365" spans="1:5" x14ac:dyDescent="0.3">
      <c r="A365" s="1">
        <v>31776</v>
      </c>
      <c r="B365">
        <v>243.36999511718699</v>
      </c>
      <c r="C365">
        <v>1673.09997558593</v>
      </c>
      <c r="D365">
        <v>1470.5</v>
      </c>
      <c r="E365">
        <v>3042.75317382812</v>
      </c>
    </row>
    <row r="366" spans="1:5" x14ac:dyDescent="0.3">
      <c r="A366" s="1">
        <v>31777</v>
      </c>
      <c r="B366">
        <v>242.169998168945</v>
      </c>
      <c r="C366">
        <v>1679</v>
      </c>
      <c r="D366">
        <v>1473.09997558593</v>
      </c>
      <c r="E366">
        <v>3058.41333007812</v>
      </c>
    </row>
    <row r="367" spans="1:5" x14ac:dyDescent="0.3">
      <c r="A367" s="1">
        <v>31778</v>
      </c>
      <c r="B367" t="e">
        <v>#N/A</v>
      </c>
      <c r="C367" t="e">
        <v>#N/A</v>
      </c>
      <c r="D367" t="e">
        <v>#N/A</v>
      </c>
      <c r="E367" t="e">
        <v>#N/A</v>
      </c>
    </row>
    <row r="368" spans="1:5" x14ac:dyDescent="0.3">
      <c r="A368" s="1">
        <v>31779</v>
      </c>
      <c r="B368">
        <v>246.44999694824199</v>
      </c>
      <c r="C368">
        <v>1681.09997558593</v>
      </c>
      <c r="D368">
        <v>1486.90002441406</v>
      </c>
      <c r="E368">
        <v>3060.00952148437</v>
      </c>
    </row>
    <row r="369" spans="1:5" x14ac:dyDescent="0.3">
      <c r="A369" s="1">
        <v>31780</v>
      </c>
      <c r="B369" t="e">
        <v>#N/A</v>
      </c>
      <c r="C369" t="e">
        <v>#N/A</v>
      </c>
      <c r="D369" t="e">
        <v>#N/A</v>
      </c>
      <c r="E369" t="e">
        <v>#N/A</v>
      </c>
    </row>
    <row r="370" spans="1:5" x14ac:dyDescent="0.3">
      <c r="A370" s="1">
        <v>31781</v>
      </c>
      <c r="B370" t="e">
        <v>#N/A</v>
      </c>
      <c r="C370" t="e">
        <v>#N/A</v>
      </c>
      <c r="D370" t="e">
        <v>#N/A</v>
      </c>
      <c r="E370" t="e">
        <v>#N/A</v>
      </c>
    </row>
    <row r="371" spans="1:5" x14ac:dyDescent="0.3">
      <c r="A371" s="1">
        <v>31782</v>
      </c>
      <c r="B371">
        <v>252.19000244140599</v>
      </c>
      <c r="C371">
        <v>1680</v>
      </c>
      <c r="D371">
        <v>1503.09997558593</v>
      </c>
      <c r="E371">
        <v>3089.83325195312</v>
      </c>
    </row>
    <row r="372" spans="1:5" x14ac:dyDescent="0.3">
      <c r="A372" s="1">
        <v>31783</v>
      </c>
      <c r="B372">
        <v>252.77999877929599</v>
      </c>
      <c r="C372">
        <v>1690.69995117187</v>
      </c>
      <c r="D372">
        <v>1523.09997558593</v>
      </c>
      <c r="E372">
        <v>3115.66772460937</v>
      </c>
    </row>
    <row r="373" spans="1:5" x14ac:dyDescent="0.3">
      <c r="A373" s="1">
        <v>31784</v>
      </c>
      <c r="B373">
        <v>255.33000183105401</v>
      </c>
      <c r="C373">
        <v>1722.19995117187</v>
      </c>
      <c r="D373">
        <v>1534.09997558593</v>
      </c>
      <c r="E373">
        <v>3146.98803710937</v>
      </c>
    </row>
    <row r="374" spans="1:5" x14ac:dyDescent="0.3">
      <c r="A374" s="1">
        <v>31785</v>
      </c>
      <c r="B374">
        <v>257.27999877929602</v>
      </c>
      <c r="C374">
        <v>1733.09997558593</v>
      </c>
      <c r="D374">
        <v>1529.59997558593</v>
      </c>
      <c r="E374">
        <v>3170.42822265625</v>
      </c>
    </row>
    <row r="375" spans="1:5" x14ac:dyDescent="0.3">
      <c r="A375" s="1">
        <v>31786</v>
      </c>
      <c r="B375">
        <v>258.73001098632801</v>
      </c>
      <c r="C375">
        <v>1752.30004882812</v>
      </c>
      <c r="D375">
        <v>1535.59997558593</v>
      </c>
      <c r="E375">
        <v>3200.6513671875</v>
      </c>
    </row>
    <row r="376" spans="1:5" x14ac:dyDescent="0.3">
      <c r="A376" s="1">
        <v>31787</v>
      </c>
      <c r="B376" t="e">
        <v>#N/A</v>
      </c>
      <c r="C376" t="e">
        <v>#N/A</v>
      </c>
      <c r="D376" t="e">
        <v>#N/A</v>
      </c>
      <c r="E376" t="e">
        <v>#N/A</v>
      </c>
    </row>
    <row r="377" spans="1:5" x14ac:dyDescent="0.3">
      <c r="A377" s="1">
        <v>31788</v>
      </c>
      <c r="B377" t="e">
        <v>#N/A</v>
      </c>
      <c r="C377" t="e">
        <v>#N/A</v>
      </c>
      <c r="D377" t="e">
        <v>#N/A</v>
      </c>
      <c r="E377" t="e">
        <v>#N/A</v>
      </c>
    </row>
    <row r="378" spans="1:5" x14ac:dyDescent="0.3">
      <c r="A378" s="1">
        <v>31789</v>
      </c>
      <c r="B378">
        <v>260.29998779296801</v>
      </c>
      <c r="C378">
        <v>1755.59997558593</v>
      </c>
      <c r="D378">
        <v>1549.69995117187</v>
      </c>
      <c r="E378">
        <v>3235.46264648437</v>
      </c>
    </row>
    <row r="379" spans="1:5" x14ac:dyDescent="0.3">
      <c r="A379" s="1">
        <v>31790</v>
      </c>
      <c r="B379">
        <v>259.95001220703102</v>
      </c>
      <c r="C379">
        <v>1763.30004882812</v>
      </c>
      <c r="D379">
        <v>1553.59997558593</v>
      </c>
      <c r="E379">
        <v>3245.73681640625</v>
      </c>
    </row>
    <row r="380" spans="1:5" x14ac:dyDescent="0.3">
      <c r="A380" s="1">
        <v>31791</v>
      </c>
      <c r="B380">
        <v>262.64001464843699</v>
      </c>
      <c r="C380">
        <v>1765.19995117187</v>
      </c>
      <c r="D380">
        <v>1526</v>
      </c>
      <c r="E380">
        <v>3258.50390625</v>
      </c>
    </row>
    <row r="381" spans="1:5" x14ac:dyDescent="0.3">
      <c r="A381" s="1">
        <v>31792</v>
      </c>
      <c r="B381">
        <v>265.489990234375</v>
      </c>
      <c r="C381">
        <v>1789</v>
      </c>
      <c r="D381">
        <v>1540.19995117187</v>
      </c>
      <c r="E381">
        <v>3274.56298828125</v>
      </c>
    </row>
    <row r="382" spans="1:5" x14ac:dyDescent="0.3">
      <c r="A382" s="1">
        <v>31793</v>
      </c>
      <c r="B382">
        <v>266.27999877929602</v>
      </c>
      <c r="C382">
        <v>1789</v>
      </c>
      <c r="D382">
        <v>1531.69995117187</v>
      </c>
      <c r="E382">
        <v>3263.59106445312</v>
      </c>
    </row>
    <row r="383" spans="1:5" x14ac:dyDescent="0.3">
      <c r="A383" s="1">
        <v>31794</v>
      </c>
      <c r="B383" t="e">
        <v>#N/A</v>
      </c>
      <c r="C383" t="e">
        <v>#N/A</v>
      </c>
      <c r="D383" t="e">
        <v>#N/A</v>
      </c>
      <c r="E383" t="e">
        <v>#N/A</v>
      </c>
    </row>
    <row r="384" spans="1:5" x14ac:dyDescent="0.3">
      <c r="A384" s="1">
        <v>31795</v>
      </c>
      <c r="B384" t="e">
        <v>#N/A</v>
      </c>
      <c r="C384" t="e">
        <v>#N/A</v>
      </c>
      <c r="D384" t="e">
        <v>#N/A</v>
      </c>
      <c r="E384" t="e">
        <v>#N/A</v>
      </c>
    </row>
    <row r="385" spans="1:5" x14ac:dyDescent="0.3">
      <c r="A385" s="1">
        <v>31796</v>
      </c>
      <c r="B385">
        <v>269.33999633789</v>
      </c>
      <c r="C385">
        <v>1778.40002441406</v>
      </c>
      <c r="D385">
        <v>1528.5</v>
      </c>
      <c r="E385">
        <v>3266.38403320312</v>
      </c>
    </row>
    <row r="386" spans="1:5" x14ac:dyDescent="0.3">
      <c r="A386" s="1">
        <v>31797</v>
      </c>
      <c r="B386">
        <v>269.04000854492102</v>
      </c>
      <c r="C386">
        <v>1778.90002441406</v>
      </c>
      <c r="D386">
        <v>1534.09997558593</v>
      </c>
      <c r="E386">
        <v>3243.04345703125</v>
      </c>
    </row>
    <row r="387" spans="1:5" x14ac:dyDescent="0.3">
      <c r="A387" s="1">
        <v>31798</v>
      </c>
      <c r="B387">
        <v>267.83999633789</v>
      </c>
      <c r="C387">
        <v>1761.59997558593</v>
      </c>
      <c r="D387">
        <v>1528.19995117187</v>
      </c>
      <c r="E387">
        <v>3238.15576171875</v>
      </c>
    </row>
    <row r="388" spans="1:5" x14ac:dyDescent="0.3">
      <c r="A388" s="1">
        <v>31799</v>
      </c>
      <c r="B388">
        <v>273.91000366210898</v>
      </c>
      <c r="C388">
        <v>1777.5</v>
      </c>
      <c r="D388">
        <v>1534.69995117187</v>
      </c>
      <c r="E388">
        <v>3290.72192382812</v>
      </c>
    </row>
    <row r="389" spans="1:5" x14ac:dyDescent="0.3">
      <c r="A389" s="1">
        <v>31800</v>
      </c>
      <c r="B389">
        <v>270.100006103515</v>
      </c>
      <c r="C389">
        <v>1795.30004882812</v>
      </c>
      <c r="D389">
        <v>1539.59997558593</v>
      </c>
      <c r="E389">
        <v>3296.60717773437</v>
      </c>
    </row>
    <row r="390" spans="1:5" x14ac:dyDescent="0.3">
      <c r="A390" s="1">
        <v>31801</v>
      </c>
      <c r="B390" t="e">
        <v>#N/A</v>
      </c>
      <c r="C390" t="e">
        <v>#N/A</v>
      </c>
      <c r="D390" t="e">
        <v>#N/A</v>
      </c>
      <c r="E390" t="e">
        <v>#N/A</v>
      </c>
    </row>
    <row r="391" spans="1:5" x14ac:dyDescent="0.3">
      <c r="A391" s="1">
        <v>31802</v>
      </c>
      <c r="B391" t="e">
        <v>#N/A</v>
      </c>
      <c r="C391" t="e">
        <v>#N/A</v>
      </c>
      <c r="D391" t="e">
        <v>#N/A</v>
      </c>
      <c r="E391" t="e">
        <v>#N/A</v>
      </c>
    </row>
    <row r="392" spans="1:5" x14ac:dyDescent="0.3">
      <c r="A392" s="1">
        <v>31803</v>
      </c>
      <c r="B392">
        <v>269.60998535156199</v>
      </c>
      <c r="C392">
        <v>1781.80004882812</v>
      </c>
      <c r="D392" t="e">
        <v>#N/A</v>
      </c>
      <c r="E392">
        <v>3289.22607421875</v>
      </c>
    </row>
    <row r="393" spans="1:5" x14ac:dyDescent="0.3">
      <c r="A393" s="1">
        <v>31804</v>
      </c>
      <c r="B393">
        <v>273.75</v>
      </c>
      <c r="C393">
        <v>1814.40002441406</v>
      </c>
      <c r="D393">
        <v>1533.5</v>
      </c>
      <c r="E393">
        <v>3331.41821289062</v>
      </c>
    </row>
    <row r="394" spans="1:5" x14ac:dyDescent="0.3">
      <c r="A394" s="1">
        <v>31805</v>
      </c>
      <c r="B394">
        <v>275.39999389648398</v>
      </c>
      <c r="C394">
        <v>1812.09997558593</v>
      </c>
      <c r="D394">
        <v>1527.5</v>
      </c>
      <c r="E394">
        <v>3345.78198242187</v>
      </c>
    </row>
    <row r="395" spans="1:5" x14ac:dyDescent="0.3">
      <c r="A395" s="1">
        <v>31806</v>
      </c>
      <c r="B395">
        <v>274.239990234375</v>
      </c>
      <c r="C395">
        <v>1798.09997558593</v>
      </c>
      <c r="D395">
        <v>1513.90002441406</v>
      </c>
      <c r="E395">
        <v>3342.19091796875</v>
      </c>
    </row>
    <row r="396" spans="1:5" x14ac:dyDescent="0.3">
      <c r="A396" s="1">
        <v>31807</v>
      </c>
      <c r="B396">
        <v>274.079986572265</v>
      </c>
      <c r="C396">
        <v>1808.30004882812</v>
      </c>
      <c r="D396">
        <v>1496.30004882812</v>
      </c>
      <c r="E396">
        <v>3340.39526367187</v>
      </c>
    </row>
    <row r="397" spans="1:5" x14ac:dyDescent="0.3">
      <c r="A397" s="1">
        <v>31808</v>
      </c>
      <c r="B397" t="e">
        <v>#N/A</v>
      </c>
      <c r="C397" t="e">
        <v>#N/A</v>
      </c>
      <c r="D397" t="e">
        <v>#N/A</v>
      </c>
      <c r="E397" t="e">
        <v>#N/A</v>
      </c>
    </row>
    <row r="398" spans="1:5" x14ac:dyDescent="0.3">
      <c r="A398" s="1">
        <v>31809</v>
      </c>
      <c r="B398" t="e">
        <v>#N/A</v>
      </c>
      <c r="C398" t="e">
        <v>#N/A</v>
      </c>
      <c r="D398" t="e">
        <v>#N/A</v>
      </c>
      <c r="E398" t="e">
        <v>#N/A</v>
      </c>
    </row>
    <row r="399" spans="1:5" x14ac:dyDescent="0.3">
      <c r="A399" s="1">
        <v>31810</v>
      </c>
      <c r="B399">
        <v>276.45001220703102</v>
      </c>
      <c r="C399">
        <v>1832.80004882812</v>
      </c>
      <c r="D399">
        <v>1486.69995117187</v>
      </c>
      <c r="E399">
        <v>3370.11987304687</v>
      </c>
    </row>
    <row r="400" spans="1:5" x14ac:dyDescent="0.3">
      <c r="A400" s="1">
        <v>31811</v>
      </c>
      <c r="B400">
        <v>275.989990234375</v>
      </c>
      <c r="C400">
        <v>1828.59997558593</v>
      </c>
      <c r="D400">
        <v>1502.5</v>
      </c>
      <c r="E400">
        <v>3391.66528320312</v>
      </c>
    </row>
    <row r="401" spans="1:5" x14ac:dyDescent="0.3">
      <c r="A401" s="1">
        <v>31812</v>
      </c>
      <c r="B401">
        <v>279.64001464843699</v>
      </c>
      <c r="C401">
        <v>1846.69995117187</v>
      </c>
      <c r="D401">
        <v>1512.90002441406</v>
      </c>
      <c r="E401">
        <v>3439.34399414062</v>
      </c>
    </row>
    <row r="402" spans="1:5" x14ac:dyDescent="0.3">
      <c r="A402" s="1">
        <v>31813</v>
      </c>
      <c r="B402">
        <v>281.16000366210898</v>
      </c>
      <c r="C402">
        <v>1866.09997558593</v>
      </c>
      <c r="D402">
        <v>1533.40002441406</v>
      </c>
      <c r="E402">
        <v>3506.27319335937</v>
      </c>
    </row>
    <row r="403" spans="1:5" x14ac:dyDescent="0.3">
      <c r="A403" s="1">
        <v>31814</v>
      </c>
      <c r="B403">
        <v>280.04000854492102</v>
      </c>
      <c r="C403">
        <v>1898.40002441406</v>
      </c>
      <c r="D403">
        <v>1539.19995117187</v>
      </c>
      <c r="E403">
        <v>3516.24780273437</v>
      </c>
    </row>
    <row r="404" spans="1:5" x14ac:dyDescent="0.3">
      <c r="A404" s="1">
        <v>31815</v>
      </c>
      <c r="B404" t="e">
        <v>#N/A</v>
      </c>
      <c r="C404" t="e">
        <v>#N/A</v>
      </c>
      <c r="D404" t="e">
        <v>#N/A</v>
      </c>
      <c r="E404" t="e">
        <v>#N/A</v>
      </c>
    </row>
    <row r="405" spans="1:5" x14ac:dyDescent="0.3">
      <c r="A405" s="1">
        <v>31816</v>
      </c>
      <c r="B405" t="e">
        <v>#N/A</v>
      </c>
      <c r="C405" t="e">
        <v>#N/A</v>
      </c>
      <c r="D405" t="e">
        <v>#N/A</v>
      </c>
      <c r="E405" t="e">
        <v>#N/A</v>
      </c>
    </row>
    <row r="406" spans="1:5" x14ac:dyDescent="0.3">
      <c r="A406" s="1">
        <v>31817</v>
      </c>
      <c r="B406">
        <v>278.16000366210898</v>
      </c>
      <c r="C406">
        <v>1910.69995117187</v>
      </c>
      <c r="D406">
        <v>1554.69995117187</v>
      </c>
      <c r="E406">
        <v>3502.98168945312</v>
      </c>
    </row>
    <row r="407" spans="1:5" x14ac:dyDescent="0.3">
      <c r="A407" s="1">
        <v>31818</v>
      </c>
      <c r="B407">
        <v>275.07000732421801</v>
      </c>
      <c r="C407">
        <v>1874.90002441406</v>
      </c>
      <c r="D407">
        <v>1553.69995117187</v>
      </c>
      <c r="E407">
        <v>3456.89868164062</v>
      </c>
    </row>
    <row r="408" spans="1:5" x14ac:dyDescent="0.3">
      <c r="A408" s="1">
        <v>31819</v>
      </c>
      <c r="B408">
        <v>277.54000854492102</v>
      </c>
      <c r="C408">
        <v>1895.80004882812</v>
      </c>
      <c r="D408">
        <v>1559.90002441406</v>
      </c>
      <c r="E408">
        <v>3476.84790039062</v>
      </c>
    </row>
    <row r="409" spans="1:5" x14ac:dyDescent="0.3">
      <c r="A409" s="1">
        <v>31820</v>
      </c>
      <c r="B409">
        <v>275.61999511718699</v>
      </c>
      <c r="C409">
        <v>1878.59997558593</v>
      </c>
      <c r="D409">
        <v>1574.80004882812</v>
      </c>
      <c r="E409">
        <v>3493.80493164062</v>
      </c>
    </row>
    <row r="410" spans="1:5" x14ac:dyDescent="0.3">
      <c r="A410" s="1">
        <v>31821</v>
      </c>
      <c r="B410">
        <v>279.70001220703102</v>
      </c>
      <c r="C410">
        <v>1898.09997558593</v>
      </c>
      <c r="D410">
        <v>1575.80004882812</v>
      </c>
      <c r="E410">
        <v>3514.45239257812</v>
      </c>
    </row>
    <row r="411" spans="1:5" x14ac:dyDescent="0.3">
      <c r="A411" s="1">
        <v>31822</v>
      </c>
      <c r="B411" t="e">
        <v>#N/A</v>
      </c>
      <c r="C411" t="e">
        <v>#N/A</v>
      </c>
      <c r="D411" t="e">
        <v>#N/A</v>
      </c>
      <c r="E411" t="e">
        <v>#N/A</v>
      </c>
    </row>
    <row r="412" spans="1:5" x14ac:dyDescent="0.3">
      <c r="A412" s="1">
        <v>31823</v>
      </c>
      <c r="B412" t="e">
        <v>#N/A</v>
      </c>
      <c r="C412" t="e">
        <v>#N/A</v>
      </c>
      <c r="D412" t="e">
        <v>#N/A</v>
      </c>
      <c r="E412" t="e">
        <v>#N/A</v>
      </c>
    </row>
    <row r="413" spans="1:5" x14ac:dyDescent="0.3">
      <c r="A413" s="1">
        <v>31824</v>
      </c>
      <c r="B413" t="e">
        <v>#N/A</v>
      </c>
      <c r="C413">
        <v>1925.80004882812</v>
      </c>
      <c r="D413">
        <v>1573.90002441406</v>
      </c>
      <c r="E413">
        <v>3522.033203125</v>
      </c>
    </row>
    <row r="414" spans="1:5" x14ac:dyDescent="0.3">
      <c r="A414" s="1">
        <v>31825</v>
      </c>
      <c r="B414">
        <v>285.489990234375</v>
      </c>
      <c r="C414">
        <v>1942</v>
      </c>
      <c r="D414">
        <v>1573.19995117187</v>
      </c>
      <c r="E414">
        <v>3550.85961914062</v>
      </c>
    </row>
    <row r="415" spans="1:5" x14ac:dyDescent="0.3">
      <c r="A415" s="1">
        <v>31826</v>
      </c>
      <c r="B415">
        <v>285.42001342773398</v>
      </c>
      <c r="C415">
        <v>1952</v>
      </c>
      <c r="D415">
        <v>1578.69995117187</v>
      </c>
      <c r="E415">
        <v>3550.95947265625</v>
      </c>
    </row>
    <row r="416" spans="1:5" x14ac:dyDescent="0.3">
      <c r="A416" s="1">
        <v>31827</v>
      </c>
      <c r="B416">
        <v>285.57000732421801</v>
      </c>
      <c r="C416">
        <v>1930.09997558593</v>
      </c>
      <c r="D416">
        <v>1589.59997558593</v>
      </c>
      <c r="E416">
        <v>3553.55297851562</v>
      </c>
    </row>
    <row r="417" spans="1:5" x14ac:dyDescent="0.3">
      <c r="A417" s="1">
        <v>31828</v>
      </c>
      <c r="B417">
        <v>285.48001098632801</v>
      </c>
      <c r="C417">
        <v>1961.5</v>
      </c>
      <c r="D417">
        <v>1605.30004882812</v>
      </c>
      <c r="E417">
        <v>3532.80590820312</v>
      </c>
    </row>
    <row r="418" spans="1:5" x14ac:dyDescent="0.3">
      <c r="A418" s="1">
        <v>31829</v>
      </c>
      <c r="B418" t="e">
        <v>#N/A</v>
      </c>
      <c r="C418" t="e">
        <v>#N/A</v>
      </c>
      <c r="D418" t="e">
        <v>#N/A</v>
      </c>
      <c r="E418" t="e">
        <v>#N/A</v>
      </c>
    </row>
    <row r="419" spans="1:5" x14ac:dyDescent="0.3">
      <c r="A419" s="1">
        <v>31830</v>
      </c>
      <c r="B419" t="e">
        <v>#N/A</v>
      </c>
      <c r="C419" t="e">
        <v>#N/A</v>
      </c>
      <c r="D419" t="e">
        <v>#N/A</v>
      </c>
      <c r="E419" t="e">
        <v>#N/A</v>
      </c>
    </row>
    <row r="420" spans="1:5" x14ac:dyDescent="0.3">
      <c r="A420" s="1">
        <v>31831</v>
      </c>
      <c r="B420">
        <v>282.38000488281199</v>
      </c>
      <c r="C420">
        <v>1939.69995117187</v>
      </c>
      <c r="D420">
        <v>1606.30004882812</v>
      </c>
      <c r="E420">
        <v>3478.94287109375</v>
      </c>
    </row>
    <row r="421" spans="1:5" x14ac:dyDescent="0.3">
      <c r="A421" s="1">
        <v>31832</v>
      </c>
      <c r="B421">
        <v>282.88000488281199</v>
      </c>
      <c r="C421">
        <v>1946.80004882812</v>
      </c>
      <c r="D421">
        <v>1597.90002441406</v>
      </c>
      <c r="E421">
        <v>3478.24462890625</v>
      </c>
    </row>
    <row r="422" spans="1:5" x14ac:dyDescent="0.3">
      <c r="A422" s="1">
        <v>31833</v>
      </c>
      <c r="B422">
        <v>284</v>
      </c>
      <c r="C422">
        <v>1973.09997558593</v>
      </c>
      <c r="D422">
        <v>1584</v>
      </c>
      <c r="E422">
        <v>3465.77661132812</v>
      </c>
    </row>
    <row r="423" spans="1:5" x14ac:dyDescent="0.3">
      <c r="A423" s="1">
        <v>31834</v>
      </c>
      <c r="B423">
        <v>282.95999145507801</v>
      </c>
      <c r="C423">
        <v>1980.19995117187</v>
      </c>
      <c r="D423">
        <v>1593</v>
      </c>
      <c r="E423">
        <v>3469.3671875</v>
      </c>
    </row>
    <row r="424" spans="1:5" x14ac:dyDescent="0.3">
      <c r="A424" s="1">
        <v>31835</v>
      </c>
      <c r="B424">
        <v>284.20001220703102</v>
      </c>
      <c r="C424">
        <v>1979.19995117187</v>
      </c>
      <c r="D424">
        <v>1614.09997558593</v>
      </c>
      <c r="E424">
        <v>3490.0146484375</v>
      </c>
    </row>
    <row r="425" spans="1:5" x14ac:dyDescent="0.3">
      <c r="A425" s="1">
        <v>31836</v>
      </c>
      <c r="B425" t="e">
        <v>#N/A</v>
      </c>
      <c r="C425" t="e">
        <v>#N/A</v>
      </c>
      <c r="D425" t="e">
        <v>#N/A</v>
      </c>
      <c r="E425" t="e">
        <v>#N/A</v>
      </c>
    </row>
    <row r="426" spans="1:5" x14ac:dyDescent="0.3">
      <c r="A426" s="1">
        <v>31837</v>
      </c>
      <c r="B426" t="e">
        <v>#N/A</v>
      </c>
      <c r="C426" t="e">
        <v>#N/A</v>
      </c>
      <c r="D426" t="e">
        <v>#N/A</v>
      </c>
      <c r="E426" t="e">
        <v>#N/A</v>
      </c>
    </row>
    <row r="427" spans="1:5" x14ac:dyDescent="0.3">
      <c r="A427" s="1">
        <v>31838</v>
      </c>
      <c r="B427">
        <v>283</v>
      </c>
      <c r="C427">
        <v>1983.09997558593</v>
      </c>
      <c r="D427">
        <v>1622.90002441406</v>
      </c>
      <c r="E427">
        <v>3501.18627929687</v>
      </c>
    </row>
    <row r="428" spans="1:5" x14ac:dyDescent="0.3">
      <c r="A428" s="1">
        <v>31839</v>
      </c>
      <c r="B428">
        <v>284.11999511718699</v>
      </c>
      <c r="C428">
        <v>1998.30004882812</v>
      </c>
      <c r="D428">
        <v>1615.59997558593</v>
      </c>
      <c r="E428">
        <v>3524.2275390625</v>
      </c>
    </row>
    <row r="429" spans="1:5" x14ac:dyDescent="0.3">
      <c r="A429" s="1">
        <v>31840</v>
      </c>
      <c r="B429">
        <v>288.61999511718699</v>
      </c>
      <c r="C429">
        <v>2002.69995117187</v>
      </c>
      <c r="D429">
        <v>1624.30004882812</v>
      </c>
      <c r="E429">
        <v>3584.37426757812</v>
      </c>
    </row>
    <row r="430" spans="1:5" x14ac:dyDescent="0.3">
      <c r="A430" s="1">
        <v>31841</v>
      </c>
      <c r="B430">
        <v>290.51998901367102</v>
      </c>
      <c r="C430">
        <v>2002.80004882812</v>
      </c>
      <c r="D430">
        <v>1636.5</v>
      </c>
      <c r="E430">
        <v>3609.90942382812</v>
      </c>
    </row>
    <row r="431" spans="1:5" x14ac:dyDescent="0.3">
      <c r="A431" s="1">
        <v>31842</v>
      </c>
      <c r="B431">
        <v>290.66000366210898</v>
      </c>
      <c r="C431">
        <v>1998.19995117187</v>
      </c>
      <c r="D431">
        <v>1646.59997558593</v>
      </c>
      <c r="E431">
        <v>3627.86376953125</v>
      </c>
    </row>
    <row r="432" spans="1:5" x14ac:dyDescent="0.3">
      <c r="A432" s="1">
        <v>31843</v>
      </c>
      <c r="B432" t="e">
        <v>#N/A</v>
      </c>
      <c r="C432" t="e">
        <v>#N/A</v>
      </c>
      <c r="D432" t="e">
        <v>#N/A</v>
      </c>
      <c r="E432" t="e">
        <v>#N/A</v>
      </c>
    </row>
    <row r="433" spans="1:5" x14ac:dyDescent="0.3">
      <c r="A433" s="1">
        <v>31844</v>
      </c>
      <c r="B433" t="e">
        <v>#N/A</v>
      </c>
      <c r="C433" t="e">
        <v>#N/A</v>
      </c>
      <c r="D433" t="e">
        <v>#N/A</v>
      </c>
      <c r="E433" t="e">
        <v>#N/A</v>
      </c>
    </row>
    <row r="434" spans="1:5" x14ac:dyDescent="0.3">
      <c r="A434" s="1">
        <v>31845</v>
      </c>
      <c r="B434">
        <v>288.29998779296801</v>
      </c>
      <c r="C434">
        <v>1973.69995117187</v>
      </c>
      <c r="D434">
        <v>1652</v>
      </c>
      <c r="E434">
        <v>3602.22875976562</v>
      </c>
    </row>
    <row r="435" spans="1:5" x14ac:dyDescent="0.3">
      <c r="A435" s="1">
        <v>31846</v>
      </c>
      <c r="B435">
        <v>290.85998535156199</v>
      </c>
      <c r="C435">
        <v>1987.69995117187</v>
      </c>
      <c r="D435">
        <v>1635.30004882812</v>
      </c>
      <c r="E435">
        <v>3604.82250976562</v>
      </c>
    </row>
    <row r="436" spans="1:5" x14ac:dyDescent="0.3">
      <c r="A436" s="1">
        <v>31847</v>
      </c>
      <c r="B436">
        <v>290.30999755859301</v>
      </c>
      <c r="C436">
        <v>1979.40002441406</v>
      </c>
      <c r="D436">
        <v>1634.19995117187</v>
      </c>
      <c r="E436">
        <v>3610.90698242187</v>
      </c>
    </row>
    <row r="437" spans="1:5" x14ac:dyDescent="0.3">
      <c r="A437" s="1">
        <v>31848</v>
      </c>
      <c r="B437">
        <v>291.22000122070301</v>
      </c>
      <c r="C437">
        <v>1989.69995117187</v>
      </c>
      <c r="D437">
        <v>1625.69995117187</v>
      </c>
      <c r="E437">
        <v>3660.77978515625</v>
      </c>
    </row>
    <row r="438" spans="1:5" x14ac:dyDescent="0.3">
      <c r="A438" s="1">
        <v>31849</v>
      </c>
      <c r="B438">
        <v>289.89001464843699</v>
      </c>
      <c r="C438">
        <v>2000</v>
      </c>
      <c r="D438">
        <v>1636.30004882812</v>
      </c>
      <c r="E438">
        <v>3677.73681640625</v>
      </c>
    </row>
    <row r="439" spans="1:5" x14ac:dyDescent="0.3">
      <c r="A439" s="1">
        <v>31850</v>
      </c>
      <c r="B439" t="e">
        <v>#N/A</v>
      </c>
      <c r="C439" t="e">
        <v>#N/A</v>
      </c>
      <c r="D439" t="e">
        <v>#N/A</v>
      </c>
      <c r="E439" t="e">
        <v>#N/A</v>
      </c>
    </row>
    <row r="440" spans="1:5" x14ac:dyDescent="0.3">
      <c r="A440" s="1">
        <v>31851</v>
      </c>
      <c r="B440" t="e">
        <v>#N/A</v>
      </c>
      <c r="C440" t="e">
        <v>#N/A</v>
      </c>
      <c r="D440" t="e">
        <v>#N/A</v>
      </c>
      <c r="E440" t="e">
        <v>#N/A</v>
      </c>
    </row>
    <row r="441" spans="1:5" x14ac:dyDescent="0.3">
      <c r="A441" s="1">
        <v>31852</v>
      </c>
      <c r="B441">
        <v>288.23001098632801</v>
      </c>
      <c r="C441">
        <v>1991.80004882812</v>
      </c>
      <c r="D441">
        <v>1629.09997558593</v>
      </c>
      <c r="E441">
        <v>3663.57275390625</v>
      </c>
    </row>
    <row r="442" spans="1:5" x14ac:dyDescent="0.3">
      <c r="A442" s="1">
        <v>31853</v>
      </c>
      <c r="B442">
        <v>292.47000122070301</v>
      </c>
      <c r="C442">
        <v>2006.30004882812</v>
      </c>
      <c r="D442">
        <v>1629.40002441406</v>
      </c>
      <c r="E442">
        <v>3723.52026367187</v>
      </c>
    </row>
    <row r="443" spans="1:5" x14ac:dyDescent="0.3">
      <c r="A443" s="1">
        <v>31854</v>
      </c>
      <c r="B443">
        <v>292.77999877929602</v>
      </c>
      <c r="C443">
        <v>2006.59997558593</v>
      </c>
      <c r="D443">
        <v>1639.19995117187</v>
      </c>
      <c r="E443">
        <v>3771.29858398437</v>
      </c>
    </row>
    <row r="444" spans="1:5" x14ac:dyDescent="0.3">
      <c r="A444" s="1">
        <v>31855</v>
      </c>
      <c r="B444">
        <v>294.079986572265</v>
      </c>
      <c r="C444">
        <v>1991</v>
      </c>
      <c r="D444">
        <v>1648.59997558593</v>
      </c>
      <c r="E444">
        <v>3800.22485351562</v>
      </c>
    </row>
    <row r="445" spans="1:5" x14ac:dyDescent="0.3">
      <c r="A445" s="1">
        <v>31856</v>
      </c>
      <c r="B445">
        <v>298.17001342773398</v>
      </c>
      <c r="C445">
        <v>2017.5</v>
      </c>
      <c r="D445">
        <v>1652.19995117187</v>
      </c>
      <c r="E445">
        <v>3823.26635742187</v>
      </c>
    </row>
    <row r="446" spans="1:5" x14ac:dyDescent="0.3">
      <c r="A446" s="1">
        <v>31857</v>
      </c>
      <c r="B446" t="e">
        <v>#N/A</v>
      </c>
      <c r="C446" t="e">
        <v>#N/A</v>
      </c>
      <c r="D446" t="e">
        <v>#N/A</v>
      </c>
      <c r="E446" t="e">
        <v>#N/A</v>
      </c>
    </row>
    <row r="447" spans="1:5" x14ac:dyDescent="0.3">
      <c r="A447" s="1">
        <v>31858</v>
      </c>
      <c r="B447" t="e">
        <v>#N/A</v>
      </c>
      <c r="C447" t="e">
        <v>#N/A</v>
      </c>
      <c r="D447" t="e">
        <v>#N/A</v>
      </c>
      <c r="E447" t="e">
        <v>#N/A</v>
      </c>
    </row>
    <row r="448" spans="1:5" x14ac:dyDescent="0.3">
      <c r="A448" s="1">
        <v>31859</v>
      </c>
      <c r="B448">
        <v>301.16000366210898</v>
      </c>
      <c r="C448">
        <v>2033</v>
      </c>
      <c r="D448">
        <v>1656.80004882812</v>
      </c>
      <c r="E448">
        <v>3832.34326171875</v>
      </c>
    </row>
    <row r="449" spans="1:5" x14ac:dyDescent="0.3">
      <c r="A449" s="1">
        <v>31860</v>
      </c>
      <c r="B449">
        <v>301.64001464843699</v>
      </c>
      <c r="C449">
        <v>2056.19995117187</v>
      </c>
      <c r="D449">
        <v>1663.80004882812</v>
      </c>
      <c r="E449">
        <v>3826.35864257812</v>
      </c>
    </row>
    <row r="450" spans="1:5" x14ac:dyDescent="0.3">
      <c r="A450" s="1">
        <v>31861</v>
      </c>
      <c r="B450">
        <v>300.38000488281199</v>
      </c>
      <c r="C450">
        <v>2042.90002441406</v>
      </c>
      <c r="D450">
        <v>1679</v>
      </c>
      <c r="E450">
        <v>3818.77758789062</v>
      </c>
    </row>
    <row r="451" spans="1:5" x14ac:dyDescent="0.3">
      <c r="A451" s="1">
        <v>31862</v>
      </c>
      <c r="B451">
        <v>300.92999267578102</v>
      </c>
      <c r="C451">
        <v>2037.80004882812</v>
      </c>
      <c r="D451">
        <v>1690.09997558593</v>
      </c>
      <c r="E451">
        <v>3804.41455078125</v>
      </c>
    </row>
    <row r="452" spans="1:5" x14ac:dyDescent="0.3">
      <c r="A452" s="1">
        <v>31863</v>
      </c>
      <c r="B452">
        <v>296.13000488281199</v>
      </c>
      <c r="C452">
        <v>2048.60009765625</v>
      </c>
      <c r="D452">
        <v>1690.90002441406</v>
      </c>
      <c r="E452">
        <v>3795.63647460937</v>
      </c>
    </row>
    <row r="453" spans="1:5" x14ac:dyDescent="0.3">
      <c r="A453" s="1">
        <v>31864</v>
      </c>
      <c r="B453" t="e">
        <v>#N/A</v>
      </c>
      <c r="C453" t="e">
        <v>#N/A</v>
      </c>
      <c r="D453" t="e">
        <v>#N/A</v>
      </c>
      <c r="E453" t="e">
        <v>#N/A</v>
      </c>
    </row>
    <row r="454" spans="1:5" x14ac:dyDescent="0.3">
      <c r="A454" s="1">
        <v>31865</v>
      </c>
      <c r="B454" t="e">
        <v>#N/A</v>
      </c>
      <c r="C454" t="e">
        <v>#N/A</v>
      </c>
      <c r="D454" t="e">
        <v>#N/A</v>
      </c>
      <c r="E454" t="e">
        <v>#N/A</v>
      </c>
    </row>
    <row r="455" spans="1:5" x14ac:dyDescent="0.3">
      <c r="A455" s="1">
        <v>31866</v>
      </c>
      <c r="B455">
        <v>289.20001220703102</v>
      </c>
      <c r="C455">
        <v>2002.5</v>
      </c>
      <c r="D455">
        <v>1711.5</v>
      </c>
      <c r="E455">
        <v>3728.0087890625</v>
      </c>
    </row>
    <row r="456" spans="1:5" x14ac:dyDescent="0.3">
      <c r="A456" s="1">
        <v>31867</v>
      </c>
      <c r="B456">
        <v>291.70001220703102</v>
      </c>
      <c r="C456">
        <v>1997.59997558593</v>
      </c>
      <c r="D456">
        <v>1689.90002441406</v>
      </c>
      <c r="E456">
        <v>3730.00341796875</v>
      </c>
    </row>
    <row r="457" spans="1:5" x14ac:dyDescent="0.3">
      <c r="A457" s="1">
        <v>31868</v>
      </c>
      <c r="B457">
        <v>292.38000488281199</v>
      </c>
      <c r="C457">
        <v>1973.09997558593</v>
      </c>
      <c r="D457">
        <v>1691.09997558593</v>
      </c>
      <c r="E457">
        <v>3732.69653320312</v>
      </c>
    </row>
    <row r="458" spans="1:5" x14ac:dyDescent="0.3">
      <c r="A458" s="1">
        <v>31869</v>
      </c>
      <c r="B458">
        <v>293.63000488281199</v>
      </c>
      <c r="C458">
        <v>1987.69995117187</v>
      </c>
      <c r="D458">
        <v>1696.80004882812</v>
      </c>
      <c r="E458">
        <v>3774.49047851562</v>
      </c>
    </row>
    <row r="459" spans="1:5" x14ac:dyDescent="0.3">
      <c r="A459" s="1">
        <v>31870</v>
      </c>
      <c r="B459">
        <v>300.41000366210898</v>
      </c>
      <c r="C459">
        <v>1965.09997558593</v>
      </c>
      <c r="D459">
        <v>1721.5</v>
      </c>
      <c r="E459">
        <v>3837.23071289062</v>
      </c>
    </row>
    <row r="460" spans="1:5" x14ac:dyDescent="0.3">
      <c r="A460" s="1">
        <v>31871</v>
      </c>
      <c r="B460" t="e">
        <v>#N/A</v>
      </c>
      <c r="C460" t="e">
        <v>#N/A</v>
      </c>
      <c r="D460" t="e">
        <v>#N/A</v>
      </c>
      <c r="E460" t="e">
        <v>#N/A</v>
      </c>
    </row>
    <row r="461" spans="1:5" x14ac:dyDescent="0.3">
      <c r="A461" s="1">
        <v>31872</v>
      </c>
      <c r="B461" t="e">
        <v>#N/A</v>
      </c>
      <c r="C461" t="e">
        <v>#N/A</v>
      </c>
      <c r="D461" t="e">
        <v>#N/A</v>
      </c>
      <c r="E461" t="e">
        <v>#N/A</v>
      </c>
    </row>
    <row r="462" spans="1:5" x14ac:dyDescent="0.3">
      <c r="A462" s="1">
        <v>31873</v>
      </c>
      <c r="B462">
        <v>301.95001220703102</v>
      </c>
      <c r="C462">
        <v>1989.59997558593</v>
      </c>
      <c r="D462">
        <v>1746.40002441406</v>
      </c>
      <c r="E462">
        <v>3871.34375</v>
      </c>
    </row>
    <row r="463" spans="1:5" x14ac:dyDescent="0.3">
      <c r="A463" s="1">
        <v>31874</v>
      </c>
      <c r="B463">
        <v>296.69000244140602</v>
      </c>
      <c r="C463">
        <v>1987</v>
      </c>
      <c r="D463">
        <v>1755.09997558593</v>
      </c>
      <c r="E463">
        <v>3861.16967773437</v>
      </c>
    </row>
    <row r="464" spans="1:5" x14ac:dyDescent="0.3">
      <c r="A464" s="1">
        <v>31875</v>
      </c>
      <c r="B464">
        <v>297.260009765625</v>
      </c>
      <c r="C464">
        <v>1976.69995117187</v>
      </c>
      <c r="D464">
        <v>1758.5</v>
      </c>
      <c r="E464">
        <v>3857.080078125</v>
      </c>
    </row>
    <row r="465" spans="1:5" x14ac:dyDescent="0.3">
      <c r="A465" s="1">
        <v>31876</v>
      </c>
      <c r="B465">
        <v>292.85998535156199</v>
      </c>
      <c r="C465">
        <v>1962.80004882812</v>
      </c>
      <c r="D465">
        <v>1771.19995117187</v>
      </c>
      <c r="E465">
        <v>3827.65478515625</v>
      </c>
    </row>
    <row r="466" spans="1:5" x14ac:dyDescent="0.3">
      <c r="A466" s="1">
        <v>31877</v>
      </c>
      <c r="B466">
        <v>292.489990234375</v>
      </c>
      <c r="C466">
        <v>1936.69995117187</v>
      </c>
      <c r="D466">
        <v>1787.40002441406</v>
      </c>
      <c r="E466">
        <v>3832.0439453125</v>
      </c>
    </row>
    <row r="467" spans="1:5" x14ac:dyDescent="0.3">
      <c r="A467" s="1">
        <v>31878</v>
      </c>
      <c r="B467" t="e">
        <v>#N/A</v>
      </c>
      <c r="C467" t="e">
        <v>#N/A</v>
      </c>
      <c r="D467" t="e">
        <v>#N/A</v>
      </c>
      <c r="E467" t="e">
        <v>#N/A</v>
      </c>
    </row>
    <row r="468" spans="1:5" x14ac:dyDescent="0.3">
      <c r="A468" s="1">
        <v>31879</v>
      </c>
      <c r="B468" t="e">
        <v>#N/A</v>
      </c>
      <c r="C468" t="e">
        <v>#N/A</v>
      </c>
      <c r="D468" t="e">
        <v>#N/A</v>
      </c>
      <c r="E468" t="e">
        <v>#N/A</v>
      </c>
    </row>
    <row r="469" spans="1:5" x14ac:dyDescent="0.3">
      <c r="A469" s="1">
        <v>31880</v>
      </c>
      <c r="B469">
        <v>285.61999511718699</v>
      </c>
      <c r="C469">
        <v>1917.09997558593</v>
      </c>
      <c r="D469">
        <v>1799.69995117187</v>
      </c>
      <c r="E469">
        <v>3830.04907226562</v>
      </c>
    </row>
    <row r="470" spans="1:5" x14ac:dyDescent="0.3">
      <c r="A470" s="1">
        <v>31881</v>
      </c>
      <c r="B470">
        <v>279.16000366210898</v>
      </c>
      <c r="C470">
        <v>1908.90002441406</v>
      </c>
      <c r="D470">
        <v>1777.19995117187</v>
      </c>
      <c r="E470">
        <v>3763.81762695312</v>
      </c>
    </row>
    <row r="471" spans="1:5" x14ac:dyDescent="0.3">
      <c r="A471" s="1">
        <v>31882</v>
      </c>
      <c r="B471">
        <v>284.44000244140602</v>
      </c>
      <c r="C471">
        <v>1922.19995117187</v>
      </c>
      <c r="D471">
        <v>1764.80004882812</v>
      </c>
      <c r="E471">
        <v>3762.42114257812</v>
      </c>
    </row>
    <row r="472" spans="1:5" x14ac:dyDescent="0.3">
      <c r="A472" s="1">
        <v>31883</v>
      </c>
      <c r="B472">
        <v>286.91000366210898</v>
      </c>
      <c r="C472">
        <v>1949.40002441406</v>
      </c>
      <c r="D472">
        <v>1763.5</v>
      </c>
      <c r="E472">
        <v>3777.68237304687</v>
      </c>
    </row>
    <row r="473" spans="1:5" x14ac:dyDescent="0.3">
      <c r="A473" s="1">
        <v>31884</v>
      </c>
      <c r="B473" t="e">
        <v>#N/A</v>
      </c>
      <c r="C473" t="e">
        <v>#N/A</v>
      </c>
      <c r="D473" t="e">
        <v>#N/A</v>
      </c>
      <c r="E473" t="e">
        <v>#N/A</v>
      </c>
    </row>
    <row r="474" spans="1:5" x14ac:dyDescent="0.3">
      <c r="A474" s="1">
        <v>31885</v>
      </c>
      <c r="B474" t="e">
        <v>#N/A</v>
      </c>
      <c r="C474" t="e">
        <v>#N/A</v>
      </c>
      <c r="D474" t="e">
        <v>#N/A</v>
      </c>
      <c r="E474" t="e">
        <v>#N/A</v>
      </c>
    </row>
    <row r="475" spans="1:5" x14ac:dyDescent="0.3">
      <c r="A475" s="1">
        <v>31886</v>
      </c>
      <c r="B475" t="e">
        <v>#N/A</v>
      </c>
      <c r="C475" t="e">
        <v>#N/A</v>
      </c>
      <c r="D475" t="e">
        <v>#N/A</v>
      </c>
      <c r="E475" t="e">
        <v>#N/A</v>
      </c>
    </row>
    <row r="476" spans="1:5" x14ac:dyDescent="0.3">
      <c r="A476" s="1">
        <v>31887</v>
      </c>
      <c r="B476">
        <v>286.08999633789</v>
      </c>
      <c r="C476" t="e">
        <v>#N/A</v>
      </c>
      <c r="D476" t="e">
        <v>#N/A</v>
      </c>
      <c r="E476">
        <v>3795.63647460937</v>
      </c>
    </row>
    <row r="477" spans="1:5" x14ac:dyDescent="0.3">
      <c r="A477" s="1">
        <v>31888</v>
      </c>
      <c r="B477">
        <v>293.07000732421801</v>
      </c>
      <c r="C477">
        <v>1940.19995117187</v>
      </c>
      <c r="D477">
        <v>1763.30004882812</v>
      </c>
      <c r="E477">
        <v>3800.7236328125</v>
      </c>
    </row>
    <row r="478" spans="1:5" x14ac:dyDescent="0.3">
      <c r="A478" s="1">
        <v>31889</v>
      </c>
      <c r="B478">
        <v>287.19000244140602</v>
      </c>
      <c r="C478">
        <v>1955.69995117187</v>
      </c>
      <c r="D478">
        <v>1754.69995117187</v>
      </c>
      <c r="E478">
        <v>3778.87890625</v>
      </c>
    </row>
    <row r="479" spans="1:5" x14ac:dyDescent="0.3">
      <c r="A479" s="1">
        <v>31890</v>
      </c>
      <c r="B479">
        <v>286.82000732421801</v>
      </c>
      <c r="C479">
        <v>1968.30004882812</v>
      </c>
      <c r="D479">
        <v>1743.30004882812</v>
      </c>
      <c r="E479">
        <v>3756.83520507812</v>
      </c>
    </row>
    <row r="480" spans="1:5" x14ac:dyDescent="0.3">
      <c r="A480" s="1">
        <v>31891</v>
      </c>
      <c r="B480">
        <v>281.51998901367102</v>
      </c>
      <c r="C480">
        <v>2001.5</v>
      </c>
      <c r="D480">
        <v>1776.69995117187</v>
      </c>
      <c r="E480">
        <v>3723.8193359375</v>
      </c>
    </row>
    <row r="481" spans="1:5" x14ac:dyDescent="0.3">
      <c r="A481" s="1">
        <v>31892</v>
      </c>
      <c r="B481" t="e">
        <v>#N/A</v>
      </c>
      <c r="C481" t="e">
        <v>#N/A</v>
      </c>
      <c r="D481" t="e">
        <v>#N/A</v>
      </c>
      <c r="E481" t="e">
        <v>#N/A</v>
      </c>
    </row>
    <row r="482" spans="1:5" x14ac:dyDescent="0.3">
      <c r="A482" s="1">
        <v>31893</v>
      </c>
      <c r="B482" t="e">
        <v>#N/A</v>
      </c>
      <c r="C482" t="e">
        <v>#N/A</v>
      </c>
      <c r="D482" t="e">
        <v>#N/A</v>
      </c>
      <c r="E482" t="e">
        <v>#N/A</v>
      </c>
    </row>
    <row r="483" spans="1:5" x14ac:dyDescent="0.3">
      <c r="A483" s="1">
        <v>31894</v>
      </c>
      <c r="B483">
        <v>281.829986572265</v>
      </c>
      <c r="C483">
        <v>1986.59997558593</v>
      </c>
      <c r="D483">
        <v>1799.90002441406</v>
      </c>
      <c r="E483">
        <v>3648.91015625</v>
      </c>
    </row>
    <row r="484" spans="1:5" x14ac:dyDescent="0.3">
      <c r="A484" s="1">
        <v>31895</v>
      </c>
      <c r="B484">
        <v>282.510009765625</v>
      </c>
      <c r="C484">
        <v>2022.09997558593</v>
      </c>
      <c r="D484">
        <v>1749.30004882812</v>
      </c>
      <c r="E484">
        <v>3676.04077148437</v>
      </c>
    </row>
    <row r="485" spans="1:5" x14ac:dyDescent="0.3">
      <c r="A485" s="1">
        <v>31896</v>
      </c>
      <c r="B485">
        <v>284.57000732421801</v>
      </c>
      <c r="C485">
        <v>2038.59997558593</v>
      </c>
      <c r="D485">
        <v>1756.80004882812</v>
      </c>
      <c r="E485">
        <v>3694.79321289062</v>
      </c>
    </row>
    <row r="486" spans="1:5" x14ac:dyDescent="0.3">
      <c r="A486" s="1">
        <v>31897</v>
      </c>
      <c r="B486">
        <v>288.35998535156199</v>
      </c>
      <c r="C486">
        <v>2050.5</v>
      </c>
      <c r="D486">
        <v>1749.59997558593</v>
      </c>
      <c r="E486">
        <v>3707.26147460937</v>
      </c>
    </row>
    <row r="487" spans="1:5" x14ac:dyDescent="0.3">
      <c r="A487" s="1">
        <v>31898</v>
      </c>
      <c r="B487">
        <v>288.02999877929602</v>
      </c>
      <c r="C487">
        <v>2068.5</v>
      </c>
      <c r="D487">
        <v>1753.30004882812</v>
      </c>
      <c r="E487">
        <v>3699.08227539062</v>
      </c>
    </row>
    <row r="488" spans="1:5" x14ac:dyDescent="0.3">
      <c r="A488" s="1">
        <v>31899</v>
      </c>
      <c r="B488" t="e">
        <v>#N/A</v>
      </c>
      <c r="C488" t="e">
        <v>#N/A</v>
      </c>
      <c r="D488" t="e">
        <v>#N/A</v>
      </c>
      <c r="E488" t="e">
        <v>#N/A</v>
      </c>
    </row>
    <row r="489" spans="1:5" x14ac:dyDescent="0.3">
      <c r="A489" s="1">
        <v>31900</v>
      </c>
      <c r="B489" t="e">
        <v>#N/A</v>
      </c>
      <c r="C489" t="e">
        <v>#N/A</v>
      </c>
      <c r="D489" t="e">
        <v>#N/A</v>
      </c>
      <c r="E489" t="e">
        <v>#N/A</v>
      </c>
    </row>
    <row r="490" spans="1:5" x14ac:dyDescent="0.3">
      <c r="A490" s="1">
        <v>31901</v>
      </c>
      <c r="B490">
        <v>289.35998535156199</v>
      </c>
      <c r="C490" t="e">
        <v>#N/A</v>
      </c>
      <c r="D490">
        <v>1765.40002441406</v>
      </c>
      <c r="E490">
        <v>3720.8271484375</v>
      </c>
    </row>
    <row r="491" spans="1:5" x14ac:dyDescent="0.3">
      <c r="A491" s="1">
        <v>31902</v>
      </c>
      <c r="B491">
        <v>295.33999633789</v>
      </c>
      <c r="C491">
        <v>2065.10009765625</v>
      </c>
      <c r="D491">
        <v>1790.59997558593</v>
      </c>
      <c r="E491">
        <v>3745.16479492187</v>
      </c>
    </row>
    <row r="492" spans="1:5" x14ac:dyDescent="0.3">
      <c r="A492" s="1">
        <v>31903</v>
      </c>
      <c r="B492">
        <v>295.47000122070301</v>
      </c>
      <c r="C492">
        <v>2086.5</v>
      </c>
      <c r="D492">
        <v>1796</v>
      </c>
      <c r="E492">
        <v>3757.93237304687</v>
      </c>
    </row>
    <row r="493" spans="1:5" x14ac:dyDescent="0.3">
      <c r="A493" s="1">
        <v>31904</v>
      </c>
      <c r="B493">
        <v>294.70999145507801</v>
      </c>
      <c r="C493">
        <v>2077.89990234375</v>
      </c>
      <c r="D493">
        <v>1823.30004882812</v>
      </c>
      <c r="E493">
        <v>3784.06591796875</v>
      </c>
    </row>
    <row r="494" spans="1:5" x14ac:dyDescent="0.3">
      <c r="A494" s="1">
        <v>31905</v>
      </c>
      <c r="B494">
        <v>293.36999511718699</v>
      </c>
      <c r="C494">
        <v>2126.5</v>
      </c>
      <c r="D494">
        <v>1827.09997558593</v>
      </c>
      <c r="E494">
        <v>3808.404296875</v>
      </c>
    </row>
    <row r="495" spans="1:5" x14ac:dyDescent="0.3">
      <c r="A495" s="1">
        <v>31906</v>
      </c>
      <c r="B495" t="e">
        <v>#N/A</v>
      </c>
      <c r="C495" t="e">
        <v>#N/A</v>
      </c>
      <c r="D495" t="e">
        <v>#N/A</v>
      </c>
      <c r="E495" t="e">
        <v>#N/A</v>
      </c>
    </row>
    <row r="496" spans="1:5" x14ac:dyDescent="0.3">
      <c r="A496" s="1">
        <v>31907</v>
      </c>
      <c r="B496" t="e">
        <v>#N/A</v>
      </c>
      <c r="C496" t="e">
        <v>#N/A</v>
      </c>
      <c r="D496" t="e">
        <v>#N/A</v>
      </c>
      <c r="E496" t="e">
        <v>#N/A</v>
      </c>
    </row>
    <row r="497" spans="1:5" x14ac:dyDescent="0.3">
      <c r="A497" s="1">
        <v>31908</v>
      </c>
      <c r="B497">
        <v>291.57000732421801</v>
      </c>
      <c r="C497">
        <v>2163.30004882812</v>
      </c>
      <c r="D497">
        <v>1820.59997558593</v>
      </c>
      <c r="E497">
        <v>3814.7880859375</v>
      </c>
    </row>
    <row r="498" spans="1:5" x14ac:dyDescent="0.3">
      <c r="A498" s="1">
        <v>31909</v>
      </c>
      <c r="B498">
        <v>293.29998779296801</v>
      </c>
      <c r="C498">
        <v>2143.30004882812</v>
      </c>
      <c r="D498">
        <v>1843.69995117187</v>
      </c>
      <c r="E498">
        <v>3813.98950195312</v>
      </c>
    </row>
    <row r="499" spans="1:5" x14ac:dyDescent="0.3">
      <c r="A499" s="1">
        <v>31910</v>
      </c>
      <c r="B499">
        <v>293.98001098632801</v>
      </c>
      <c r="C499">
        <v>2163.39990234375</v>
      </c>
      <c r="D499">
        <v>1849.19995117187</v>
      </c>
      <c r="E499">
        <v>3819.974609375</v>
      </c>
    </row>
    <row r="500" spans="1:5" x14ac:dyDescent="0.3">
      <c r="A500" s="1">
        <v>31911</v>
      </c>
      <c r="B500">
        <v>294.239990234375</v>
      </c>
      <c r="C500">
        <v>2180</v>
      </c>
      <c r="D500">
        <v>1848.5</v>
      </c>
      <c r="E500">
        <v>3823.16625976562</v>
      </c>
    </row>
    <row r="501" spans="1:5" x14ac:dyDescent="0.3">
      <c r="A501" s="1">
        <v>31912</v>
      </c>
      <c r="B501">
        <v>287.42999267578102</v>
      </c>
      <c r="C501">
        <v>2189.69995117187</v>
      </c>
      <c r="D501">
        <v>1848.5</v>
      </c>
      <c r="E501">
        <v>3804.11499023437</v>
      </c>
    </row>
    <row r="502" spans="1:5" x14ac:dyDescent="0.3">
      <c r="A502" s="1">
        <v>31913</v>
      </c>
      <c r="B502" t="e">
        <v>#N/A</v>
      </c>
      <c r="C502" t="e">
        <v>#N/A</v>
      </c>
      <c r="D502" t="e">
        <v>#N/A</v>
      </c>
      <c r="E502" t="e">
        <v>#N/A</v>
      </c>
    </row>
    <row r="503" spans="1:5" x14ac:dyDescent="0.3">
      <c r="A503" s="1">
        <v>31914</v>
      </c>
      <c r="B503" t="e">
        <v>#N/A</v>
      </c>
      <c r="C503" t="e">
        <v>#N/A</v>
      </c>
      <c r="D503" t="e">
        <v>#N/A</v>
      </c>
      <c r="E503" t="e">
        <v>#N/A</v>
      </c>
    </row>
    <row r="504" spans="1:5" x14ac:dyDescent="0.3">
      <c r="A504" s="1">
        <v>31915</v>
      </c>
      <c r="B504">
        <v>286.64999389648398</v>
      </c>
      <c r="C504">
        <v>2192.10009765625</v>
      </c>
      <c r="D504">
        <v>1859.30004882812</v>
      </c>
      <c r="E504" t="e">
        <v>#N/A</v>
      </c>
    </row>
    <row r="505" spans="1:5" x14ac:dyDescent="0.3">
      <c r="A505" s="1">
        <v>31916</v>
      </c>
      <c r="B505">
        <v>279.61999511718699</v>
      </c>
      <c r="C505">
        <v>2214.30004882812</v>
      </c>
      <c r="D505">
        <v>1838.69995117187</v>
      </c>
      <c r="E505">
        <v>3755.13940429687</v>
      </c>
    </row>
    <row r="506" spans="1:5" x14ac:dyDescent="0.3">
      <c r="A506" s="1">
        <v>31917</v>
      </c>
      <c r="B506">
        <v>278.20999145507801</v>
      </c>
      <c r="C506">
        <v>2174</v>
      </c>
      <c r="D506">
        <v>1854.59997558593</v>
      </c>
      <c r="E506">
        <v>3710.8525390625</v>
      </c>
    </row>
    <row r="507" spans="1:5" x14ac:dyDescent="0.3">
      <c r="A507" s="1">
        <v>31918</v>
      </c>
      <c r="B507">
        <v>280.17001342773398</v>
      </c>
      <c r="C507">
        <v>2153.69995117187</v>
      </c>
      <c r="D507">
        <v>1842.90002441406</v>
      </c>
      <c r="E507">
        <v>3687.51171875</v>
      </c>
    </row>
    <row r="508" spans="1:5" x14ac:dyDescent="0.3">
      <c r="A508" s="1">
        <v>31919</v>
      </c>
      <c r="B508">
        <v>282.16000366210898</v>
      </c>
      <c r="C508">
        <v>2167.5</v>
      </c>
      <c r="D508">
        <v>1826.09997558593</v>
      </c>
      <c r="E508">
        <v>3669.5576171875</v>
      </c>
    </row>
    <row r="509" spans="1:5" x14ac:dyDescent="0.3">
      <c r="A509" s="1">
        <v>31920</v>
      </c>
      <c r="B509" t="e">
        <v>#N/A</v>
      </c>
      <c r="C509" t="e">
        <v>#N/A</v>
      </c>
      <c r="D509" t="e">
        <v>#N/A</v>
      </c>
      <c r="E509" t="e">
        <v>#N/A</v>
      </c>
    </row>
    <row r="510" spans="1:5" x14ac:dyDescent="0.3">
      <c r="A510" s="1">
        <v>31921</v>
      </c>
      <c r="B510" t="e">
        <v>#N/A</v>
      </c>
      <c r="C510" t="e">
        <v>#N/A</v>
      </c>
      <c r="D510" t="e">
        <v>#N/A</v>
      </c>
      <c r="E510" t="e">
        <v>#N/A</v>
      </c>
    </row>
    <row r="511" spans="1:5" x14ac:dyDescent="0.3">
      <c r="A511" s="1">
        <v>31922</v>
      </c>
      <c r="B511" t="e">
        <v>#N/A</v>
      </c>
      <c r="C511" t="e">
        <v>#N/A</v>
      </c>
      <c r="D511">
        <v>1802.30004882812</v>
      </c>
      <c r="E511" t="e">
        <v>#N/A</v>
      </c>
    </row>
    <row r="512" spans="1:5" x14ac:dyDescent="0.3">
      <c r="A512" s="1">
        <v>31923</v>
      </c>
      <c r="B512">
        <v>289.10998535156199</v>
      </c>
      <c r="C512">
        <v>2153.39990234375</v>
      </c>
      <c r="D512">
        <v>1803</v>
      </c>
      <c r="E512">
        <v>3666.46557617187</v>
      </c>
    </row>
    <row r="513" spans="1:5" x14ac:dyDescent="0.3">
      <c r="A513" s="1">
        <v>31924</v>
      </c>
      <c r="B513">
        <v>288.73001098632801</v>
      </c>
      <c r="C513">
        <v>2145.69995117187</v>
      </c>
      <c r="D513">
        <v>1756.69995117187</v>
      </c>
      <c r="E513">
        <v>3675.44262695312</v>
      </c>
    </row>
    <row r="514" spans="1:5" x14ac:dyDescent="0.3">
      <c r="A514" s="1">
        <v>31925</v>
      </c>
      <c r="B514">
        <v>290.760009765625</v>
      </c>
      <c r="C514">
        <v>2157.39990234375</v>
      </c>
      <c r="D514">
        <v>1744.59997558593</v>
      </c>
      <c r="E514">
        <v>3678.93408203125</v>
      </c>
    </row>
    <row r="515" spans="1:5" x14ac:dyDescent="0.3">
      <c r="A515" s="1">
        <v>31926</v>
      </c>
      <c r="B515">
        <v>290.100006103515</v>
      </c>
      <c r="C515">
        <v>2203</v>
      </c>
      <c r="D515">
        <v>1770.80004882812</v>
      </c>
      <c r="E515">
        <v>3675.84155273437</v>
      </c>
    </row>
    <row r="516" spans="1:5" x14ac:dyDescent="0.3">
      <c r="A516" s="1">
        <v>31927</v>
      </c>
      <c r="B516" t="e">
        <v>#N/A</v>
      </c>
      <c r="C516" t="e">
        <v>#N/A</v>
      </c>
      <c r="D516" t="e">
        <v>#N/A</v>
      </c>
      <c r="E516" t="e">
        <v>#N/A</v>
      </c>
    </row>
    <row r="517" spans="1:5" x14ac:dyDescent="0.3">
      <c r="A517" s="1">
        <v>31928</v>
      </c>
      <c r="B517" t="e">
        <v>#N/A</v>
      </c>
      <c r="C517" t="e">
        <v>#N/A</v>
      </c>
      <c r="D517" t="e">
        <v>#N/A</v>
      </c>
      <c r="E517" t="e">
        <v>#N/A</v>
      </c>
    </row>
    <row r="518" spans="1:5" x14ac:dyDescent="0.3">
      <c r="A518" s="1">
        <v>31929</v>
      </c>
      <c r="B518">
        <v>289.829986572265</v>
      </c>
      <c r="C518">
        <v>2228.19995117187</v>
      </c>
      <c r="D518">
        <v>1776.19995117187</v>
      </c>
      <c r="E518">
        <v>3650.306640625</v>
      </c>
    </row>
    <row r="519" spans="1:5" x14ac:dyDescent="0.3">
      <c r="A519" s="1">
        <v>31930</v>
      </c>
      <c r="B519">
        <v>288.45999145507801</v>
      </c>
      <c r="C519">
        <v>2219.60009765625</v>
      </c>
      <c r="D519">
        <v>1758.30004882812</v>
      </c>
      <c r="E519">
        <v>3667.16357421875</v>
      </c>
    </row>
    <row r="520" spans="1:5" x14ac:dyDescent="0.3">
      <c r="A520" s="1">
        <v>31931</v>
      </c>
      <c r="B520">
        <v>293.47000122070301</v>
      </c>
      <c r="C520">
        <v>2235.39990234375</v>
      </c>
      <c r="D520">
        <v>1776.19995117187</v>
      </c>
      <c r="E520">
        <v>3691.50170898437</v>
      </c>
    </row>
    <row r="521" spans="1:5" x14ac:dyDescent="0.3">
      <c r="A521" s="1">
        <v>31932</v>
      </c>
      <c r="B521">
        <v>295.08999633789</v>
      </c>
      <c r="C521">
        <v>2214.19995117187</v>
      </c>
      <c r="D521">
        <v>1772.40002441406</v>
      </c>
      <c r="E521">
        <v>3716.73754882812</v>
      </c>
    </row>
    <row r="522" spans="1:5" x14ac:dyDescent="0.3">
      <c r="A522" s="1">
        <v>31933</v>
      </c>
      <c r="B522">
        <v>293.45001220703102</v>
      </c>
      <c r="C522">
        <v>2228.80004882812</v>
      </c>
      <c r="D522">
        <v>1777.90002441406</v>
      </c>
      <c r="E522">
        <v>3718.53271484375</v>
      </c>
    </row>
    <row r="523" spans="1:5" x14ac:dyDescent="0.3">
      <c r="A523" s="1">
        <v>31934</v>
      </c>
      <c r="B523" t="e">
        <v>#N/A</v>
      </c>
      <c r="C523" t="e">
        <v>#N/A</v>
      </c>
      <c r="D523" t="e">
        <v>#N/A</v>
      </c>
      <c r="E523" t="e">
        <v>#N/A</v>
      </c>
    </row>
    <row r="524" spans="1:5" x14ac:dyDescent="0.3">
      <c r="A524" s="1">
        <v>31935</v>
      </c>
      <c r="B524" t="e">
        <v>#N/A</v>
      </c>
      <c r="C524" t="e">
        <v>#N/A</v>
      </c>
      <c r="D524" t="e">
        <v>#N/A</v>
      </c>
      <c r="E524" t="e">
        <v>#N/A</v>
      </c>
    </row>
    <row r="525" spans="1:5" x14ac:dyDescent="0.3">
      <c r="A525" s="1">
        <v>31936</v>
      </c>
      <c r="B525">
        <v>296.72000122070301</v>
      </c>
      <c r="C525">
        <v>2228.39990234375</v>
      </c>
      <c r="D525" t="e">
        <v>#N/A</v>
      </c>
      <c r="E525">
        <v>3719.82983398437</v>
      </c>
    </row>
    <row r="526" spans="1:5" x14ac:dyDescent="0.3">
      <c r="A526" s="1">
        <v>31937</v>
      </c>
      <c r="B526">
        <v>297.27999877929602</v>
      </c>
      <c r="C526">
        <v>2265.19995117187</v>
      </c>
      <c r="D526">
        <v>1781.5</v>
      </c>
      <c r="E526">
        <v>3708.35888671875</v>
      </c>
    </row>
    <row r="527" spans="1:5" x14ac:dyDescent="0.3">
      <c r="A527" s="1">
        <v>31938</v>
      </c>
      <c r="B527">
        <v>297.47000122070301</v>
      </c>
      <c r="C527">
        <v>2256.10009765625</v>
      </c>
      <c r="D527">
        <v>1788.40002441406</v>
      </c>
      <c r="E527">
        <v>3700.37915039062</v>
      </c>
    </row>
    <row r="528" spans="1:5" x14ac:dyDescent="0.3">
      <c r="A528" s="1">
        <v>31939</v>
      </c>
      <c r="B528">
        <v>298.73001098632801</v>
      </c>
      <c r="C528">
        <v>2249.30004882812</v>
      </c>
      <c r="D528">
        <v>1803.59997558593</v>
      </c>
      <c r="E528">
        <v>3716.93676757812</v>
      </c>
    </row>
    <row r="529" spans="1:5" x14ac:dyDescent="0.3">
      <c r="A529" s="1">
        <v>31940</v>
      </c>
      <c r="B529">
        <v>301.61999511718699</v>
      </c>
      <c r="C529">
        <v>2289.5</v>
      </c>
      <c r="D529">
        <v>1827.80004882812</v>
      </c>
      <c r="E529">
        <v>3715.939453125</v>
      </c>
    </row>
    <row r="530" spans="1:5" x14ac:dyDescent="0.3">
      <c r="A530" s="1">
        <v>31941</v>
      </c>
      <c r="B530" t="e">
        <v>#N/A</v>
      </c>
      <c r="C530" t="e">
        <v>#N/A</v>
      </c>
      <c r="D530" t="e">
        <v>#N/A</v>
      </c>
      <c r="E530" t="e">
        <v>#N/A</v>
      </c>
    </row>
    <row r="531" spans="1:5" x14ac:dyDescent="0.3">
      <c r="A531" s="1">
        <v>31942</v>
      </c>
      <c r="B531" t="e">
        <v>#N/A</v>
      </c>
      <c r="C531" t="e">
        <v>#N/A</v>
      </c>
      <c r="D531" t="e">
        <v>#N/A</v>
      </c>
      <c r="E531" t="e">
        <v>#N/A</v>
      </c>
    </row>
    <row r="532" spans="1:5" x14ac:dyDescent="0.3">
      <c r="A532" s="1">
        <v>31943</v>
      </c>
      <c r="B532">
        <v>303.14001464843699</v>
      </c>
      <c r="C532">
        <v>2307.60009765625</v>
      </c>
      <c r="D532">
        <v>1818.40002441406</v>
      </c>
      <c r="E532">
        <v>3708.857421875</v>
      </c>
    </row>
    <row r="533" spans="1:5" x14ac:dyDescent="0.3">
      <c r="A533" s="1">
        <v>31944</v>
      </c>
      <c r="B533">
        <v>304.760009765625</v>
      </c>
      <c r="C533">
        <v>2309</v>
      </c>
      <c r="D533">
        <v>1807.90002441406</v>
      </c>
      <c r="E533">
        <v>3687.71142578125</v>
      </c>
    </row>
    <row r="534" spans="1:5" x14ac:dyDescent="0.3">
      <c r="A534" s="1">
        <v>31945</v>
      </c>
      <c r="B534">
        <v>304.80999755859301</v>
      </c>
      <c r="C534">
        <v>2320.39990234375</v>
      </c>
      <c r="D534">
        <v>1802.80004882812</v>
      </c>
      <c r="E534">
        <v>3709.65551757812</v>
      </c>
    </row>
    <row r="535" spans="1:5" x14ac:dyDescent="0.3">
      <c r="A535" s="1">
        <v>31946</v>
      </c>
      <c r="B535">
        <v>305.69000244140602</v>
      </c>
      <c r="C535">
        <v>2293.19995117187</v>
      </c>
      <c r="D535">
        <v>1798.30004882812</v>
      </c>
      <c r="E535">
        <v>3711.15161132812</v>
      </c>
    </row>
    <row r="536" spans="1:5" x14ac:dyDescent="0.3">
      <c r="A536" s="1">
        <v>31947</v>
      </c>
      <c r="B536">
        <v>306.97000122070301</v>
      </c>
      <c r="C536">
        <v>2266.10009765625</v>
      </c>
      <c r="D536">
        <v>1798.09997558593</v>
      </c>
      <c r="E536">
        <v>3730.70190429687</v>
      </c>
    </row>
    <row r="537" spans="1:5" x14ac:dyDescent="0.3">
      <c r="A537" s="1">
        <v>31948</v>
      </c>
      <c r="B537" t="e">
        <v>#N/A</v>
      </c>
      <c r="C537" t="e">
        <v>#N/A</v>
      </c>
      <c r="D537" t="e">
        <v>#N/A</v>
      </c>
      <c r="E537" t="e">
        <v>#N/A</v>
      </c>
    </row>
    <row r="538" spans="1:5" x14ac:dyDescent="0.3">
      <c r="A538" s="1">
        <v>31949</v>
      </c>
      <c r="B538" t="e">
        <v>#N/A</v>
      </c>
      <c r="C538" t="e">
        <v>#N/A</v>
      </c>
      <c r="D538" t="e">
        <v>#N/A</v>
      </c>
      <c r="E538" t="e">
        <v>#N/A</v>
      </c>
    </row>
    <row r="539" spans="1:5" x14ac:dyDescent="0.3">
      <c r="A539" s="1">
        <v>31950</v>
      </c>
      <c r="B539">
        <v>309.64999389648398</v>
      </c>
      <c r="C539">
        <v>2244.60009765625</v>
      </c>
      <c r="D539">
        <v>1774.09997558593</v>
      </c>
      <c r="E539">
        <v>3697.1875</v>
      </c>
    </row>
    <row r="540" spans="1:5" x14ac:dyDescent="0.3">
      <c r="A540" s="1">
        <v>31951</v>
      </c>
      <c r="B540">
        <v>308.42999267578102</v>
      </c>
      <c r="C540">
        <v>2265.5</v>
      </c>
      <c r="D540">
        <v>1742</v>
      </c>
      <c r="E540">
        <v>3681.62670898437</v>
      </c>
    </row>
    <row r="541" spans="1:5" x14ac:dyDescent="0.3">
      <c r="A541" s="1">
        <v>31952</v>
      </c>
      <c r="B541">
        <v>306.85998535156199</v>
      </c>
      <c r="C541">
        <v>2284</v>
      </c>
      <c r="D541">
        <v>1739.5</v>
      </c>
      <c r="E541">
        <v>3683.123046875</v>
      </c>
    </row>
    <row r="542" spans="1:5" x14ac:dyDescent="0.3">
      <c r="A542" s="1">
        <v>31953</v>
      </c>
      <c r="B542">
        <v>308.95999145507801</v>
      </c>
      <c r="C542">
        <v>2277.19995117187</v>
      </c>
      <c r="D542">
        <v>1742.90002441406</v>
      </c>
      <c r="E542">
        <v>3696.5888671875</v>
      </c>
    </row>
    <row r="543" spans="1:5" x14ac:dyDescent="0.3">
      <c r="A543" s="1">
        <v>31954</v>
      </c>
      <c r="B543">
        <v>307.16000366210898</v>
      </c>
      <c r="C543">
        <v>2291.30004882812</v>
      </c>
      <c r="D543">
        <v>1748.19995117187</v>
      </c>
      <c r="E543">
        <v>3717.73486328125</v>
      </c>
    </row>
    <row r="544" spans="1:5" x14ac:dyDescent="0.3">
      <c r="A544" s="1">
        <v>31955</v>
      </c>
      <c r="B544" t="e">
        <v>#N/A</v>
      </c>
      <c r="C544" t="e">
        <v>#N/A</v>
      </c>
      <c r="D544" t="e">
        <v>#N/A</v>
      </c>
      <c r="E544" t="e">
        <v>#N/A</v>
      </c>
    </row>
    <row r="545" spans="1:5" x14ac:dyDescent="0.3">
      <c r="A545" s="1">
        <v>31956</v>
      </c>
      <c r="B545" t="e">
        <v>#N/A</v>
      </c>
      <c r="C545" t="e">
        <v>#N/A</v>
      </c>
      <c r="D545" t="e">
        <v>#N/A</v>
      </c>
      <c r="E545" t="e">
        <v>#N/A</v>
      </c>
    </row>
    <row r="546" spans="1:5" x14ac:dyDescent="0.3">
      <c r="A546" s="1">
        <v>31957</v>
      </c>
      <c r="B546">
        <v>307.89999389648398</v>
      </c>
      <c r="C546">
        <v>2289.30004882812</v>
      </c>
      <c r="D546">
        <v>1761.90002441406</v>
      </c>
      <c r="E546">
        <v>3724.01928710937</v>
      </c>
    </row>
    <row r="547" spans="1:5" x14ac:dyDescent="0.3">
      <c r="A547" s="1">
        <v>31958</v>
      </c>
      <c r="B547">
        <v>304</v>
      </c>
      <c r="C547">
        <v>2284.10009765625</v>
      </c>
      <c r="D547">
        <v>1765.80004882812</v>
      </c>
      <c r="E547">
        <v>3730.70190429687</v>
      </c>
    </row>
    <row r="548" spans="1:5" x14ac:dyDescent="0.3">
      <c r="A548" s="1">
        <v>31959</v>
      </c>
      <c r="B548">
        <v>302.94000244140602</v>
      </c>
      <c r="C548">
        <v>2269.80004882812</v>
      </c>
      <c r="D548">
        <v>1774</v>
      </c>
      <c r="E548" t="e">
        <v>#N/A</v>
      </c>
    </row>
    <row r="549" spans="1:5" x14ac:dyDescent="0.3">
      <c r="A549" s="1">
        <v>31960</v>
      </c>
      <c r="B549">
        <v>305.63000488281199</v>
      </c>
      <c r="C549">
        <v>2297.39990234375</v>
      </c>
      <c r="D549">
        <v>1800</v>
      </c>
      <c r="E549">
        <v>3758.03247070312</v>
      </c>
    </row>
    <row r="550" spans="1:5" x14ac:dyDescent="0.3">
      <c r="A550" s="1">
        <v>31961</v>
      </c>
      <c r="B550" t="e">
        <v>#N/A</v>
      </c>
      <c r="C550">
        <v>2328.10009765625</v>
      </c>
      <c r="D550">
        <v>1833.69995117187</v>
      </c>
      <c r="E550">
        <v>3798.32958984375</v>
      </c>
    </row>
    <row r="551" spans="1:5" x14ac:dyDescent="0.3">
      <c r="A551" s="1">
        <v>31962</v>
      </c>
      <c r="B551" t="e">
        <v>#N/A</v>
      </c>
      <c r="C551" t="e">
        <v>#N/A</v>
      </c>
      <c r="D551" t="e">
        <v>#N/A</v>
      </c>
      <c r="E551" t="e">
        <v>#N/A</v>
      </c>
    </row>
    <row r="552" spans="1:5" x14ac:dyDescent="0.3">
      <c r="A552" s="1">
        <v>31963</v>
      </c>
      <c r="B552" t="e">
        <v>#N/A</v>
      </c>
      <c r="C552" t="e">
        <v>#N/A</v>
      </c>
      <c r="D552" t="e">
        <v>#N/A</v>
      </c>
      <c r="E552" t="e">
        <v>#N/A</v>
      </c>
    </row>
    <row r="553" spans="1:5" x14ac:dyDescent="0.3">
      <c r="A553" s="1">
        <v>31964</v>
      </c>
      <c r="B553">
        <v>304.92001342773398</v>
      </c>
      <c r="C553">
        <v>2351.89990234375</v>
      </c>
      <c r="D553">
        <v>1833.40002441406</v>
      </c>
      <c r="E553">
        <v>3826.75732421875</v>
      </c>
    </row>
    <row r="554" spans="1:5" x14ac:dyDescent="0.3">
      <c r="A554" s="1">
        <v>31965</v>
      </c>
      <c r="B554">
        <v>307.39999389648398</v>
      </c>
      <c r="C554">
        <v>2365.39990234375</v>
      </c>
      <c r="D554">
        <v>1862.80004882812</v>
      </c>
      <c r="E554">
        <v>3874.63525390625</v>
      </c>
    </row>
    <row r="555" spans="1:5" x14ac:dyDescent="0.3">
      <c r="A555" s="1">
        <v>31966</v>
      </c>
      <c r="B555">
        <v>308.29000854492102</v>
      </c>
      <c r="C555">
        <v>2356.89990234375</v>
      </c>
      <c r="D555">
        <v>1883.5</v>
      </c>
      <c r="E555">
        <v>3926.60327148437</v>
      </c>
    </row>
    <row r="556" spans="1:5" x14ac:dyDescent="0.3">
      <c r="A556" s="1">
        <v>31967</v>
      </c>
      <c r="B556">
        <v>307.51998901367102</v>
      </c>
      <c r="C556">
        <v>2371</v>
      </c>
      <c r="D556">
        <v>1898.59997558593</v>
      </c>
      <c r="E556">
        <v>3922.513671875</v>
      </c>
    </row>
    <row r="557" spans="1:5" x14ac:dyDescent="0.3">
      <c r="A557" s="1">
        <v>31968</v>
      </c>
      <c r="B557">
        <v>308.36999511718699</v>
      </c>
      <c r="C557">
        <v>2382</v>
      </c>
      <c r="D557">
        <v>1915.19995117187</v>
      </c>
      <c r="E557">
        <v>3915.03271484375</v>
      </c>
    </row>
    <row r="558" spans="1:5" x14ac:dyDescent="0.3">
      <c r="A558" s="1">
        <v>31969</v>
      </c>
      <c r="B558" t="e">
        <v>#N/A</v>
      </c>
      <c r="C558" t="e">
        <v>#N/A</v>
      </c>
      <c r="D558" t="e">
        <v>#N/A</v>
      </c>
      <c r="E558" t="e">
        <v>#N/A</v>
      </c>
    </row>
    <row r="559" spans="1:5" x14ac:dyDescent="0.3">
      <c r="A559" s="1">
        <v>31970</v>
      </c>
      <c r="B559" t="e">
        <v>#N/A</v>
      </c>
      <c r="C559" t="e">
        <v>#N/A</v>
      </c>
      <c r="D559" t="e">
        <v>#N/A</v>
      </c>
      <c r="E559" t="e">
        <v>#N/A</v>
      </c>
    </row>
    <row r="560" spans="1:5" x14ac:dyDescent="0.3">
      <c r="A560" s="1">
        <v>31971</v>
      </c>
      <c r="B560">
        <v>307.63000488281199</v>
      </c>
      <c r="C560">
        <v>2386.60009765625</v>
      </c>
      <c r="D560">
        <v>1930.69995117187</v>
      </c>
      <c r="E560">
        <v>3915.431640625</v>
      </c>
    </row>
    <row r="561" spans="1:5" x14ac:dyDescent="0.3">
      <c r="A561" s="1">
        <v>31972</v>
      </c>
      <c r="B561">
        <v>310.67999267578102</v>
      </c>
      <c r="C561">
        <v>2403</v>
      </c>
      <c r="D561">
        <v>1927</v>
      </c>
      <c r="E561">
        <v>3946.95141601562</v>
      </c>
    </row>
    <row r="562" spans="1:5" x14ac:dyDescent="0.3">
      <c r="A562" s="1">
        <v>31973</v>
      </c>
      <c r="B562">
        <v>310.42001342773398</v>
      </c>
      <c r="C562">
        <v>2419.19995117187</v>
      </c>
      <c r="D562">
        <v>1934.19995117187</v>
      </c>
      <c r="E562">
        <v>3967.29931640625</v>
      </c>
    </row>
    <row r="563" spans="1:5" x14ac:dyDescent="0.3">
      <c r="A563" s="1">
        <v>31974</v>
      </c>
      <c r="B563">
        <v>312.70001220703102</v>
      </c>
      <c r="C563">
        <v>2443.39990234375</v>
      </c>
      <c r="D563">
        <v>1960</v>
      </c>
      <c r="E563">
        <v>3987.84716796875</v>
      </c>
    </row>
    <row r="564" spans="1:5" x14ac:dyDescent="0.3">
      <c r="A564" s="1">
        <v>31975</v>
      </c>
      <c r="B564">
        <v>314.58999633789</v>
      </c>
      <c r="C564">
        <v>2428.69995117187</v>
      </c>
      <c r="D564">
        <v>1975.40002441406</v>
      </c>
      <c r="E564">
        <v>3974.18188476562</v>
      </c>
    </row>
    <row r="565" spans="1:5" x14ac:dyDescent="0.3">
      <c r="A565" s="1">
        <v>31976</v>
      </c>
      <c r="B565" t="e">
        <v>#N/A</v>
      </c>
      <c r="C565" t="e">
        <v>#N/A</v>
      </c>
      <c r="D565" t="e">
        <v>#N/A</v>
      </c>
      <c r="E565" t="e">
        <v>#N/A</v>
      </c>
    </row>
    <row r="566" spans="1:5" x14ac:dyDescent="0.3">
      <c r="A566" s="1">
        <v>31977</v>
      </c>
      <c r="B566" t="e">
        <v>#N/A</v>
      </c>
      <c r="C566" t="e">
        <v>#N/A</v>
      </c>
      <c r="D566" t="e">
        <v>#N/A</v>
      </c>
      <c r="E566" t="e">
        <v>#N/A</v>
      </c>
    </row>
    <row r="567" spans="1:5" x14ac:dyDescent="0.3">
      <c r="A567" s="1">
        <v>31978</v>
      </c>
      <c r="B567">
        <v>311.39001464843699</v>
      </c>
      <c r="C567">
        <v>2400.69995117187</v>
      </c>
      <c r="D567">
        <v>1977.69995117187</v>
      </c>
      <c r="E567">
        <v>3965.90283203125</v>
      </c>
    </row>
    <row r="568" spans="1:5" x14ac:dyDescent="0.3">
      <c r="A568" s="1">
        <v>31979</v>
      </c>
      <c r="B568">
        <v>308.54998779296801</v>
      </c>
      <c r="C568">
        <v>2390.5</v>
      </c>
      <c r="D568">
        <v>1973.30004882812</v>
      </c>
      <c r="E568">
        <v>3943.56005859375</v>
      </c>
    </row>
    <row r="569" spans="1:5" x14ac:dyDescent="0.3">
      <c r="A569" s="1">
        <v>31980</v>
      </c>
      <c r="B569">
        <v>308.47000122070301</v>
      </c>
      <c r="C569">
        <v>2344.5</v>
      </c>
      <c r="D569">
        <v>1961.5</v>
      </c>
      <c r="E569">
        <v>3930.2939453125</v>
      </c>
    </row>
    <row r="570" spans="1:5" x14ac:dyDescent="0.3">
      <c r="A570" s="1">
        <v>31981</v>
      </c>
      <c r="B570">
        <v>307.80999755859301</v>
      </c>
      <c r="C570">
        <v>2340.19995117187</v>
      </c>
      <c r="D570">
        <v>1984.90002441406</v>
      </c>
      <c r="E570">
        <v>3935.97924804687</v>
      </c>
    </row>
    <row r="571" spans="1:5" x14ac:dyDescent="0.3">
      <c r="A571" s="1">
        <v>31982</v>
      </c>
      <c r="B571">
        <v>309.26998901367102</v>
      </c>
      <c r="C571">
        <v>2346.89990234375</v>
      </c>
      <c r="D571">
        <v>1998</v>
      </c>
      <c r="E571">
        <v>3946.2529296875</v>
      </c>
    </row>
    <row r="572" spans="1:5" x14ac:dyDescent="0.3">
      <c r="A572" s="1">
        <v>31983</v>
      </c>
      <c r="B572" t="e">
        <v>#N/A</v>
      </c>
      <c r="C572" t="e">
        <v>#N/A</v>
      </c>
      <c r="D572" t="e">
        <v>#N/A</v>
      </c>
      <c r="E572" t="e">
        <v>#N/A</v>
      </c>
    </row>
    <row r="573" spans="1:5" x14ac:dyDescent="0.3">
      <c r="A573" s="1">
        <v>31984</v>
      </c>
      <c r="B573" t="e">
        <v>#N/A</v>
      </c>
      <c r="C573" t="e">
        <v>#N/A</v>
      </c>
      <c r="D573" t="e">
        <v>#N/A</v>
      </c>
      <c r="E573" t="e">
        <v>#N/A</v>
      </c>
    </row>
    <row r="574" spans="1:5" x14ac:dyDescent="0.3">
      <c r="A574" s="1">
        <v>31985</v>
      </c>
      <c r="B574">
        <v>310.64999389648398</v>
      </c>
      <c r="C574">
        <v>2333.89990234375</v>
      </c>
      <c r="D574">
        <v>1998.09997558593</v>
      </c>
      <c r="E574">
        <v>3936.2783203125</v>
      </c>
    </row>
    <row r="575" spans="1:5" x14ac:dyDescent="0.3">
      <c r="A575" s="1">
        <v>31986</v>
      </c>
      <c r="B575">
        <v>312.329986572265</v>
      </c>
      <c r="C575">
        <v>2359.89990234375</v>
      </c>
      <c r="D575">
        <v>1981</v>
      </c>
      <c r="E575">
        <v>3946.1533203125</v>
      </c>
    </row>
    <row r="576" spans="1:5" x14ac:dyDescent="0.3">
      <c r="A576" s="1">
        <v>31987</v>
      </c>
      <c r="B576">
        <v>315.64999389648398</v>
      </c>
      <c r="C576">
        <v>2383.10009765625</v>
      </c>
      <c r="D576">
        <v>1999.90002441406</v>
      </c>
      <c r="E576">
        <v>3990.64013671875</v>
      </c>
    </row>
    <row r="577" spans="1:5" x14ac:dyDescent="0.3">
      <c r="A577" s="1">
        <v>31988</v>
      </c>
      <c r="B577">
        <v>318.04998779296801</v>
      </c>
      <c r="C577">
        <v>2370.5</v>
      </c>
      <c r="D577">
        <v>2022.40002441406</v>
      </c>
      <c r="E577">
        <v>4013.28247070312</v>
      </c>
    </row>
    <row r="578" spans="1:5" x14ac:dyDescent="0.3">
      <c r="A578" s="1">
        <v>31989</v>
      </c>
      <c r="B578">
        <v>318.66000366210898</v>
      </c>
      <c r="C578">
        <v>2360.89990234375</v>
      </c>
      <c r="D578">
        <v>2030.19995117187</v>
      </c>
      <c r="E578">
        <v>4020.1650390625</v>
      </c>
    </row>
    <row r="579" spans="1:5" x14ac:dyDescent="0.3">
      <c r="A579" s="1">
        <v>31990</v>
      </c>
      <c r="B579" t="e">
        <v>#N/A</v>
      </c>
      <c r="C579" t="e">
        <v>#N/A</v>
      </c>
      <c r="D579" t="e">
        <v>#N/A</v>
      </c>
      <c r="E579" t="e">
        <v>#N/A</v>
      </c>
    </row>
    <row r="580" spans="1:5" x14ac:dyDescent="0.3">
      <c r="A580" s="1">
        <v>31991</v>
      </c>
      <c r="B580" t="e">
        <v>#N/A</v>
      </c>
      <c r="C580" t="e">
        <v>#N/A</v>
      </c>
      <c r="D580" t="e">
        <v>#N/A</v>
      </c>
      <c r="E580" t="e">
        <v>#N/A</v>
      </c>
    </row>
    <row r="581" spans="1:5" x14ac:dyDescent="0.3">
      <c r="A581" s="1">
        <v>31992</v>
      </c>
      <c r="B581">
        <v>317.57000732421801</v>
      </c>
      <c r="C581">
        <v>2334.30004882812</v>
      </c>
      <c r="D581">
        <v>2060.60009765625</v>
      </c>
      <c r="E581" t="e">
        <v>#N/A</v>
      </c>
    </row>
    <row r="582" spans="1:5" x14ac:dyDescent="0.3">
      <c r="A582" s="1">
        <v>31993</v>
      </c>
      <c r="B582">
        <v>316.23001098632801</v>
      </c>
      <c r="C582">
        <v>2307.80004882812</v>
      </c>
      <c r="D582">
        <v>2087.80004882812</v>
      </c>
      <c r="E582">
        <v>4044.6025390625</v>
      </c>
    </row>
    <row r="583" spans="1:5" x14ac:dyDescent="0.3">
      <c r="A583" s="1">
        <v>31994</v>
      </c>
      <c r="B583">
        <v>318.45001220703102</v>
      </c>
      <c r="C583">
        <v>2317.39990234375</v>
      </c>
      <c r="D583">
        <v>2088.10009765625</v>
      </c>
      <c r="E583">
        <v>4030.63818359375</v>
      </c>
    </row>
    <row r="584" spans="1:5" x14ac:dyDescent="0.3">
      <c r="A584" s="1">
        <v>31995</v>
      </c>
      <c r="B584">
        <v>322.08999633789</v>
      </c>
      <c r="C584">
        <v>2261.39990234375</v>
      </c>
      <c r="D584">
        <v>2083.39990234375</v>
      </c>
      <c r="E584">
        <v>4029.44140625</v>
      </c>
    </row>
    <row r="585" spans="1:5" x14ac:dyDescent="0.3">
      <c r="A585" s="1">
        <v>31996</v>
      </c>
      <c r="B585">
        <v>323</v>
      </c>
      <c r="C585">
        <v>2226.19995117187</v>
      </c>
      <c r="D585">
        <v>2083.80004882812</v>
      </c>
      <c r="E585">
        <v>4027.84545898437</v>
      </c>
    </row>
    <row r="586" spans="1:5" x14ac:dyDescent="0.3">
      <c r="A586" s="1">
        <v>31997</v>
      </c>
      <c r="B586" t="e">
        <v>#N/A</v>
      </c>
      <c r="C586" t="e">
        <v>#N/A</v>
      </c>
      <c r="D586" t="e">
        <v>#N/A</v>
      </c>
      <c r="E586" t="e">
        <v>#N/A</v>
      </c>
    </row>
    <row r="587" spans="1:5" x14ac:dyDescent="0.3">
      <c r="A587" s="1">
        <v>31998</v>
      </c>
      <c r="B587" t="e">
        <v>#N/A</v>
      </c>
      <c r="C587" t="e">
        <v>#N/A</v>
      </c>
      <c r="D587" t="e">
        <v>#N/A</v>
      </c>
      <c r="E587" t="e">
        <v>#N/A</v>
      </c>
    </row>
    <row r="588" spans="1:5" x14ac:dyDescent="0.3">
      <c r="A588" s="1">
        <v>31999</v>
      </c>
      <c r="B588">
        <v>328</v>
      </c>
      <c r="C588">
        <v>2242.19995117187</v>
      </c>
      <c r="D588">
        <v>2079.30004882812</v>
      </c>
      <c r="E588">
        <v>4057.17041015625</v>
      </c>
    </row>
    <row r="589" spans="1:5" x14ac:dyDescent="0.3">
      <c r="A589" s="1">
        <v>32000</v>
      </c>
      <c r="B589">
        <v>333.329986572265</v>
      </c>
      <c r="C589">
        <v>2275.39990234375</v>
      </c>
      <c r="D589">
        <v>2084.19995117187</v>
      </c>
      <c r="E589">
        <v>4093.67797851562</v>
      </c>
    </row>
    <row r="590" spans="1:5" x14ac:dyDescent="0.3">
      <c r="A590" s="1">
        <v>32001</v>
      </c>
      <c r="B590">
        <v>332.39001464843699</v>
      </c>
      <c r="C590">
        <v>2286.10009765625</v>
      </c>
      <c r="D590">
        <v>2095.89990234375</v>
      </c>
      <c r="E590">
        <v>4094.57568359375</v>
      </c>
    </row>
    <row r="591" spans="1:5" x14ac:dyDescent="0.3">
      <c r="A591" s="1">
        <v>32002</v>
      </c>
      <c r="B591">
        <v>334.64999389648398</v>
      </c>
      <c r="C591">
        <v>2290.10009765625</v>
      </c>
      <c r="D591">
        <v>2104.60009765625</v>
      </c>
      <c r="E591">
        <v>4102.455078125</v>
      </c>
    </row>
    <row r="592" spans="1:5" x14ac:dyDescent="0.3">
      <c r="A592" s="1">
        <v>32003</v>
      </c>
      <c r="B592">
        <v>333.989990234375</v>
      </c>
      <c r="C592">
        <v>2295.39990234375</v>
      </c>
      <c r="D592">
        <v>2114.5</v>
      </c>
      <c r="E592">
        <v>4072.83081054687</v>
      </c>
    </row>
    <row r="593" spans="1:5" x14ac:dyDescent="0.3">
      <c r="A593" s="1">
        <v>32004</v>
      </c>
      <c r="B593" t="e">
        <v>#N/A</v>
      </c>
      <c r="C593" t="e">
        <v>#N/A</v>
      </c>
      <c r="D593" t="e">
        <v>#N/A</v>
      </c>
      <c r="E593" t="e">
        <v>#N/A</v>
      </c>
    </row>
    <row r="594" spans="1:5" x14ac:dyDescent="0.3">
      <c r="A594" s="1">
        <v>32005</v>
      </c>
      <c r="B594" t="e">
        <v>#N/A</v>
      </c>
      <c r="C594" t="e">
        <v>#N/A</v>
      </c>
      <c r="D594" t="e">
        <v>#N/A</v>
      </c>
      <c r="E594" t="e">
        <v>#N/A</v>
      </c>
    </row>
    <row r="595" spans="1:5" x14ac:dyDescent="0.3">
      <c r="A595" s="1">
        <v>32006</v>
      </c>
      <c r="B595">
        <v>334.10998535156199</v>
      </c>
      <c r="C595">
        <v>2295.39990234375</v>
      </c>
      <c r="D595">
        <v>2110.39990234375</v>
      </c>
      <c r="E595">
        <v>4061.95849609375</v>
      </c>
    </row>
    <row r="596" spans="1:5" x14ac:dyDescent="0.3">
      <c r="A596" s="1">
        <v>32007</v>
      </c>
      <c r="B596">
        <v>329.25</v>
      </c>
      <c r="C596">
        <v>2224.80004882812</v>
      </c>
      <c r="D596">
        <v>2108.5</v>
      </c>
      <c r="E596">
        <v>4022.259765625</v>
      </c>
    </row>
    <row r="597" spans="1:5" x14ac:dyDescent="0.3">
      <c r="A597" s="1">
        <v>32008</v>
      </c>
      <c r="B597">
        <v>329.829986572265</v>
      </c>
      <c r="C597">
        <v>2197.60009765625</v>
      </c>
      <c r="D597">
        <v>2103</v>
      </c>
      <c r="E597">
        <v>4006.69921875</v>
      </c>
    </row>
    <row r="598" spans="1:5" x14ac:dyDescent="0.3">
      <c r="A598" s="1">
        <v>32009</v>
      </c>
      <c r="B598">
        <v>334.83999633789</v>
      </c>
      <c r="C598">
        <v>2185.30004882812</v>
      </c>
      <c r="D598">
        <v>2085.10009765625</v>
      </c>
      <c r="E598">
        <v>4036.22412109375</v>
      </c>
    </row>
    <row r="599" spans="1:5" x14ac:dyDescent="0.3">
      <c r="A599" s="1">
        <v>32010</v>
      </c>
      <c r="B599">
        <v>335.89999389648398</v>
      </c>
      <c r="C599">
        <v>2205.80004882812</v>
      </c>
      <c r="D599">
        <v>2087.10009765625</v>
      </c>
      <c r="E599">
        <v>4030.03979492187</v>
      </c>
    </row>
    <row r="600" spans="1:5" x14ac:dyDescent="0.3">
      <c r="A600" s="1">
        <v>32011</v>
      </c>
      <c r="B600" t="e">
        <v>#N/A</v>
      </c>
      <c r="C600" t="e">
        <v>#N/A</v>
      </c>
      <c r="D600" t="e">
        <v>#N/A</v>
      </c>
      <c r="E600" t="e">
        <v>#N/A</v>
      </c>
    </row>
    <row r="601" spans="1:5" x14ac:dyDescent="0.3">
      <c r="A601" s="1">
        <v>32012</v>
      </c>
      <c r="B601" t="e">
        <v>#N/A</v>
      </c>
      <c r="C601" t="e">
        <v>#N/A</v>
      </c>
      <c r="D601" t="e">
        <v>#N/A</v>
      </c>
      <c r="E601" t="e">
        <v>#N/A</v>
      </c>
    </row>
    <row r="602" spans="1:5" x14ac:dyDescent="0.3">
      <c r="A602" s="1">
        <v>32013</v>
      </c>
      <c r="B602">
        <v>333.329986572265</v>
      </c>
      <c r="C602">
        <v>2225.10009765625</v>
      </c>
      <c r="D602">
        <v>2085.60009765625</v>
      </c>
      <c r="E602">
        <v>4009.99072265625</v>
      </c>
    </row>
    <row r="603" spans="1:5" x14ac:dyDescent="0.3">
      <c r="A603" s="1">
        <v>32014</v>
      </c>
      <c r="B603">
        <v>336.76998901367102</v>
      </c>
      <c r="C603">
        <v>2248.10009765625</v>
      </c>
      <c r="D603">
        <v>2102.5</v>
      </c>
      <c r="E603">
        <v>4023.45629882812</v>
      </c>
    </row>
    <row r="604" spans="1:5" x14ac:dyDescent="0.3">
      <c r="A604" s="1">
        <v>32015</v>
      </c>
      <c r="B604">
        <v>334.57000732421801</v>
      </c>
      <c r="C604">
        <v>2249.60009765625</v>
      </c>
      <c r="D604">
        <v>2120.69995117187</v>
      </c>
      <c r="E604">
        <v>3997.82177734375</v>
      </c>
    </row>
    <row r="605" spans="1:5" x14ac:dyDescent="0.3">
      <c r="A605" s="1">
        <v>32016</v>
      </c>
      <c r="B605">
        <v>331.38000488281199</v>
      </c>
      <c r="C605">
        <v>2245.80004882812</v>
      </c>
      <c r="D605">
        <v>2155.5</v>
      </c>
      <c r="E605">
        <v>3984.95458984375</v>
      </c>
    </row>
    <row r="606" spans="1:5" x14ac:dyDescent="0.3">
      <c r="A606" s="1">
        <v>32017</v>
      </c>
      <c r="B606">
        <v>327.04000854492102</v>
      </c>
      <c r="C606">
        <v>2249.69995117187</v>
      </c>
      <c r="D606">
        <v>2163.10009765625</v>
      </c>
      <c r="E606">
        <v>3965.20483398437</v>
      </c>
    </row>
    <row r="607" spans="1:5" x14ac:dyDescent="0.3">
      <c r="A607" s="1">
        <v>32018</v>
      </c>
      <c r="B607" t="e">
        <v>#N/A</v>
      </c>
      <c r="C607" t="e">
        <v>#N/A</v>
      </c>
      <c r="D607" t="e">
        <v>#N/A</v>
      </c>
      <c r="E607" t="e">
        <v>#N/A</v>
      </c>
    </row>
    <row r="608" spans="1:5" x14ac:dyDescent="0.3">
      <c r="A608" s="1">
        <v>32019</v>
      </c>
      <c r="B608" t="e">
        <v>#N/A</v>
      </c>
      <c r="C608" t="e">
        <v>#N/A</v>
      </c>
      <c r="D608" t="e">
        <v>#N/A</v>
      </c>
      <c r="E608" t="e">
        <v>#N/A</v>
      </c>
    </row>
    <row r="609" spans="1:5" x14ac:dyDescent="0.3">
      <c r="A609" s="1">
        <v>32020</v>
      </c>
      <c r="B609">
        <v>329.79998779296801</v>
      </c>
      <c r="C609" t="e">
        <v>#N/A</v>
      </c>
      <c r="D609">
        <v>2150</v>
      </c>
      <c r="E609">
        <v>3983.45849609375</v>
      </c>
    </row>
    <row r="610" spans="1:5" x14ac:dyDescent="0.3">
      <c r="A610" s="1">
        <v>32021</v>
      </c>
      <c r="B610">
        <v>323.39999389648398</v>
      </c>
      <c r="C610">
        <v>2272.80004882812</v>
      </c>
      <c r="D610">
        <v>2157.69995117187</v>
      </c>
      <c r="E610">
        <v>3972.08740234375</v>
      </c>
    </row>
    <row r="611" spans="1:5" x14ac:dyDescent="0.3">
      <c r="A611" s="1">
        <v>32022</v>
      </c>
      <c r="B611">
        <v>321.67999267578102</v>
      </c>
      <c r="C611">
        <v>2249.5</v>
      </c>
      <c r="D611">
        <v>2176.89990234375</v>
      </c>
      <c r="E611">
        <v>3967.7978515625</v>
      </c>
    </row>
    <row r="612" spans="1:5" x14ac:dyDescent="0.3">
      <c r="A612" s="1">
        <v>32023</v>
      </c>
      <c r="B612">
        <v>320.20999145507801</v>
      </c>
      <c r="C612">
        <v>2268.10009765625</v>
      </c>
      <c r="D612">
        <v>2203.69995117187</v>
      </c>
      <c r="E612">
        <v>3952.53735351562</v>
      </c>
    </row>
    <row r="613" spans="1:5" x14ac:dyDescent="0.3">
      <c r="A613" s="1">
        <v>32024</v>
      </c>
      <c r="B613">
        <v>316.70001220703102</v>
      </c>
      <c r="C613">
        <v>2274.89990234375</v>
      </c>
      <c r="D613">
        <v>2194.89990234375</v>
      </c>
      <c r="E613">
        <v>3945.35522460937</v>
      </c>
    </row>
    <row r="614" spans="1:5" x14ac:dyDescent="0.3">
      <c r="A614" s="1">
        <v>32025</v>
      </c>
      <c r="B614" t="e">
        <v>#N/A</v>
      </c>
      <c r="C614" t="e">
        <v>#N/A</v>
      </c>
      <c r="D614" t="e">
        <v>#N/A</v>
      </c>
      <c r="E614" t="e">
        <v>#N/A</v>
      </c>
    </row>
    <row r="615" spans="1:5" x14ac:dyDescent="0.3">
      <c r="A615" s="1">
        <v>32026</v>
      </c>
      <c r="B615" t="e">
        <v>#N/A</v>
      </c>
      <c r="C615" t="e">
        <v>#N/A</v>
      </c>
      <c r="D615" t="e">
        <v>#N/A</v>
      </c>
      <c r="E615" t="e">
        <v>#N/A</v>
      </c>
    </row>
    <row r="616" spans="1:5" x14ac:dyDescent="0.3">
      <c r="A616" s="1">
        <v>32027</v>
      </c>
      <c r="B616" t="e">
        <v>#N/A</v>
      </c>
      <c r="C616">
        <v>2283.60009765625</v>
      </c>
      <c r="D616">
        <v>2210.19995117187</v>
      </c>
      <c r="E616" t="e">
        <v>#N/A</v>
      </c>
    </row>
    <row r="617" spans="1:5" x14ac:dyDescent="0.3">
      <c r="A617" s="1">
        <v>32028</v>
      </c>
      <c r="B617">
        <v>313.55999755859301</v>
      </c>
      <c r="C617">
        <v>2275</v>
      </c>
      <c r="D617">
        <v>2207.80004882812</v>
      </c>
      <c r="E617">
        <v>3889.99633789062</v>
      </c>
    </row>
    <row r="618" spans="1:5" x14ac:dyDescent="0.3">
      <c r="A618" s="1">
        <v>32029</v>
      </c>
      <c r="B618">
        <v>313.92001342773398</v>
      </c>
      <c r="C618">
        <v>2249.10009765625</v>
      </c>
      <c r="D618">
        <v>2188.5</v>
      </c>
      <c r="E618">
        <v>3878.9248046875</v>
      </c>
    </row>
    <row r="619" spans="1:5" x14ac:dyDescent="0.3">
      <c r="A619" s="1">
        <v>32030</v>
      </c>
      <c r="B619">
        <v>317.13000488281199</v>
      </c>
      <c r="C619">
        <v>2253.19995117187</v>
      </c>
      <c r="D619">
        <v>2185</v>
      </c>
      <c r="E619">
        <v>3918.82299804687</v>
      </c>
    </row>
    <row r="620" spans="1:5" x14ac:dyDescent="0.3">
      <c r="A620" s="1">
        <v>32031</v>
      </c>
      <c r="B620">
        <v>321.98001098632801</v>
      </c>
      <c r="C620">
        <v>2261.19995117187</v>
      </c>
      <c r="D620">
        <v>2206.69995117187</v>
      </c>
      <c r="E620">
        <v>3930.79272460937</v>
      </c>
    </row>
    <row r="621" spans="1:5" x14ac:dyDescent="0.3">
      <c r="A621" s="1">
        <v>32032</v>
      </c>
      <c r="B621" t="e">
        <v>#N/A</v>
      </c>
      <c r="C621" t="e">
        <v>#N/A</v>
      </c>
      <c r="D621" t="e">
        <v>#N/A</v>
      </c>
      <c r="E621" t="e">
        <v>#N/A</v>
      </c>
    </row>
    <row r="622" spans="1:5" x14ac:dyDescent="0.3">
      <c r="A622" s="1">
        <v>32033</v>
      </c>
      <c r="B622" t="e">
        <v>#N/A</v>
      </c>
      <c r="C622" t="e">
        <v>#N/A</v>
      </c>
      <c r="D622" t="e">
        <v>#N/A</v>
      </c>
      <c r="E622" t="e">
        <v>#N/A</v>
      </c>
    </row>
    <row r="623" spans="1:5" x14ac:dyDescent="0.3">
      <c r="A623" s="1">
        <v>32034</v>
      </c>
      <c r="B623">
        <v>323.079986572265</v>
      </c>
      <c r="C623">
        <v>2271.80004882812</v>
      </c>
      <c r="D623">
        <v>2206</v>
      </c>
      <c r="E623">
        <v>3930.09423828125</v>
      </c>
    </row>
    <row r="624" spans="1:5" x14ac:dyDescent="0.3">
      <c r="A624" s="1">
        <v>32035</v>
      </c>
      <c r="B624">
        <v>317.739990234375</v>
      </c>
      <c r="C624">
        <v>2264.5</v>
      </c>
      <c r="D624">
        <v>2230.60009765625</v>
      </c>
      <c r="E624">
        <v>3911.64111328125</v>
      </c>
    </row>
    <row r="625" spans="1:5" x14ac:dyDescent="0.3">
      <c r="A625" s="1">
        <v>32036</v>
      </c>
      <c r="B625">
        <v>314.85998535156199</v>
      </c>
      <c r="C625">
        <v>2279.80004882812</v>
      </c>
      <c r="D625">
        <v>2274.5</v>
      </c>
      <c r="E625">
        <v>3898.275390625</v>
      </c>
    </row>
    <row r="626" spans="1:5" x14ac:dyDescent="0.3">
      <c r="A626" s="1">
        <v>32037</v>
      </c>
      <c r="B626">
        <v>314.92999267578102</v>
      </c>
      <c r="C626">
        <v>2304.5</v>
      </c>
      <c r="D626">
        <v>2283.89990234375</v>
      </c>
      <c r="E626">
        <v>3891.09375</v>
      </c>
    </row>
    <row r="627" spans="1:5" x14ac:dyDescent="0.3">
      <c r="A627" s="1">
        <v>32038</v>
      </c>
      <c r="B627">
        <v>314.85998535156199</v>
      </c>
      <c r="C627">
        <v>2328.30004882812</v>
      </c>
      <c r="D627">
        <v>2305.39990234375</v>
      </c>
      <c r="E627">
        <v>3903.66162109375</v>
      </c>
    </row>
    <row r="628" spans="1:5" x14ac:dyDescent="0.3">
      <c r="A628" s="1">
        <v>32039</v>
      </c>
      <c r="B628" t="e">
        <v>#N/A</v>
      </c>
      <c r="C628" t="e">
        <v>#N/A</v>
      </c>
      <c r="D628" t="e">
        <v>#N/A</v>
      </c>
      <c r="E628" t="e">
        <v>#N/A</v>
      </c>
    </row>
    <row r="629" spans="1:5" x14ac:dyDescent="0.3">
      <c r="A629" s="1">
        <v>32040</v>
      </c>
      <c r="B629" t="e">
        <v>#N/A</v>
      </c>
      <c r="C629" t="e">
        <v>#N/A</v>
      </c>
      <c r="D629" t="e">
        <v>#N/A</v>
      </c>
      <c r="E629" t="e">
        <v>#N/A</v>
      </c>
    </row>
    <row r="630" spans="1:5" x14ac:dyDescent="0.3">
      <c r="A630" s="1">
        <v>32041</v>
      </c>
      <c r="B630">
        <v>310.54000854492102</v>
      </c>
      <c r="C630">
        <v>2334.80004882812</v>
      </c>
      <c r="D630">
        <v>2305.89990234375</v>
      </c>
      <c r="E630">
        <v>3876.5302734375</v>
      </c>
    </row>
    <row r="631" spans="1:5" x14ac:dyDescent="0.3">
      <c r="A631" s="1">
        <v>32042</v>
      </c>
      <c r="B631">
        <v>319.5</v>
      </c>
      <c r="C631">
        <v>2336.19995117187</v>
      </c>
      <c r="D631">
        <v>2291.69995117187</v>
      </c>
      <c r="E631">
        <v>3881.9169921875</v>
      </c>
    </row>
    <row r="632" spans="1:5" x14ac:dyDescent="0.3">
      <c r="A632" s="1">
        <v>32043</v>
      </c>
      <c r="B632">
        <v>321.19000244140602</v>
      </c>
      <c r="C632">
        <v>2352.39990234375</v>
      </c>
      <c r="D632">
        <v>2271</v>
      </c>
      <c r="E632">
        <v>3909.44677734375</v>
      </c>
    </row>
    <row r="633" spans="1:5" x14ac:dyDescent="0.3">
      <c r="A633" s="1">
        <v>32044</v>
      </c>
      <c r="B633">
        <v>319.72000122070301</v>
      </c>
      <c r="C633">
        <v>2313.39990234375</v>
      </c>
      <c r="D633">
        <v>2277.60009765625</v>
      </c>
      <c r="E633">
        <v>3928.19897460937</v>
      </c>
    </row>
    <row r="634" spans="1:5" x14ac:dyDescent="0.3">
      <c r="A634" s="1">
        <v>32045</v>
      </c>
      <c r="B634">
        <v>320.16000366210898</v>
      </c>
      <c r="C634">
        <v>2342.60009765625</v>
      </c>
      <c r="D634">
        <v>2282.5</v>
      </c>
      <c r="E634">
        <v>3926.50341796875</v>
      </c>
    </row>
    <row r="635" spans="1:5" x14ac:dyDescent="0.3">
      <c r="A635" s="1">
        <v>32046</v>
      </c>
      <c r="B635" t="e">
        <v>#N/A</v>
      </c>
      <c r="C635" t="e">
        <v>#N/A</v>
      </c>
      <c r="D635" t="e">
        <v>#N/A</v>
      </c>
      <c r="E635" t="e">
        <v>#N/A</v>
      </c>
    </row>
    <row r="636" spans="1:5" x14ac:dyDescent="0.3">
      <c r="A636" s="1">
        <v>32047</v>
      </c>
      <c r="B636" t="e">
        <v>#N/A</v>
      </c>
      <c r="C636" t="e">
        <v>#N/A</v>
      </c>
      <c r="D636" t="e">
        <v>#N/A</v>
      </c>
      <c r="E636" t="e">
        <v>#N/A</v>
      </c>
    </row>
    <row r="637" spans="1:5" x14ac:dyDescent="0.3">
      <c r="A637" s="1">
        <v>32048</v>
      </c>
      <c r="B637">
        <v>323.20001220703102</v>
      </c>
      <c r="C637">
        <v>2368.10009765625</v>
      </c>
      <c r="D637">
        <v>2274.39990234375</v>
      </c>
      <c r="E637">
        <v>3918.92260742187</v>
      </c>
    </row>
    <row r="638" spans="1:5" x14ac:dyDescent="0.3">
      <c r="A638" s="1">
        <v>32049</v>
      </c>
      <c r="B638">
        <v>321.69000244140602</v>
      </c>
      <c r="C638">
        <v>2368.30004882812</v>
      </c>
      <c r="D638">
        <v>2262.80004882812</v>
      </c>
      <c r="E638">
        <v>3899.771484375</v>
      </c>
    </row>
    <row r="639" spans="1:5" x14ac:dyDescent="0.3">
      <c r="A639" s="1">
        <v>32050</v>
      </c>
      <c r="B639">
        <v>321.829986572265</v>
      </c>
      <c r="C639">
        <v>2366</v>
      </c>
      <c r="D639">
        <v>2247.60009765625</v>
      </c>
      <c r="E639">
        <v>3892.48999023437</v>
      </c>
    </row>
    <row r="640" spans="1:5" x14ac:dyDescent="0.3">
      <c r="A640" s="1">
        <v>32051</v>
      </c>
      <c r="B640">
        <v>327.329986572265</v>
      </c>
      <c r="C640">
        <v>2373.80004882812</v>
      </c>
      <c r="D640">
        <v>2247.60009765625</v>
      </c>
      <c r="E640">
        <v>3888.10107421875</v>
      </c>
    </row>
    <row r="641" spans="1:5" x14ac:dyDescent="0.3">
      <c r="A641" s="1">
        <v>32052</v>
      </c>
      <c r="B641">
        <v>328.07000732421801</v>
      </c>
      <c r="C641">
        <v>2382.19995117187</v>
      </c>
      <c r="D641">
        <v>2247.60009765625</v>
      </c>
      <c r="E641">
        <v>3883.61279296875</v>
      </c>
    </row>
    <row r="642" spans="1:5" x14ac:dyDescent="0.3">
      <c r="A642" s="1">
        <v>32053</v>
      </c>
      <c r="B642" t="e">
        <v>#N/A</v>
      </c>
      <c r="C642" t="e">
        <v>#N/A</v>
      </c>
      <c r="D642" t="e">
        <v>#N/A</v>
      </c>
      <c r="E642" t="e">
        <v>#N/A</v>
      </c>
    </row>
    <row r="643" spans="1:5" x14ac:dyDescent="0.3">
      <c r="A643" s="1">
        <v>32054</v>
      </c>
      <c r="B643" t="e">
        <v>#N/A</v>
      </c>
      <c r="C643" t="e">
        <v>#N/A</v>
      </c>
      <c r="D643" t="e">
        <v>#N/A</v>
      </c>
      <c r="E643" t="e">
        <v>#N/A</v>
      </c>
    </row>
    <row r="644" spans="1:5" x14ac:dyDescent="0.3">
      <c r="A644" s="1">
        <v>32055</v>
      </c>
      <c r="B644">
        <v>328.079986572265</v>
      </c>
      <c r="C644">
        <v>2385.80004882812</v>
      </c>
      <c r="D644">
        <v>2247.60009765625</v>
      </c>
      <c r="E644">
        <v>3908.15014648437</v>
      </c>
    </row>
    <row r="645" spans="1:5" x14ac:dyDescent="0.3">
      <c r="A645" s="1">
        <v>32056</v>
      </c>
      <c r="B645">
        <v>319.22000122070301</v>
      </c>
      <c r="C645">
        <v>2367.89990234375</v>
      </c>
      <c r="D645">
        <v>2247</v>
      </c>
      <c r="E645">
        <v>3851.9931640625</v>
      </c>
    </row>
    <row r="646" spans="1:5" x14ac:dyDescent="0.3">
      <c r="A646" s="1">
        <v>32057</v>
      </c>
      <c r="B646">
        <v>318.54000854492102</v>
      </c>
      <c r="C646">
        <v>2359.80004882812</v>
      </c>
      <c r="D646">
        <v>2217.30004882812</v>
      </c>
      <c r="E646">
        <v>3828.65234375</v>
      </c>
    </row>
    <row r="647" spans="1:5" x14ac:dyDescent="0.3">
      <c r="A647" s="1">
        <v>32058</v>
      </c>
      <c r="B647">
        <v>314.16000366210898</v>
      </c>
      <c r="C647">
        <v>2375.5</v>
      </c>
      <c r="D647">
        <v>2223</v>
      </c>
      <c r="E647">
        <v>3796.63403320312</v>
      </c>
    </row>
    <row r="648" spans="1:5" x14ac:dyDescent="0.3">
      <c r="A648" s="1">
        <v>32059</v>
      </c>
      <c r="B648">
        <v>311.07000732421801</v>
      </c>
      <c r="C648">
        <v>2366.5</v>
      </c>
      <c r="D648">
        <v>2220.5</v>
      </c>
      <c r="E648">
        <v>3771.59790039062</v>
      </c>
    </row>
    <row r="649" spans="1:5" x14ac:dyDescent="0.3">
      <c r="A649" s="1">
        <v>32060</v>
      </c>
      <c r="B649" t="e">
        <v>#N/A</v>
      </c>
      <c r="C649" t="e">
        <v>#N/A</v>
      </c>
      <c r="D649" t="e">
        <v>#N/A</v>
      </c>
      <c r="E649" t="e">
        <v>#N/A</v>
      </c>
    </row>
    <row r="650" spans="1:5" x14ac:dyDescent="0.3">
      <c r="A650" s="1">
        <v>32061</v>
      </c>
      <c r="B650" t="e">
        <v>#N/A</v>
      </c>
      <c r="C650" t="e">
        <v>#N/A</v>
      </c>
      <c r="D650" t="e">
        <v>#N/A</v>
      </c>
      <c r="E650" t="e">
        <v>#N/A</v>
      </c>
    </row>
    <row r="651" spans="1:5" x14ac:dyDescent="0.3">
      <c r="A651" s="1">
        <v>32062</v>
      </c>
      <c r="B651">
        <v>309.39001464843699</v>
      </c>
      <c r="C651">
        <v>2338.5</v>
      </c>
      <c r="D651">
        <v>2185</v>
      </c>
      <c r="E651" t="e">
        <v>#N/A</v>
      </c>
    </row>
    <row r="652" spans="1:5" x14ac:dyDescent="0.3">
      <c r="A652" s="1">
        <v>32063</v>
      </c>
      <c r="B652">
        <v>314.51998901367102</v>
      </c>
      <c r="C652">
        <v>2350.19995117187</v>
      </c>
      <c r="D652">
        <v>2167.30004882812</v>
      </c>
      <c r="E652">
        <v>3750.25219726562</v>
      </c>
    </row>
    <row r="653" spans="1:5" x14ac:dyDescent="0.3">
      <c r="A653" s="1">
        <v>32064</v>
      </c>
      <c r="B653">
        <v>305.23001098632801</v>
      </c>
      <c r="C653">
        <v>2322.89990234375</v>
      </c>
      <c r="D653">
        <v>2184.89990234375</v>
      </c>
      <c r="E653">
        <v>3710.05444335937</v>
      </c>
    </row>
    <row r="654" spans="1:5" x14ac:dyDescent="0.3">
      <c r="A654" s="1">
        <v>32065</v>
      </c>
      <c r="B654">
        <v>298.079986572265</v>
      </c>
      <c r="C654">
        <v>2301.89990234375</v>
      </c>
      <c r="D654">
        <v>2146.39990234375</v>
      </c>
      <c r="E654">
        <v>3665.56762695312</v>
      </c>
    </row>
    <row r="655" spans="1:5" x14ac:dyDescent="0.3">
      <c r="A655" s="1">
        <v>32066</v>
      </c>
      <c r="B655">
        <v>282.70001220703102</v>
      </c>
      <c r="C655">
        <v>2301.89990234375</v>
      </c>
      <c r="D655">
        <v>2144.89990234375</v>
      </c>
      <c r="E655">
        <v>3589.46166992187</v>
      </c>
    </row>
    <row r="656" spans="1:5" x14ac:dyDescent="0.3">
      <c r="A656" s="1">
        <v>32067</v>
      </c>
      <c r="B656" t="e">
        <v>#N/A</v>
      </c>
      <c r="C656" t="e">
        <v>#N/A</v>
      </c>
      <c r="D656" t="e">
        <v>#N/A</v>
      </c>
      <c r="E656" t="e">
        <v>#N/A</v>
      </c>
    </row>
    <row r="657" spans="1:5" x14ac:dyDescent="0.3">
      <c r="A657" s="1">
        <v>32068</v>
      </c>
      <c r="B657" t="e">
        <v>#N/A</v>
      </c>
      <c r="C657" t="e">
        <v>#N/A</v>
      </c>
      <c r="D657" t="e">
        <v>#N/A</v>
      </c>
      <c r="E657" t="e">
        <v>#N/A</v>
      </c>
    </row>
    <row r="658" spans="1:5" x14ac:dyDescent="0.3">
      <c r="A658" s="1">
        <v>32069</v>
      </c>
      <c r="B658">
        <v>224.83999633789</v>
      </c>
      <c r="C658">
        <v>2052.30004882812</v>
      </c>
      <c r="D658">
        <v>2065.39990234375</v>
      </c>
      <c r="E658">
        <v>3190.07836914062</v>
      </c>
    </row>
    <row r="659" spans="1:5" x14ac:dyDescent="0.3">
      <c r="A659" s="1">
        <v>32070</v>
      </c>
      <c r="B659">
        <v>236.83000183105401</v>
      </c>
      <c r="C659">
        <v>1801.59997558593</v>
      </c>
      <c r="D659">
        <v>1549.90002441406</v>
      </c>
      <c r="E659">
        <v>2969.7392578125</v>
      </c>
    </row>
    <row r="660" spans="1:5" x14ac:dyDescent="0.3">
      <c r="A660" s="1">
        <v>32071</v>
      </c>
      <c r="B660">
        <v>258.38000488281199</v>
      </c>
      <c r="C660">
        <v>1943.80004882812</v>
      </c>
      <c r="D660">
        <v>1568.59997558593</v>
      </c>
      <c r="E660">
        <v>3237.95629882812</v>
      </c>
    </row>
    <row r="661" spans="1:5" x14ac:dyDescent="0.3">
      <c r="A661" s="1">
        <v>32072</v>
      </c>
      <c r="B661">
        <v>248.25</v>
      </c>
      <c r="C661">
        <v>1833.19995117187</v>
      </c>
      <c r="D661">
        <v>1628.90002441406</v>
      </c>
      <c r="E661">
        <v>3099.70849609375</v>
      </c>
    </row>
    <row r="662" spans="1:5" x14ac:dyDescent="0.3">
      <c r="A662" s="1">
        <v>32073</v>
      </c>
      <c r="B662">
        <v>248.22000122070301</v>
      </c>
      <c r="C662">
        <v>1795.19995117187</v>
      </c>
      <c r="D662">
        <v>1513.90002441406</v>
      </c>
      <c r="E662">
        <v>3071.57983398437</v>
      </c>
    </row>
    <row r="663" spans="1:5" x14ac:dyDescent="0.3">
      <c r="A663" s="1">
        <v>32074</v>
      </c>
      <c r="B663" t="e">
        <v>#N/A</v>
      </c>
      <c r="C663" t="e">
        <v>#N/A</v>
      </c>
      <c r="D663" t="e">
        <v>#N/A</v>
      </c>
      <c r="E663" t="e">
        <v>#N/A</v>
      </c>
    </row>
    <row r="664" spans="1:5" x14ac:dyDescent="0.3">
      <c r="A664" s="1">
        <v>32075</v>
      </c>
      <c r="B664" t="e">
        <v>#N/A</v>
      </c>
      <c r="C664" t="e">
        <v>#N/A</v>
      </c>
      <c r="D664" t="e">
        <v>#N/A</v>
      </c>
      <c r="E664" t="e">
        <v>#N/A</v>
      </c>
    </row>
    <row r="665" spans="1:5" x14ac:dyDescent="0.3">
      <c r="A665" s="1">
        <v>32076</v>
      </c>
      <c r="B665">
        <v>227.669998168945</v>
      </c>
      <c r="C665">
        <v>1684.09997558593</v>
      </c>
      <c r="D665">
        <v>1415</v>
      </c>
      <c r="E665">
        <v>2839.271484375</v>
      </c>
    </row>
    <row r="666" spans="1:5" x14ac:dyDescent="0.3">
      <c r="A666" s="1">
        <v>32077</v>
      </c>
      <c r="B666">
        <v>233.19000244140599</v>
      </c>
      <c r="C666">
        <v>1703.90002441406</v>
      </c>
      <c r="D666">
        <v>1316.30004882812</v>
      </c>
      <c r="E666">
        <v>2868.79614257812</v>
      </c>
    </row>
    <row r="667" spans="1:5" x14ac:dyDescent="0.3">
      <c r="A667" s="1">
        <v>32078</v>
      </c>
      <c r="B667">
        <v>233.27999877929599</v>
      </c>
      <c r="C667">
        <v>1658.40002441406</v>
      </c>
      <c r="D667">
        <v>1389.59997558593</v>
      </c>
      <c r="E667">
        <v>2830.59350585937</v>
      </c>
    </row>
    <row r="668" spans="1:5" x14ac:dyDescent="0.3">
      <c r="A668" s="1">
        <v>32079</v>
      </c>
      <c r="B668">
        <v>244.77000427246</v>
      </c>
      <c r="C668">
        <v>1682</v>
      </c>
      <c r="D668">
        <v>1283.80004882812</v>
      </c>
      <c r="E668">
        <v>2865.00610351562</v>
      </c>
    </row>
    <row r="669" spans="1:5" x14ac:dyDescent="0.3">
      <c r="A669" s="1">
        <v>32080</v>
      </c>
      <c r="B669">
        <v>251.78999328613199</v>
      </c>
      <c r="C669">
        <v>1749.80004882812</v>
      </c>
      <c r="D669">
        <v>1295.19995117187</v>
      </c>
      <c r="E669">
        <v>3011.63256835937</v>
      </c>
    </row>
    <row r="670" spans="1:5" x14ac:dyDescent="0.3">
      <c r="A670" s="1">
        <v>32081</v>
      </c>
      <c r="B670" t="e">
        <v>#N/A</v>
      </c>
      <c r="C670" t="e">
        <v>#N/A</v>
      </c>
      <c r="D670" t="e">
        <v>#N/A</v>
      </c>
      <c r="E670" t="e">
        <v>#N/A</v>
      </c>
    </row>
    <row r="671" spans="1:5" x14ac:dyDescent="0.3">
      <c r="A671" s="1">
        <v>32082</v>
      </c>
      <c r="B671" t="e">
        <v>#N/A</v>
      </c>
      <c r="C671" t="e">
        <v>#N/A</v>
      </c>
      <c r="D671" t="e">
        <v>#N/A</v>
      </c>
      <c r="E671" t="e">
        <v>#N/A</v>
      </c>
    </row>
    <row r="672" spans="1:5" x14ac:dyDescent="0.3">
      <c r="A672" s="1">
        <v>32083</v>
      </c>
      <c r="B672">
        <v>255.75</v>
      </c>
      <c r="C672">
        <v>1723.69995117187</v>
      </c>
      <c r="D672">
        <v>1360.90002441406</v>
      </c>
      <c r="E672">
        <v>3072.07836914062</v>
      </c>
    </row>
    <row r="673" spans="1:5" x14ac:dyDescent="0.3">
      <c r="A673" s="1">
        <v>32084</v>
      </c>
      <c r="B673">
        <v>250.82000732421801</v>
      </c>
      <c r="C673">
        <v>1653.90002441406</v>
      </c>
      <c r="D673">
        <v>1364.59997558593</v>
      </c>
      <c r="E673">
        <v>2998.26635742187</v>
      </c>
    </row>
    <row r="674" spans="1:5" x14ac:dyDescent="0.3">
      <c r="A674" s="1">
        <v>32085</v>
      </c>
      <c r="B674">
        <v>248.96000671386699</v>
      </c>
      <c r="C674">
        <v>1608.09997558593</v>
      </c>
      <c r="D674">
        <v>1290.09997558593</v>
      </c>
      <c r="E674">
        <v>2960.86157226562</v>
      </c>
    </row>
    <row r="675" spans="1:5" x14ac:dyDescent="0.3">
      <c r="A675" s="1">
        <v>32086</v>
      </c>
      <c r="B675">
        <v>254.47999572753901</v>
      </c>
      <c r="C675">
        <v>1638.80004882812</v>
      </c>
      <c r="D675">
        <v>1250.5</v>
      </c>
      <c r="E675">
        <v>2952.6826171875</v>
      </c>
    </row>
    <row r="676" spans="1:5" x14ac:dyDescent="0.3">
      <c r="A676" s="1">
        <v>32087</v>
      </c>
      <c r="B676">
        <v>250.41000366210901</v>
      </c>
      <c r="C676">
        <v>1620.80004882812</v>
      </c>
      <c r="D676">
        <v>1238</v>
      </c>
      <c r="E676">
        <v>2955.37573242187</v>
      </c>
    </row>
    <row r="677" spans="1:5" x14ac:dyDescent="0.3">
      <c r="A677" s="1">
        <v>32088</v>
      </c>
      <c r="B677" t="e">
        <v>#N/A</v>
      </c>
      <c r="C677" t="e">
        <v>#N/A</v>
      </c>
      <c r="D677" t="e">
        <v>#N/A</v>
      </c>
      <c r="E677" t="e">
        <v>#N/A</v>
      </c>
    </row>
    <row r="678" spans="1:5" x14ac:dyDescent="0.3">
      <c r="A678" s="1">
        <v>32089</v>
      </c>
      <c r="B678" t="e">
        <v>#N/A</v>
      </c>
      <c r="C678" t="e">
        <v>#N/A</v>
      </c>
      <c r="D678" t="e">
        <v>#N/A</v>
      </c>
      <c r="E678" t="e">
        <v>#N/A</v>
      </c>
    </row>
    <row r="679" spans="1:5" x14ac:dyDescent="0.3">
      <c r="A679" s="1">
        <v>32090</v>
      </c>
      <c r="B679">
        <v>243.169998168945</v>
      </c>
      <c r="C679">
        <v>1565.19995117187</v>
      </c>
      <c r="D679">
        <v>1252</v>
      </c>
      <c r="E679">
        <v>2892.23681640625</v>
      </c>
    </row>
    <row r="680" spans="1:5" x14ac:dyDescent="0.3">
      <c r="A680" s="1">
        <v>32091</v>
      </c>
      <c r="B680">
        <v>239</v>
      </c>
      <c r="C680">
        <v>1573.5</v>
      </c>
      <c r="D680">
        <v>1203.90002441406</v>
      </c>
      <c r="E680">
        <v>2836.67797851562</v>
      </c>
    </row>
    <row r="681" spans="1:5" x14ac:dyDescent="0.3">
      <c r="A681" s="1">
        <v>32092</v>
      </c>
      <c r="B681">
        <v>241.89999389648401</v>
      </c>
      <c r="C681">
        <v>1639.30004882812</v>
      </c>
      <c r="D681">
        <v>1151</v>
      </c>
      <c r="E681">
        <v>2865.10546875</v>
      </c>
    </row>
    <row r="682" spans="1:5" x14ac:dyDescent="0.3">
      <c r="A682" s="1">
        <v>32093</v>
      </c>
      <c r="B682">
        <v>248.52000427246</v>
      </c>
      <c r="C682">
        <v>1702.5</v>
      </c>
      <c r="D682">
        <v>1205.90002441406</v>
      </c>
      <c r="E682">
        <v>2931.43676757812</v>
      </c>
    </row>
    <row r="683" spans="1:5" x14ac:dyDescent="0.3">
      <c r="A683" s="1">
        <v>32094</v>
      </c>
      <c r="B683">
        <v>245.63999938964801</v>
      </c>
      <c r="C683">
        <v>1678.30004882812</v>
      </c>
      <c r="D683">
        <v>1275.90002441406</v>
      </c>
      <c r="E683">
        <v>2938.61865234375</v>
      </c>
    </row>
    <row r="684" spans="1:5" x14ac:dyDescent="0.3">
      <c r="A684" s="1">
        <v>32095</v>
      </c>
      <c r="B684" t="e">
        <v>#N/A</v>
      </c>
      <c r="C684" t="e">
        <v>#N/A</v>
      </c>
      <c r="D684" t="e">
        <v>#N/A</v>
      </c>
      <c r="E684" t="e">
        <v>#N/A</v>
      </c>
    </row>
    <row r="685" spans="1:5" x14ac:dyDescent="0.3">
      <c r="A685" s="1">
        <v>32096</v>
      </c>
      <c r="B685" t="e">
        <v>#N/A</v>
      </c>
      <c r="C685" t="e">
        <v>#N/A</v>
      </c>
      <c r="D685" t="e">
        <v>#N/A</v>
      </c>
      <c r="E685" t="e">
        <v>#N/A</v>
      </c>
    </row>
    <row r="686" spans="1:5" x14ac:dyDescent="0.3">
      <c r="A686" s="1">
        <v>32097</v>
      </c>
      <c r="B686">
        <v>246.759994506835</v>
      </c>
      <c r="C686">
        <v>1684.80004882812</v>
      </c>
      <c r="D686">
        <v>1292.30004882812</v>
      </c>
      <c r="E686">
        <v>2947.6953125</v>
      </c>
    </row>
    <row r="687" spans="1:5" x14ac:dyDescent="0.3">
      <c r="A687" s="1">
        <v>32098</v>
      </c>
      <c r="B687">
        <v>243.03999328613199</v>
      </c>
      <c r="C687">
        <v>1660.09997558593</v>
      </c>
      <c r="D687">
        <v>1296.90002441406</v>
      </c>
      <c r="E687">
        <v>2903.90698242187</v>
      </c>
    </row>
    <row r="688" spans="1:5" x14ac:dyDescent="0.3">
      <c r="A688" s="1">
        <v>32099</v>
      </c>
      <c r="B688">
        <v>245.55000305175699</v>
      </c>
      <c r="C688">
        <v>1663.69995117187</v>
      </c>
      <c r="D688">
        <v>1284</v>
      </c>
      <c r="E688">
        <v>2915.27783203125</v>
      </c>
    </row>
    <row r="689" spans="1:5" x14ac:dyDescent="0.3">
      <c r="A689" s="1">
        <v>32100</v>
      </c>
      <c r="B689">
        <v>240.05000305175699</v>
      </c>
      <c r="C689">
        <v>1639.09997558593</v>
      </c>
      <c r="D689">
        <v>1283.69995117187</v>
      </c>
      <c r="E689">
        <v>2880.06762695312</v>
      </c>
    </row>
    <row r="690" spans="1:5" x14ac:dyDescent="0.3">
      <c r="A690" s="1">
        <v>32101</v>
      </c>
      <c r="B690">
        <v>242</v>
      </c>
      <c r="C690">
        <v>1633</v>
      </c>
      <c r="D690">
        <v>1255.90002441406</v>
      </c>
      <c r="E690">
        <v>2893.03442382812</v>
      </c>
    </row>
    <row r="691" spans="1:5" x14ac:dyDescent="0.3">
      <c r="A691" s="1">
        <v>32102</v>
      </c>
      <c r="B691" t="e">
        <v>#N/A</v>
      </c>
      <c r="C691" t="e">
        <v>#N/A</v>
      </c>
      <c r="D691" t="e">
        <v>#N/A</v>
      </c>
      <c r="E691" t="e">
        <v>#N/A</v>
      </c>
    </row>
    <row r="692" spans="1:5" x14ac:dyDescent="0.3">
      <c r="A692" s="1">
        <v>32103</v>
      </c>
      <c r="B692" t="e">
        <v>#N/A</v>
      </c>
      <c r="C692" t="e">
        <v>#N/A</v>
      </c>
      <c r="D692" t="e">
        <v>#N/A</v>
      </c>
      <c r="E692" t="e">
        <v>#N/A</v>
      </c>
    </row>
    <row r="693" spans="1:5" x14ac:dyDescent="0.3">
      <c r="A693" s="1">
        <v>32104</v>
      </c>
      <c r="B693">
        <v>242.99000549316401</v>
      </c>
      <c r="C693">
        <v>1657.69995117187</v>
      </c>
      <c r="D693">
        <v>1249.5</v>
      </c>
      <c r="E693">
        <v>2910.88891601562</v>
      </c>
    </row>
    <row r="694" spans="1:5" x14ac:dyDescent="0.3">
      <c r="A694" s="1">
        <v>32105</v>
      </c>
      <c r="B694">
        <v>246.38999938964801</v>
      </c>
      <c r="C694">
        <v>1689.09997558593</v>
      </c>
      <c r="D694">
        <v>1266.09997558593</v>
      </c>
      <c r="E694">
        <v>2986.99536132812</v>
      </c>
    </row>
    <row r="695" spans="1:5" x14ac:dyDescent="0.3">
      <c r="A695" s="1">
        <v>32106</v>
      </c>
      <c r="B695">
        <v>244.100006103515</v>
      </c>
      <c r="C695">
        <v>1664.09997558593</v>
      </c>
      <c r="D695">
        <v>1297.30004882812</v>
      </c>
      <c r="E695">
        <v>3020.310546875</v>
      </c>
    </row>
    <row r="696" spans="1:5" x14ac:dyDescent="0.3">
      <c r="A696" s="1">
        <v>32107</v>
      </c>
      <c r="B696" t="e">
        <v>#N/A</v>
      </c>
      <c r="C696">
        <v>1660.69995117187</v>
      </c>
      <c r="D696">
        <v>1311</v>
      </c>
      <c r="E696" t="e">
        <v>#N/A</v>
      </c>
    </row>
    <row r="697" spans="1:5" x14ac:dyDescent="0.3">
      <c r="A697" s="1">
        <v>32108</v>
      </c>
      <c r="B697">
        <v>240.33999633789</v>
      </c>
      <c r="C697">
        <v>1651.59997558593</v>
      </c>
      <c r="D697">
        <v>1321.90002441406</v>
      </c>
      <c r="E697">
        <v>3078.26318359375</v>
      </c>
    </row>
    <row r="698" spans="1:5" x14ac:dyDescent="0.3">
      <c r="A698" s="1">
        <v>32109</v>
      </c>
      <c r="B698" t="e">
        <v>#N/A</v>
      </c>
      <c r="C698" t="e">
        <v>#N/A</v>
      </c>
      <c r="D698" t="e">
        <v>#N/A</v>
      </c>
      <c r="E698" t="e">
        <v>#N/A</v>
      </c>
    </row>
    <row r="699" spans="1:5" x14ac:dyDescent="0.3">
      <c r="A699" s="1">
        <v>32110</v>
      </c>
      <c r="B699" t="e">
        <v>#N/A</v>
      </c>
      <c r="C699" t="e">
        <v>#N/A</v>
      </c>
      <c r="D699" t="e">
        <v>#N/A</v>
      </c>
      <c r="E699" t="e">
        <v>#N/A</v>
      </c>
    </row>
    <row r="700" spans="1:5" x14ac:dyDescent="0.3">
      <c r="A700" s="1">
        <v>32111</v>
      </c>
      <c r="B700">
        <v>230.30000305175699</v>
      </c>
      <c r="C700">
        <v>1579.90002441406</v>
      </c>
      <c r="D700">
        <v>1328.69995117187</v>
      </c>
      <c r="E700">
        <v>2970.73657226562</v>
      </c>
    </row>
    <row r="701" spans="1:5" x14ac:dyDescent="0.3">
      <c r="A701" s="1">
        <v>32112</v>
      </c>
      <c r="B701">
        <v>232</v>
      </c>
      <c r="C701">
        <v>1578.5</v>
      </c>
      <c r="D701">
        <v>1328.69995117187</v>
      </c>
      <c r="E701">
        <v>2990.08715820312</v>
      </c>
    </row>
    <row r="702" spans="1:5" x14ac:dyDescent="0.3">
      <c r="A702" s="1">
        <v>32113</v>
      </c>
      <c r="B702">
        <v>233.44999694824199</v>
      </c>
      <c r="C702">
        <v>1590.30004882812</v>
      </c>
      <c r="D702">
        <v>1307.19995117187</v>
      </c>
      <c r="E702">
        <v>3013.82690429687</v>
      </c>
    </row>
    <row r="703" spans="1:5" x14ac:dyDescent="0.3">
      <c r="A703" s="1">
        <v>32114</v>
      </c>
      <c r="B703">
        <v>225.21000671386699</v>
      </c>
      <c r="C703">
        <v>1588.40002441406</v>
      </c>
      <c r="D703">
        <v>1286.30004882812</v>
      </c>
      <c r="E703">
        <v>2940.91259765625</v>
      </c>
    </row>
    <row r="704" spans="1:5" x14ac:dyDescent="0.3">
      <c r="A704" s="1">
        <v>32115</v>
      </c>
      <c r="B704">
        <v>223.919998168945</v>
      </c>
      <c r="C704">
        <v>1582.69995117187</v>
      </c>
      <c r="D704">
        <v>1247.19995117187</v>
      </c>
      <c r="E704">
        <v>2901.81225585937</v>
      </c>
    </row>
    <row r="705" spans="1:5" x14ac:dyDescent="0.3">
      <c r="A705" s="1">
        <v>32116</v>
      </c>
      <c r="B705" t="e">
        <v>#N/A</v>
      </c>
      <c r="C705" t="e">
        <v>#N/A</v>
      </c>
      <c r="D705" t="e">
        <v>#N/A</v>
      </c>
      <c r="E705" t="e">
        <v>#N/A</v>
      </c>
    </row>
    <row r="706" spans="1:5" x14ac:dyDescent="0.3">
      <c r="A706" s="1">
        <v>32117</v>
      </c>
      <c r="B706" t="e">
        <v>#N/A</v>
      </c>
      <c r="C706" t="e">
        <v>#N/A</v>
      </c>
      <c r="D706" t="e">
        <v>#N/A</v>
      </c>
      <c r="E706" t="e">
        <v>#N/A</v>
      </c>
    </row>
    <row r="707" spans="1:5" x14ac:dyDescent="0.3">
      <c r="A707" s="1">
        <v>32118</v>
      </c>
      <c r="B707">
        <v>228.759994506835</v>
      </c>
      <c r="C707">
        <v>1598</v>
      </c>
      <c r="D707">
        <v>1231.69995117187</v>
      </c>
      <c r="E707">
        <v>2975.02587890625</v>
      </c>
    </row>
    <row r="708" spans="1:5" x14ac:dyDescent="0.3">
      <c r="A708" s="1">
        <v>32119</v>
      </c>
      <c r="B708">
        <v>234.91000366210901</v>
      </c>
      <c r="C708">
        <v>1624.40002441406</v>
      </c>
      <c r="D708">
        <v>1219.40002441406</v>
      </c>
      <c r="E708">
        <v>3042.85327148437</v>
      </c>
    </row>
    <row r="709" spans="1:5" x14ac:dyDescent="0.3">
      <c r="A709" s="1">
        <v>32120</v>
      </c>
      <c r="B709">
        <v>238.88999938964801</v>
      </c>
      <c r="C709">
        <v>1639.30004882812</v>
      </c>
      <c r="D709">
        <v>1237.90002441406</v>
      </c>
      <c r="E709">
        <v>3055.919921875</v>
      </c>
    </row>
    <row r="710" spans="1:5" x14ac:dyDescent="0.3">
      <c r="A710" s="1">
        <v>32121</v>
      </c>
      <c r="B710">
        <v>233.57000732421801</v>
      </c>
      <c r="C710">
        <v>1619.59997558593</v>
      </c>
      <c r="D710">
        <v>1236.59997558593</v>
      </c>
      <c r="E710">
        <v>3046.34399414062</v>
      </c>
    </row>
    <row r="711" spans="1:5" x14ac:dyDescent="0.3">
      <c r="A711" s="1">
        <v>32122</v>
      </c>
      <c r="B711">
        <v>235.32000732421801</v>
      </c>
      <c r="C711">
        <v>1651.59997558593</v>
      </c>
      <c r="D711">
        <v>1219.40002441406</v>
      </c>
      <c r="E711">
        <v>3092.82592773437</v>
      </c>
    </row>
    <row r="712" spans="1:5" x14ac:dyDescent="0.3">
      <c r="A712" s="1">
        <v>32123</v>
      </c>
      <c r="B712" t="e">
        <v>#N/A</v>
      </c>
      <c r="C712" t="e">
        <v>#N/A</v>
      </c>
      <c r="D712" t="e">
        <v>#N/A</v>
      </c>
      <c r="E712" t="e">
        <v>#N/A</v>
      </c>
    </row>
    <row r="713" spans="1:5" x14ac:dyDescent="0.3">
      <c r="A713" s="1">
        <v>32124</v>
      </c>
      <c r="B713" t="e">
        <v>#N/A</v>
      </c>
      <c r="C713" t="e">
        <v>#N/A</v>
      </c>
      <c r="D713" t="e">
        <v>#N/A</v>
      </c>
      <c r="E713" t="e">
        <v>#N/A</v>
      </c>
    </row>
    <row r="714" spans="1:5" x14ac:dyDescent="0.3">
      <c r="A714" s="1">
        <v>32125</v>
      </c>
      <c r="B714">
        <v>242.19000244140599</v>
      </c>
      <c r="C714">
        <v>1652.59997558593</v>
      </c>
      <c r="D714">
        <v>1222.40002441406</v>
      </c>
      <c r="E714">
        <v>3163.04711914062</v>
      </c>
    </row>
    <row r="715" spans="1:5" x14ac:dyDescent="0.3">
      <c r="A715" s="1">
        <v>32126</v>
      </c>
      <c r="B715">
        <v>242.80999755859301</v>
      </c>
      <c r="C715">
        <v>1670</v>
      </c>
      <c r="D715">
        <v>1248.69995117187</v>
      </c>
      <c r="E715">
        <v>3136.5146484375</v>
      </c>
    </row>
    <row r="716" spans="1:5" x14ac:dyDescent="0.3">
      <c r="A716" s="1">
        <v>32127</v>
      </c>
      <c r="B716">
        <v>248.08000183105401</v>
      </c>
      <c r="C716">
        <v>1689.80004882812</v>
      </c>
      <c r="D716">
        <v>1243.09997558593</v>
      </c>
      <c r="E716">
        <v>3137.71142578125</v>
      </c>
    </row>
    <row r="717" spans="1:5" x14ac:dyDescent="0.3">
      <c r="A717" s="1">
        <v>32128</v>
      </c>
      <c r="B717">
        <v>242.97999572753901</v>
      </c>
      <c r="C717">
        <v>1706.19995117187</v>
      </c>
      <c r="D717">
        <v>1250.59997558593</v>
      </c>
      <c r="E717">
        <v>3105.2939453125</v>
      </c>
    </row>
    <row r="718" spans="1:5" x14ac:dyDescent="0.3">
      <c r="A718" s="1">
        <v>32129</v>
      </c>
      <c r="B718">
        <v>249.16000366210901</v>
      </c>
      <c r="C718">
        <v>1717</v>
      </c>
      <c r="D718">
        <v>1239.80004882812</v>
      </c>
      <c r="E718">
        <v>3149.3818359375</v>
      </c>
    </row>
    <row r="719" spans="1:5" x14ac:dyDescent="0.3">
      <c r="A719" s="1">
        <v>32130</v>
      </c>
      <c r="B719" t="e">
        <v>#N/A</v>
      </c>
      <c r="C719" t="e">
        <v>#N/A</v>
      </c>
      <c r="D719" t="e">
        <v>#N/A</v>
      </c>
      <c r="E719" t="e">
        <v>#N/A</v>
      </c>
    </row>
    <row r="720" spans="1:5" x14ac:dyDescent="0.3">
      <c r="A720" s="1">
        <v>32131</v>
      </c>
      <c r="B720" t="e">
        <v>#N/A</v>
      </c>
      <c r="C720" t="e">
        <v>#N/A</v>
      </c>
      <c r="D720" t="e">
        <v>#N/A</v>
      </c>
      <c r="E720" t="e">
        <v>#N/A</v>
      </c>
    </row>
    <row r="721" spans="1:5" x14ac:dyDescent="0.3">
      <c r="A721" s="1">
        <v>32132</v>
      </c>
      <c r="B721">
        <v>249.53999328613199</v>
      </c>
      <c r="C721">
        <v>1750.19995117187</v>
      </c>
      <c r="D721">
        <v>1250.30004882812</v>
      </c>
      <c r="E721">
        <v>3161.94995117187</v>
      </c>
    </row>
    <row r="722" spans="1:5" x14ac:dyDescent="0.3">
      <c r="A722" s="1">
        <v>32133</v>
      </c>
      <c r="B722">
        <v>249.94999694824199</v>
      </c>
      <c r="C722">
        <v>1747.40002441406</v>
      </c>
      <c r="D722">
        <v>1267.80004882812</v>
      </c>
      <c r="E722">
        <v>3148.58422851562</v>
      </c>
    </row>
    <row r="723" spans="1:5" x14ac:dyDescent="0.3">
      <c r="A723" s="1">
        <v>32134</v>
      </c>
      <c r="B723">
        <v>253.16000366210901</v>
      </c>
      <c r="C723">
        <v>1771.40002441406</v>
      </c>
      <c r="D723">
        <v>1287.5</v>
      </c>
      <c r="E723">
        <v>3191.9736328125</v>
      </c>
    </row>
    <row r="724" spans="1:5" x14ac:dyDescent="0.3">
      <c r="A724" s="1">
        <v>32135</v>
      </c>
      <c r="B724">
        <v>252.02999877929599</v>
      </c>
      <c r="C724">
        <v>1791.09997558593</v>
      </c>
      <c r="D724">
        <v>1313.09997558593</v>
      </c>
      <c r="E724">
        <v>3199.55419921875</v>
      </c>
    </row>
    <row r="725" spans="1:5" x14ac:dyDescent="0.3">
      <c r="A725" s="1">
        <v>32136</v>
      </c>
      <c r="B725" t="e">
        <v>#N/A</v>
      </c>
      <c r="C725" t="e">
        <v>#N/A</v>
      </c>
      <c r="D725" t="e">
        <v>#N/A</v>
      </c>
      <c r="E725" t="e">
        <v>#N/A</v>
      </c>
    </row>
    <row r="726" spans="1:5" x14ac:dyDescent="0.3">
      <c r="A726" s="1">
        <v>32137</v>
      </c>
      <c r="B726" t="e">
        <v>#N/A</v>
      </c>
      <c r="C726" t="e">
        <v>#N/A</v>
      </c>
      <c r="D726" t="e">
        <v>#N/A</v>
      </c>
      <c r="E726" t="e">
        <v>#N/A</v>
      </c>
    </row>
    <row r="727" spans="1:5" x14ac:dyDescent="0.3">
      <c r="A727" s="1">
        <v>32138</v>
      </c>
      <c r="B727" t="e">
        <v>#N/A</v>
      </c>
      <c r="C727" t="e">
        <v>#N/A</v>
      </c>
      <c r="D727" t="e">
        <v>#N/A</v>
      </c>
      <c r="E727" t="e">
        <v>#N/A</v>
      </c>
    </row>
    <row r="728" spans="1:5" x14ac:dyDescent="0.3">
      <c r="A728" s="1">
        <v>32139</v>
      </c>
      <c r="B728">
        <v>245.57000732421801</v>
      </c>
      <c r="C728" t="e">
        <v>#N/A</v>
      </c>
      <c r="D728" t="e">
        <v>#N/A</v>
      </c>
      <c r="E728">
        <v>3151.67626953125</v>
      </c>
    </row>
    <row r="729" spans="1:5" x14ac:dyDescent="0.3">
      <c r="A729" s="1">
        <v>32140</v>
      </c>
      <c r="B729">
        <v>244.58999633789</v>
      </c>
      <c r="C729">
        <v>1730.30004882812</v>
      </c>
      <c r="D729">
        <v>1304.80004882812</v>
      </c>
      <c r="E729">
        <v>3141.80126953125</v>
      </c>
    </row>
    <row r="730" spans="1:5" x14ac:dyDescent="0.3">
      <c r="A730" s="1">
        <v>32141</v>
      </c>
      <c r="B730">
        <v>247.86000061035099</v>
      </c>
      <c r="C730">
        <v>1759.80004882812</v>
      </c>
      <c r="D730">
        <v>1298.69995117187</v>
      </c>
      <c r="E730">
        <v>3160.0546875</v>
      </c>
    </row>
    <row r="731" spans="1:5" x14ac:dyDescent="0.3">
      <c r="A731" s="1">
        <v>32142</v>
      </c>
      <c r="B731">
        <v>247.08000183105401</v>
      </c>
      <c r="C731">
        <v>1713.90002441406</v>
      </c>
      <c r="D731">
        <v>1320</v>
      </c>
      <c r="E731">
        <v>3152.0751953125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315F-4C05-4221-A23E-320E3F561D52}">
  <dimension ref="A1:E731"/>
  <sheetViews>
    <sheetView workbookViewId="0">
      <selection activeCell="C12" sqref="C12"/>
    </sheetView>
  </sheetViews>
  <sheetFormatPr defaultRowHeight="14.4" x14ac:dyDescent="0.3"/>
  <cols>
    <col min="1" max="1" width="10.33203125" bestFit="1" customWidth="1"/>
  </cols>
  <sheetData>
    <row r="1" spans="1:5" x14ac:dyDescent="0.3">
      <c r="A1" s="2" t="s">
        <v>0</v>
      </c>
      <c r="B1" t="s">
        <v>35</v>
      </c>
      <c r="C1" t="s">
        <v>36</v>
      </c>
      <c r="D1" t="s">
        <v>38</v>
      </c>
      <c r="E1" t="s">
        <v>39</v>
      </c>
    </row>
    <row r="2" spans="1:5" x14ac:dyDescent="0.3">
      <c r="A2" s="1">
        <v>31413</v>
      </c>
      <c r="B2">
        <v>0</v>
      </c>
      <c r="C2">
        <v>0</v>
      </c>
      <c r="D2">
        <v>11.23</v>
      </c>
      <c r="E2" t="e">
        <v>#N/A</v>
      </c>
    </row>
    <row r="3" spans="1:5" x14ac:dyDescent="0.3">
      <c r="A3" s="1">
        <v>31414</v>
      </c>
      <c r="B3">
        <v>18.75</v>
      </c>
      <c r="C3">
        <v>9.39</v>
      </c>
      <c r="D3">
        <v>11.21</v>
      </c>
      <c r="E3">
        <v>7.1</v>
      </c>
    </row>
    <row r="4" spans="1:5" x14ac:dyDescent="0.3">
      <c r="A4" s="1">
        <v>31415</v>
      </c>
      <c r="B4">
        <v>18.5</v>
      </c>
      <c r="C4">
        <v>9.68</v>
      </c>
      <c r="D4">
        <v>11.21</v>
      </c>
      <c r="E4">
        <v>7.07</v>
      </c>
    </row>
    <row r="5" spans="1:5" x14ac:dyDescent="0.3">
      <c r="A5" s="1">
        <v>31416</v>
      </c>
      <c r="B5" t="e">
        <v>#N/A</v>
      </c>
      <c r="C5" t="e">
        <v>#N/A</v>
      </c>
      <c r="D5" t="e">
        <v>#N/A</v>
      </c>
      <c r="E5" t="e">
        <v>#N/A</v>
      </c>
    </row>
    <row r="6" spans="1:5" x14ac:dyDescent="0.3">
      <c r="A6" s="1">
        <v>31417</v>
      </c>
      <c r="B6" t="e">
        <v>#N/A</v>
      </c>
      <c r="C6" t="e">
        <v>#N/A</v>
      </c>
      <c r="D6" t="e">
        <v>#N/A</v>
      </c>
      <c r="E6" t="e">
        <v>#N/A</v>
      </c>
    </row>
    <row r="7" spans="1:5" x14ac:dyDescent="0.3">
      <c r="A7" s="1">
        <v>31418</v>
      </c>
      <c r="B7">
        <v>19</v>
      </c>
      <c r="C7">
        <v>9.82</v>
      </c>
      <c r="D7">
        <v>11.25</v>
      </c>
      <c r="E7">
        <v>7.06</v>
      </c>
    </row>
    <row r="8" spans="1:5" x14ac:dyDescent="0.3">
      <c r="A8" s="1">
        <v>31419</v>
      </c>
      <c r="B8">
        <v>18.88</v>
      </c>
      <c r="C8">
        <v>9.7200000000000006</v>
      </c>
      <c r="D8">
        <v>11.5</v>
      </c>
      <c r="E8">
        <v>7.03</v>
      </c>
    </row>
    <row r="9" spans="1:5" x14ac:dyDescent="0.3">
      <c r="A9" s="1">
        <v>31420</v>
      </c>
      <c r="B9">
        <v>18.75</v>
      </c>
      <c r="C9">
        <v>9.91</v>
      </c>
      <c r="D9">
        <v>11.88</v>
      </c>
      <c r="E9">
        <v>7.17</v>
      </c>
    </row>
    <row r="10" spans="1:5" x14ac:dyDescent="0.3">
      <c r="A10" s="1">
        <v>31421</v>
      </c>
      <c r="B10">
        <v>19.13</v>
      </c>
      <c r="C10">
        <v>9.9600000000000009</v>
      </c>
      <c r="D10">
        <v>12.44</v>
      </c>
      <c r="E10">
        <v>7.18</v>
      </c>
    </row>
    <row r="11" spans="1:5" x14ac:dyDescent="0.3">
      <c r="A11" s="1">
        <v>31422</v>
      </c>
      <c r="B11">
        <v>19.25</v>
      </c>
      <c r="C11">
        <v>9.89</v>
      </c>
      <c r="D11">
        <v>12.25</v>
      </c>
      <c r="E11">
        <v>7.21</v>
      </c>
    </row>
    <row r="12" spans="1:5" x14ac:dyDescent="0.3">
      <c r="A12" s="1">
        <v>31423</v>
      </c>
      <c r="B12" t="e">
        <v>#N/A</v>
      </c>
      <c r="C12" t="e">
        <v>#N/A</v>
      </c>
      <c r="D12" t="e">
        <v>#N/A</v>
      </c>
      <c r="E12" t="e">
        <v>#N/A</v>
      </c>
    </row>
    <row r="13" spans="1:5" x14ac:dyDescent="0.3">
      <c r="A13" s="1">
        <v>31424</v>
      </c>
      <c r="B13" t="e">
        <v>#N/A</v>
      </c>
      <c r="C13" t="e">
        <v>#N/A</v>
      </c>
      <c r="D13" t="e">
        <v>#N/A</v>
      </c>
      <c r="E13" t="e">
        <v>#N/A</v>
      </c>
    </row>
    <row r="14" spans="1:5" x14ac:dyDescent="0.3">
      <c r="A14" s="1">
        <v>31425</v>
      </c>
      <c r="B14">
        <v>19.25</v>
      </c>
      <c r="C14">
        <v>10</v>
      </c>
      <c r="D14">
        <v>12.3</v>
      </c>
      <c r="E14">
        <v>7.24</v>
      </c>
    </row>
    <row r="15" spans="1:5" x14ac:dyDescent="0.3">
      <c r="A15" s="1">
        <v>31426</v>
      </c>
      <c r="B15">
        <v>19.38</v>
      </c>
      <c r="C15">
        <v>10.09</v>
      </c>
      <c r="D15">
        <v>12.3</v>
      </c>
      <c r="E15">
        <v>7.24</v>
      </c>
    </row>
    <row r="16" spans="1:5" x14ac:dyDescent="0.3">
      <c r="A16" s="1">
        <v>31427</v>
      </c>
      <c r="B16">
        <v>19.25</v>
      </c>
      <c r="C16">
        <v>10.130000000000001</v>
      </c>
      <c r="D16">
        <v>12.5</v>
      </c>
      <c r="E16">
        <v>7.19</v>
      </c>
    </row>
    <row r="17" spans="1:5" x14ac:dyDescent="0.3">
      <c r="A17" s="1">
        <v>31428</v>
      </c>
      <c r="B17">
        <v>19.25</v>
      </c>
      <c r="C17">
        <v>10.119999999999999</v>
      </c>
      <c r="D17">
        <v>12.22</v>
      </c>
      <c r="E17">
        <v>7.08</v>
      </c>
    </row>
    <row r="18" spans="1:5" x14ac:dyDescent="0.3">
      <c r="A18" s="1">
        <v>31429</v>
      </c>
      <c r="B18">
        <v>19</v>
      </c>
      <c r="C18">
        <v>10.09</v>
      </c>
      <c r="D18">
        <v>12.24</v>
      </c>
      <c r="E18">
        <v>7.11</v>
      </c>
    </row>
    <row r="19" spans="1:5" x14ac:dyDescent="0.3">
      <c r="A19" s="1">
        <v>31430</v>
      </c>
      <c r="B19" t="e">
        <v>#N/A</v>
      </c>
      <c r="C19" t="e">
        <v>#N/A</v>
      </c>
      <c r="D19" t="e">
        <v>#N/A</v>
      </c>
      <c r="E19" t="e">
        <v>#N/A</v>
      </c>
    </row>
    <row r="20" spans="1:5" x14ac:dyDescent="0.3">
      <c r="A20" s="1">
        <v>31431</v>
      </c>
      <c r="B20" t="e">
        <v>#N/A</v>
      </c>
      <c r="C20" t="e">
        <v>#N/A</v>
      </c>
      <c r="D20" t="e">
        <v>#N/A</v>
      </c>
      <c r="E20" t="e">
        <v>#N/A</v>
      </c>
    </row>
    <row r="21" spans="1:5" x14ac:dyDescent="0.3">
      <c r="A21" s="1">
        <v>31432</v>
      </c>
      <c r="B21">
        <v>19</v>
      </c>
      <c r="C21">
        <v>10.1</v>
      </c>
      <c r="D21">
        <v>12.36</v>
      </c>
      <c r="E21">
        <v>0</v>
      </c>
    </row>
    <row r="22" spans="1:5" x14ac:dyDescent="0.3">
      <c r="A22" s="1">
        <v>31433</v>
      </c>
      <c r="B22">
        <v>19</v>
      </c>
      <c r="C22">
        <v>10.220000000000001</v>
      </c>
      <c r="D22">
        <v>12.75</v>
      </c>
      <c r="E22">
        <v>7.02</v>
      </c>
    </row>
    <row r="23" spans="1:5" x14ac:dyDescent="0.3">
      <c r="A23" s="1">
        <v>31434</v>
      </c>
      <c r="B23">
        <v>18.88</v>
      </c>
      <c r="C23">
        <v>10.07</v>
      </c>
      <c r="D23">
        <v>13.13</v>
      </c>
      <c r="E23">
        <v>7</v>
      </c>
    </row>
    <row r="24" spans="1:5" x14ac:dyDescent="0.3">
      <c r="A24" s="1">
        <v>31435</v>
      </c>
      <c r="B24">
        <v>18.75</v>
      </c>
      <c r="C24">
        <v>10.09</v>
      </c>
      <c r="D24">
        <v>13.13</v>
      </c>
      <c r="E24">
        <v>6.97</v>
      </c>
    </row>
    <row r="25" spans="1:5" x14ac:dyDescent="0.3">
      <c r="A25" s="1">
        <v>31436</v>
      </c>
      <c r="B25">
        <v>18.75</v>
      </c>
      <c r="C25">
        <v>10.28</v>
      </c>
      <c r="D25">
        <v>12.82</v>
      </c>
      <c r="E25">
        <v>6.97</v>
      </c>
    </row>
    <row r="26" spans="1:5" x14ac:dyDescent="0.3">
      <c r="A26" s="1">
        <v>31437</v>
      </c>
      <c r="B26" t="e">
        <v>#N/A</v>
      </c>
      <c r="C26" t="e">
        <v>#N/A</v>
      </c>
      <c r="D26" t="e">
        <v>#N/A</v>
      </c>
      <c r="E26" t="e">
        <v>#N/A</v>
      </c>
    </row>
    <row r="27" spans="1:5" x14ac:dyDescent="0.3">
      <c r="A27" s="1">
        <v>31438</v>
      </c>
      <c r="B27" t="e">
        <v>#N/A</v>
      </c>
      <c r="C27" t="e">
        <v>#N/A</v>
      </c>
      <c r="D27" t="e">
        <v>#N/A</v>
      </c>
      <c r="E27" t="e">
        <v>#N/A</v>
      </c>
    </row>
    <row r="28" spans="1:5" x14ac:dyDescent="0.3">
      <c r="A28" s="1">
        <v>31439</v>
      </c>
      <c r="B28">
        <v>0</v>
      </c>
      <c r="C28">
        <v>10.43</v>
      </c>
      <c r="D28">
        <v>12.72</v>
      </c>
      <c r="E28">
        <v>6.95</v>
      </c>
    </row>
    <row r="29" spans="1:5" x14ac:dyDescent="0.3">
      <c r="A29" s="1">
        <v>31440</v>
      </c>
      <c r="B29">
        <v>18.75</v>
      </c>
      <c r="C29">
        <v>10.5</v>
      </c>
      <c r="D29">
        <v>12.22</v>
      </c>
      <c r="E29">
        <v>6.92</v>
      </c>
    </row>
    <row r="30" spans="1:5" x14ac:dyDescent="0.3">
      <c r="A30" s="1">
        <v>31441</v>
      </c>
      <c r="B30">
        <v>18.5</v>
      </c>
      <c r="C30">
        <v>10.45</v>
      </c>
      <c r="D30">
        <v>12.28</v>
      </c>
      <c r="E30">
        <v>7.03</v>
      </c>
    </row>
    <row r="31" spans="1:5" x14ac:dyDescent="0.3">
      <c r="A31" s="1">
        <v>31442</v>
      </c>
      <c r="B31">
        <v>18.25</v>
      </c>
      <c r="C31">
        <v>10.7</v>
      </c>
      <c r="D31">
        <v>12.24</v>
      </c>
      <c r="E31">
        <v>7.04</v>
      </c>
    </row>
    <row r="32" spans="1:5" x14ac:dyDescent="0.3">
      <c r="A32" s="1">
        <v>31443</v>
      </c>
      <c r="B32">
        <v>18.75</v>
      </c>
      <c r="C32">
        <v>10.59</v>
      </c>
      <c r="D32">
        <v>12.24</v>
      </c>
      <c r="E32">
        <v>6.97</v>
      </c>
    </row>
    <row r="33" spans="1:5" x14ac:dyDescent="0.3">
      <c r="A33" s="1">
        <v>31444</v>
      </c>
      <c r="B33" t="e">
        <v>#N/A</v>
      </c>
      <c r="C33" t="e">
        <v>#N/A</v>
      </c>
      <c r="D33" t="e">
        <v>#N/A</v>
      </c>
      <c r="E33" t="e">
        <v>#N/A</v>
      </c>
    </row>
    <row r="34" spans="1:5" x14ac:dyDescent="0.3">
      <c r="A34" s="1">
        <v>31445</v>
      </c>
      <c r="B34" t="e">
        <v>#N/A</v>
      </c>
      <c r="C34" t="e">
        <v>#N/A</v>
      </c>
      <c r="D34" t="e">
        <v>#N/A</v>
      </c>
      <c r="E34" t="e">
        <v>#N/A</v>
      </c>
    </row>
    <row r="35" spans="1:5" x14ac:dyDescent="0.3">
      <c r="A35" s="1">
        <v>31446</v>
      </c>
      <c r="B35">
        <v>18.5</v>
      </c>
      <c r="C35">
        <v>10.74</v>
      </c>
      <c r="D35">
        <v>12.57</v>
      </c>
      <c r="E35">
        <v>7</v>
      </c>
    </row>
    <row r="36" spans="1:5" x14ac:dyDescent="0.3">
      <c r="A36" s="1">
        <v>31447</v>
      </c>
      <c r="B36">
        <v>18.5</v>
      </c>
      <c r="C36">
        <v>10.78</v>
      </c>
      <c r="D36">
        <v>12.69</v>
      </c>
      <c r="E36">
        <v>6.98</v>
      </c>
    </row>
    <row r="37" spans="1:5" x14ac:dyDescent="0.3">
      <c r="A37" s="1">
        <v>31448</v>
      </c>
      <c r="B37">
        <v>18.63</v>
      </c>
      <c r="C37">
        <v>11.08</v>
      </c>
      <c r="D37">
        <v>12.21</v>
      </c>
      <c r="E37">
        <v>7.01</v>
      </c>
    </row>
    <row r="38" spans="1:5" x14ac:dyDescent="0.3">
      <c r="A38" s="1">
        <v>31449</v>
      </c>
      <c r="B38">
        <v>18.5</v>
      </c>
      <c r="C38">
        <v>11.23</v>
      </c>
      <c r="D38">
        <v>12.2</v>
      </c>
      <c r="E38">
        <v>7.1</v>
      </c>
    </row>
    <row r="39" spans="1:5" x14ac:dyDescent="0.3">
      <c r="A39" s="1">
        <v>31450</v>
      </c>
      <c r="B39">
        <v>18.63</v>
      </c>
      <c r="C39">
        <v>11.33</v>
      </c>
      <c r="D39">
        <v>12.2</v>
      </c>
      <c r="E39">
        <v>7.21</v>
      </c>
    </row>
    <row r="40" spans="1:5" x14ac:dyDescent="0.3">
      <c r="A40" s="1">
        <v>31451</v>
      </c>
      <c r="B40" t="e">
        <v>#N/A</v>
      </c>
      <c r="C40" t="e">
        <v>#N/A</v>
      </c>
      <c r="D40" t="e">
        <v>#N/A</v>
      </c>
      <c r="E40" t="e">
        <v>#N/A</v>
      </c>
    </row>
    <row r="41" spans="1:5" x14ac:dyDescent="0.3">
      <c r="A41" s="1">
        <v>31452</v>
      </c>
      <c r="B41" t="e">
        <v>#N/A</v>
      </c>
      <c r="C41" t="e">
        <v>#N/A</v>
      </c>
      <c r="D41" t="e">
        <v>#N/A</v>
      </c>
      <c r="E41" t="e">
        <v>#N/A</v>
      </c>
    </row>
    <row r="42" spans="1:5" x14ac:dyDescent="0.3">
      <c r="A42" s="1">
        <v>31453</v>
      </c>
      <c r="B42">
        <v>18.75</v>
      </c>
      <c r="C42">
        <v>11.38</v>
      </c>
      <c r="D42">
        <v>12.2</v>
      </c>
      <c r="E42">
        <v>7.2</v>
      </c>
    </row>
    <row r="43" spans="1:5" x14ac:dyDescent="0.3">
      <c r="A43" s="1">
        <v>31454</v>
      </c>
      <c r="B43">
        <v>19.5</v>
      </c>
      <c r="C43">
        <v>11.4</v>
      </c>
      <c r="D43">
        <v>12.2</v>
      </c>
      <c r="E43">
        <v>7.11</v>
      </c>
    </row>
    <row r="44" spans="1:5" x14ac:dyDescent="0.3">
      <c r="A44" s="1">
        <v>31455</v>
      </c>
      <c r="B44">
        <v>19.25</v>
      </c>
      <c r="C44">
        <v>11.4</v>
      </c>
      <c r="D44">
        <v>12.27</v>
      </c>
      <c r="E44">
        <v>7.11</v>
      </c>
    </row>
    <row r="45" spans="1:5" x14ac:dyDescent="0.3">
      <c r="A45" s="1">
        <v>31456</v>
      </c>
      <c r="B45">
        <v>19.13</v>
      </c>
      <c r="C45">
        <v>11.9</v>
      </c>
      <c r="D45">
        <v>12.18</v>
      </c>
      <c r="E45">
        <v>7.1</v>
      </c>
    </row>
    <row r="46" spans="1:5" x14ac:dyDescent="0.3">
      <c r="A46" s="1">
        <v>31457</v>
      </c>
      <c r="B46">
        <v>18.63</v>
      </c>
      <c r="C46">
        <v>11.75</v>
      </c>
      <c r="D46">
        <v>12.18</v>
      </c>
      <c r="E46">
        <v>7.02</v>
      </c>
    </row>
    <row r="47" spans="1:5" x14ac:dyDescent="0.3">
      <c r="A47" s="1">
        <v>31458</v>
      </c>
      <c r="B47" t="e">
        <v>#N/A</v>
      </c>
      <c r="C47" t="e">
        <v>#N/A</v>
      </c>
      <c r="D47" t="e">
        <v>#N/A</v>
      </c>
      <c r="E47" t="e">
        <v>#N/A</v>
      </c>
    </row>
    <row r="48" spans="1:5" x14ac:dyDescent="0.3">
      <c r="A48" s="1">
        <v>31459</v>
      </c>
      <c r="B48" t="e">
        <v>#N/A</v>
      </c>
      <c r="C48" t="e">
        <v>#N/A</v>
      </c>
      <c r="D48" t="e">
        <v>#N/A</v>
      </c>
      <c r="E48" t="e">
        <v>#N/A</v>
      </c>
    </row>
    <row r="49" spans="1:5" x14ac:dyDescent="0.3">
      <c r="A49" s="1">
        <v>31460</v>
      </c>
      <c r="B49">
        <v>18.5</v>
      </c>
      <c r="C49">
        <v>11.72</v>
      </c>
      <c r="D49">
        <v>12.18</v>
      </c>
      <c r="E49">
        <v>0</v>
      </c>
    </row>
    <row r="50" spans="1:5" x14ac:dyDescent="0.3">
      <c r="A50" s="1">
        <v>31461</v>
      </c>
      <c r="B50">
        <v>18.88</v>
      </c>
      <c r="C50">
        <v>11.74</v>
      </c>
      <c r="D50">
        <v>12.17</v>
      </c>
      <c r="E50">
        <v>7.02</v>
      </c>
    </row>
    <row r="51" spans="1:5" x14ac:dyDescent="0.3">
      <c r="A51" s="1">
        <v>31462</v>
      </c>
      <c r="B51">
        <v>19.38</v>
      </c>
      <c r="C51">
        <v>11.74</v>
      </c>
      <c r="D51">
        <v>11.96</v>
      </c>
      <c r="E51">
        <v>7.08</v>
      </c>
    </row>
    <row r="52" spans="1:5" x14ac:dyDescent="0.3">
      <c r="A52" s="1">
        <v>31463</v>
      </c>
      <c r="B52">
        <v>19</v>
      </c>
      <c r="C52">
        <v>11.52</v>
      </c>
      <c r="D52">
        <v>12.05</v>
      </c>
      <c r="E52">
        <v>7.11</v>
      </c>
    </row>
    <row r="53" spans="1:5" x14ac:dyDescent="0.3">
      <c r="A53" s="1">
        <v>31464</v>
      </c>
      <c r="B53">
        <v>18.38</v>
      </c>
      <c r="C53">
        <v>11.45</v>
      </c>
      <c r="D53">
        <v>12.13</v>
      </c>
      <c r="E53">
        <v>6.98</v>
      </c>
    </row>
    <row r="54" spans="1:5" x14ac:dyDescent="0.3">
      <c r="A54" s="1">
        <v>31465</v>
      </c>
      <c r="B54" t="e">
        <v>#N/A</v>
      </c>
      <c r="C54" t="e">
        <v>#N/A</v>
      </c>
      <c r="D54" t="e">
        <v>#N/A</v>
      </c>
      <c r="E54" t="e">
        <v>#N/A</v>
      </c>
    </row>
    <row r="55" spans="1:5" x14ac:dyDescent="0.3">
      <c r="A55" s="1">
        <v>31466</v>
      </c>
      <c r="B55" t="e">
        <v>#N/A</v>
      </c>
      <c r="C55" t="e">
        <v>#N/A</v>
      </c>
      <c r="D55" t="e">
        <v>#N/A</v>
      </c>
      <c r="E55" t="e">
        <v>#N/A</v>
      </c>
    </row>
    <row r="56" spans="1:5" x14ac:dyDescent="0.3">
      <c r="A56" s="1">
        <v>31467</v>
      </c>
      <c r="B56">
        <v>18.5</v>
      </c>
      <c r="C56">
        <v>11.3</v>
      </c>
      <c r="D56">
        <v>11.93</v>
      </c>
      <c r="E56">
        <v>7.02</v>
      </c>
    </row>
    <row r="57" spans="1:5" x14ac:dyDescent="0.3">
      <c r="A57" s="1">
        <v>31468</v>
      </c>
      <c r="B57">
        <v>18.25</v>
      </c>
      <c r="C57">
        <v>11.38</v>
      </c>
      <c r="D57">
        <v>11.86</v>
      </c>
      <c r="E57">
        <v>7.05</v>
      </c>
    </row>
    <row r="58" spans="1:5" x14ac:dyDescent="0.3">
      <c r="A58" s="1">
        <v>31469</v>
      </c>
      <c r="B58">
        <v>18.25</v>
      </c>
      <c r="C58">
        <v>11.34</v>
      </c>
      <c r="D58">
        <v>11.91</v>
      </c>
      <c r="E58">
        <v>7.07</v>
      </c>
    </row>
    <row r="59" spans="1:5" x14ac:dyDescent="0.3">
      <c r="A59" s="1">
        <v>31470</v>
      </c>
      <c r="B59">
        <v>17.5</v>
      </c>
      <c r="C59">
        <v>11.59</v>
      </c>
      <c r="D59">
        <v>11.93</v>
      </c>
      <c r="E59">
        <v>7.03</v>
      </c>
    </row>
    <row r="60" spans="1:5" x14ac:dyDescent="0.3">
      <c r="A60" s="1">
        <v>31471</v>
      </c>
      <c r="B60">
        <v>17</v>
      </c>
      <c r="C60">
        <v>11.72</v>
      </c>
      <c r="D60">
        <v>11.96</v>
      </c>
      <c r="E60">
        <v>7.02</v>
      </c>
    </row>
    <row r="61" spans="1:5" x14ac:dyDescent="0.3">
      <c r="A61" s="1">
        <v>31472</v>
      </c>
      <c r="B61" t="e">
        <v>#N/A</v>
      </c>
      <c r="C61" t="e">
        <v>#N/A</v>
      </c>
      <c r="D61" t="e">
        <v>#N/A</v>
      </c>
      <c r="E61" t="e">
        <v>#N/A</v>
      </c>
    </row>
    <row r="62" spans="1:5" x14ac:dyDescent="0.3">
      <c r="A62" s="1">
        <v>31473</v>
      </c>
      <c r="B62" t="e">
        <v>#N/A</v>
      </c>
      <c r="C62" t="e">
        <v>#N/A</v>
      </c>
      <c r="D62" t="e">
        <v>#N/A</v>
      </c>
      <c r="E62" t="e">
        <v>#N/A</v>
      </c>
    </row>
    <row r="63" spans="1:5" x14ac:dyDescent="0.3">
      <c r="A63" s="1">
        <v>31474</v>
      </c>
      <c r="B63">
        <v>17</v>
      </c>
      <c r="C63">
        <v>11.77</v>
      </c>
      <c r="D63">
        <v>12.05</v>
      </c>
      <c r="E63">
        <v>6.97</v>
      </c>
    </row>
    <row r="64" spans="1:5" x14ac:dyDescent="0.3">
      <c r="A64" s="1">
        <v>31475</v>
      </c>
      <c r="B64">
        <v>16.5</v>
      </c>
      <c r="C64">
        <v>11.59</v>
      </c>
      <c r="D64">
        <v>12</v>
      </c>
      <c r="E64">
        <v>6.84</v>
      </c>
    </row>
    <row r="65" spans="1:5" x14ac:dyDescent="0.3">
      <c r="A65" s="1">
        <v>31476</v>
      </c>
      <c r="B65">
        <v>17.63</v>
      </c>
      <c r="C65">
        <v>11.63</v>
      </c>
      <c r="D65">
        <v>11.8</v>
      </c>
      <c r="E65">
        <v>6.85</v>
      </c>
    </row>
    <row r="66" spans="1:5" x14ac:dyDescent="0.3">
      <c r="A66" s="1">
        <v>31477</v>
      </c>
      <c r="B66">
        <v>17.63</v>
      </c>
      <c r="C66">
        <v>11.49</v>
      </c>
      <c r="D66">
        <v>11.78</v>
      </c>
      <c r="E66">
        <v>6.69</v>
      </c>
    </row>
    <row r="67" spans="1:5" x14ac:dyDescent="0.3">
      <c r="A67" s="1">
        <v>31478</v>
      </c>
      <c r="B67">
        <v>17.13</v>
      </c>
      <c r="C67">
        <v>11.18</v>
      </c>
      <c r="D67">
        <v>11.71</v>
      </c>
      <c r="E67">
        <v>6.61</v>
      </c>
    </row>
    <row r="68" spans="1:5" x14ac:dyDescent="0.3">
      <c r="A68" s="1">
        <v>31479</v>
      </c>
      <c r="B68" t="e">
        <v>#N/A</v>
      </c>
      <c r="C68" t="e">
        <v>#N/A</v>
      </c>
      <c r="D68" t="e">
        <v>#N/A</v>
      </c>
      <c r="E68" t="e">
        <v>#N/A</v>
      </c>
    </row>
    <row r="69" spans="1:5" x14ac:dyDescent="0.3">
      <c r="A69" s="1">
        <v>31480</v>
      </c>
      <c r="B69" t="e">
        <v>#N/A</v>
      </c>
      <c r="C69" t="e">
        <v>#N/A</v>
      </c>
      <c r="D69" t="e">
        <v>#N/A</v>
      </c>
      <c r="E69" t="e">
        <v>#N/A</v>
      </c>
    </row>
    <row r="70" spans="1:5" x14ac:dyDescent="0.3">
      <c r="A70" s="1">
        <v>31481</v>
      </c>
      <c r="B70">
        <v>17.25</v>
      </c>
      <c r="C70">
        <v>10.93</v>
      </c>
      <c r="D70">
        <v>11.47</v>
      </c>
      <c r="E70">
        <v>6.61</v>
      </c>
    </row>
    <row r="71" spans="1:5" x14ac:dyDescent="0.3">
      <c r="A71" s="1">
        <v>31482</v>
      </c>
      <c r="B71">
        <v>17.88</v>
      </c>
      <c r="C71">
        <v>10.92</v>
      </c>
      <c r="D71">
        <v>11.41</v>
      </c>
      <c r="E71">
        <v>6.57</v>
      </c>
    </row>
    <row r="72" spans="1:5" x14ac:dyDescent="0.3">
      <c r="A72" s="1">
        <v>31483</v>
      </c>
      <c r="B72">
        <v>18.25</v>
      </c>
      <c r="C72">
        <v>10.63</v>
      </c>
      <c r="D72">
        <v>11.28</v>
      </c>
      <c r="E72">
        <v>6.62</v>
      </c>
    </row>
    <row r="73" spans="1:5" x14ac:dyDescent="0.3">
      <c r="A73" s="1">
        <v>31484</v>
      </c>
      <c r="B73">
        <v>17.5</v>
      </c>
      <c r="C73">
        <v>10.34</v>
      </c>
      <c r="D73">
        <v>11.41</v>
      </c>
      <c r="E73">
        <v>6.59</v>
      </c>
    </row>
    <row r="74" spans="1:5" x14ac:dyDescent="0.3">
      <c r="A74" s="1">
        <v>31485</v>
      </c>
      <c r="B74">
        <v>17.13</v>
      </c>
      <c r="C74">
        <v>10.14</v>
      </c>
      <c r="D74">
        <v>11.36</v>
      </c>
      <c r="E74">
        <v>6.54</v>
      </c>
    </row>
    <row r="75" spans="1:5" x14ac:dyDescent="0.3">
      <c r="A75" s="1">
        <v>31486</v>
      </c>
      <c r="B75" t="e">
        <v>#N/A</v>
      </c>
      <c r="C75" t="e">
        <v>#N/A</v>
      </c>
      <c r="D75" t="e">
        <v>#N/A</v>
      </c>
      <c r="E75" t="e">
        <v>#N/A</v>
      </c>
    </row>
    <row r="76" spans="1:5" x14ac:dyDescent="0.3">
      <c r="A76" s="1">
        <v>31487</v>
      </c>
      <c r="B76" t="e">
        <v>#N/A</v>
      </c>
      <c r="C76" t="e">
        <v>#N/A</v>
      </c>
      <c r="D76" t="e">
        <v>#N/A</v>
      </c>
      <c r="E76" t="e">
        <v>#N/A</v>
      </c>
    </row>
    <row r="77" spans="1:5" x14ac:dyDescent="0.3">
      <c r="A77" s="1">
        <v>31488</v>
      </c>
      <c r="B77">
        <v>17.88</v>
      </c>
      <c r="C77">
        <v>10.09</v>
      </c>
      <c r="D77">
        <v>11.3</v>
      </c>
      <c r="E77">
        <v>6.56</v>
      </c>
    </row>
    <row r="78" spans="1:5" x14ac:dyDescent="0.3">
      <c r="A78" s="1">
        <v>31489</v>
      </c>
      <c r="B78">
        <v>18</v>
      </c>
      <c r="C78">
        <v>10.14</v>
      </c>
      <c r="D78">
        <v>11.3</v>
      </c>
      <c r="E78">
        <v>6.54</v>
      </c>
    </row>
    <row r="79" spans="1:5" x14ac:dyDescent="0.3">
      <c r="A79" s="1">
        <v>31490</v>
      </c>
      <c r="B79">
        <v>17.38</v>
      </c>
      <c r="C79">
        <v>10.1</v>
      </c>
      <c r="D79">
        <v>11.21</v>
      </c>
      <c r="E79">
        <v>6.49</v>
      </c>
    </row>
    <row r="80" spans="1:5" x14ac:dyDescent="0.3">
      <c r="A80" s="1">
        <v>31491</v>
      </c>
      <c r="B80">
        <v>17.38</v>
      </c>
      <c r="C80">
        <v>9.9</v>
      </c>
      <c r="D80">
        <v>10.91</v>
      </c>
      <c r="E80">
        <v>6.44</v>
      </c>
    </row>
    <row r="81" spans="1:5" x14ac:dyDescent="0.3">
      <c r="A81" s="1">
        <v>31492</v>
      </c>
      <c r="B81">
        <v>16</v>
      </c>
      <c r="C81">
        <v>9.98</v>
      </c>
      <c r="D81">
        <v>10.9</v>
      </c>
      <c r="E81">
        <v>6.41</v>
      </c>
    </row>
    <row r="82" spans="1:5" x14ac:dyDescent="0.3">
      <c r="A82" s="1">
        <v>31493</v>
      </c>
      <c r="B82" t="e">
        <v>#N/A</v>
      </c>
      <c r="C82" t="e">
        <v>#N/A</v>
      </c>
      <c r="D82" t="e">
        <v>#N/A</v>
      </c>
      <c r="E82" t="e">
        <v>#N/A</v>
      </c>
    </row>
    <row r="83" spans="1:5" x14ac:dyDescent="0.3">
      <c r="A83" s="1">
        <v>31494</v>
      </c>
      <c r="B83" t="e">
        <v>#N/A</v>
      </c>
      <c r="C83" t="e">
        <v>#N/A</v>
      </c>
      <c r="D83" t="e">
        <v>#N/A</v>
      </c>
      <c r="E83" t="e">
        <v>#N/A</v>
      </c>
    </row>
    <row r="84" spans="1:5" x14ac:dyDescent="0.3">
      <c r="A84" s="1">
        <v>31495</v>
      </c>
      <c r="B84">
        <v>16.88</v>
      </c>
      <c r="C84">
        <v>10.09</v>
      </c>
      <c r="D84">
        <v>10.93</v>
      </c>
      <c r="E84">
        <v>6.41</v>
      </c>
    </row>
    <row r="85" spans="1:5" x14ac:dyDescent="0.3">
      <c r="A85" s="1">
        <v>31496</v>
      </c>
      <c r="B85">
        <v>17</v>
      </c>
      <c r="C85">
        <v>10.27</v>
      </c>
      <c r="D85">
        <v>11.03</v>
      </c>
      <c r="E85">
        <v>6.38</v>
      </c>
    </row>
    <row r="86" spans="1:5" x14ac:dyDescent="0.3">
      <c r="A86" s="1">
        <v>31497</v>
      </c>
      <c r="B86">
        <v>17.38</v>
      </c>
      <c r="C86">
        <v>10.19</v>
      </c>
      <c r="D86">
        <v>11.05</v>
      </c>
      <c r="E86">
        <v>6.41</v>
      </c>
    </row>
    <row r="87" spans="1:5" x14ac:dyDescent="0.3">
      <c r="A87" s="1">
        <v>31498</v>
      </c>
      <c r="B87">
        <v>16.75</v>
      </c>
      <c r="C87">
        <v>10.01</v>
      </c>
      <c r="D87">
        <v>10.97</v>
      </c>
      <c r="E87">
        <v>6.34</v>
      </c>
    </row>
    <row r="88" spans="1:5" x14ac:dyDescent="0.3">
      <c r="A88" s="1">
        <v>31499</v>
      </c>
      <c r="B88">
        <v>0</v>
      </c>
      <c r="C88">
        <v>0</v>
      </c>
      <c r="D88">
        <v>10.97</v>
      </c>
      <c r="E88">
        <v>0</v>
      </c>
    </row>
    <row r="89" spans="1:5" x14ac:dyDescent="0.3">
      <c r="A89" s="1">
        <v>31500</v>
      </c>
      <c r="B89" t="e">
        <v>#N/A</v>
      </c>
      <c r="C89" t="e">
        <v>#N/A</v>
      </c>
      <c r="D89" t="e">
        <v>#N/A</v>
      </c>
      <c r="E89" t="e">
        <v>#N/A</v>
      </c>
    </row>
    <row r="90" spans="1:5" x14ac:dyDescent="0.3">
      <c r="A90" s="1">
        <v>31501</v>
      </c>
      <c r="B90" t="e">
        <v>#N/A</v>
      </c>
      <c r="C90" t="e">
        <v>#N/A</v>
      </c>
      <c r="D90" t="e">
        <v>#N/A</v>
      </c>
      <c r="E90" t="e">
        <v>#N/A</v>
      </c>
    </row>
    <row r="91" spans="1:5" x14ac:dyDescent="0.3">
      <c r="A91" s="1">
        <v>31502</v>
      </c>
      <c r="B91">
        <v>0</v>
      </c>
      <c r="C91">
        <v>10.1</v>
      </c>
      <c r="D91">
        <v>10.97</v>
      </c>
      <c r="E91">
        <v>6.34</v>
      </c>
    </row>
    <row r="92" spans="1:5" x14ac:dyDescent="0.3">
      <c r="A92" s="1">
        <v>31503</v>
      </c>
      <c r="B92">
        <v>17</v>
      </c>
      <c r="C92">
        <v>10.09</v>
      </c>
      <c r="D92">
        <v>10.9</v>
      </c>
      <c r="E92">
        <v>6.33</v>
      </c>
    </row>
    <row r="93" spans="1:5" x14ac:dyDescent="0.3">
      <c r="A93" s="1">
        <v>31504</v>
      </c>
      <c r="B93">
        <v>17</v>
      </c>
      <c r="C93">
        <v>10.08</v>
      </c>
      <c r="D93">
        <v>10.87</v>
      </c>
      <c r="E93">
        <v>6.34</v>
      </c>
    </row>
    <row r="94" spans="1:5" x14ac:dyDescent="0.3">
      <c r="A94" s="1">
        <v>31505</v>
      </c>
      <c r="B94">
        <v>17</v>
      </c>
      <c r="C94">
        <v>9.92</v>
      </c>
      <c r="D94">
        <v>10.82</v>
      </c>
      <c r="E94">
        <v>6.33</v>
      </c>
    </row>
    <row r="95" spans="1:5" x14ac:dyDescent="0.3">
      <c r="A95" s="1">
        <v>31506</v>
      </c>
      <c r="B95">
        <v>16.38</v>
      </c>
      <c r="C95">
        <v>9.7100000000000009</v>
      </c>
      <c r="D95">
        <v>10.85</v>
      </c>
      <c r="E95">
        <v>6.23</v>
      </c>
    </row>
    <row r="96" spans="1:5" x14ac:dyDescent="0.3">
      <c r="A96" s="1">
        <v>31507</v>
      </c>
      <c r="B96" t="e">
        <v>#N/A</v>
      </c>
      <c r="C96" t="e">
        <v>#N/A</v>
      </c>
      <c r="D96" t="e">
        <v>#N/A</v>
      </c>
      <c r="E96" t="e">
        <v>#N/A</v>
      </c>
    </row>
    <row r="97" spans="1:5" x14ac:dyDescent="0.3">
      <c r="A97" s="1">
        <v>31508</v>
      </c>
      <c r="B97" t="e">
        <v>#N/A</v>
      </c>
      <c r="C97" t="e">
        <v>#N/A</v>
      </c>
      <c r="D97" t="e">
        <v>#N/A</v>
      </c>
      <c r="E97" t="e">
        <v>#N/A</v>
      </c>
    </row>
    <row r="98" spans="1:5" x14ac:dyDescent="0.3">
      <c r="A98" s="1">
        <v>31509</v>
      </c>
      <c r="B98">
        <v>17.38</v>
      </c>
      <c r="C98">
        <v>9.5500000000000007</v>
      </c>
      <c r="D98">
        <v>10.65</v>
      </c>
      <c r="E98">
        <v>6.24</v>
      </c>
    </row>
    <row r="99" spans="1:5" x14ac:dyDescent="0.3">
      <c r="A99" s="1">
        <v>31510</v>
      </c>
      <c r="B99">
        <v>17.75</v>
      </c>
      <c r="C99">
        <v>9.3800000000000008</v>
      </c>
      <c r="D99">
        <v>10.46</v>
      </c>
      <c r="E99">
        <v>6.13</v>
      </c>
    </row>
    <row r="100" spans="1:5" x14ac:dyDescent="0.3">
      <c r="A100" s="1">
        <v>31511</v>
      </c>
      <c r="B100">
        <v>18</v>
      </c>
      <c r="C100">
        <v>9.23</v>
      </c>
      <c r="D100">
        <v>10.18</v>
      </c>
      <c r="E100">
        <v>6.01</v>
      </c>
    </row>
    <row r="101" spans="1:5" x14ac:dyDescent="0.3">
      <c r="A101" s="1">
        <v>31512</v>
      </c>
      <c r="B101">
        <v>18.75</v>
      </c>
      <c r="C101">
        <v>9.08</v>
      </c>
      <c r="D101">
        <v>10.130000000000001</v>
      </c>
      <c r="E101">
        <v>6.02</v>
      </c>
    </row>
    <row r="102" spans="1:5" x14ac:dyDescent="0.3">
      <c r="A102" s="1">
        <v>31513</v>
      </c>
      <c r="B102">
        <v>18.5</v>
      </c>
      <c r="C102">
        <v>9.18</v>
      </c>
      <c r="D102">
        <v>10.11</v>
      </c>
      <c r="E102">
        <v>5.96</v>
      </c>
    </row>
    <row r="103" spans="1:5" x14ac:dyDescent="0.3">
      <c r="A103" s="1">
        <v>31514</v>
      </c>
      <c r="B103" t="e">
        <v>#N/A</v>
      </c>
      <c r="C103" t="e">
        <v>#N/A</v>
      </c>
      <c r="D103" t="e">
        <v>#N/A</v>
      </c>
      <c r="E103" t="e">
        <v>#N/A</v>
      </c>
    </row>
    <row r="104" spans="1:5" x14ac:dyDescent="0.3">
      <c r="A104" s="1">
        <v>31515</v>
      </c>
      <c r="B104" t="e">
        <v>#N/A</v>
      </c>
      <c r="C104" t="e">
        <v>#N/A</v>
      </c>
      <c r="D104" t="e">
        <v>#N/A</v>
      </c>
      <c r="E104" t="e">
        <v>#N/A</v>
      </c>
    </row>
    <row r="105" spans="1:5" x14ac:dyDescent="0.3">
      <c r="A105" s="1">
        <v>31516</v>
      </c>
      <c r="B105">
        <v>18.88</v>
      </c>
      <c r="C105">
        <v>9.25</v>
      </c>
      <c r="D105">
        <v>9.94</v>
      </c>
      <c r="E105">
        <v>5.91</v>
      </c>
    </row>
    <row r="106" spans="1:5" x14ac:dyDescent="0.3">
      <c r="A106" s="1">
        <v>31517</v>
      </c>
      <c r="B106">
        <v>18.38</v>
      </c>
      <c r="C106">
        <v>9.17</v>
      </c>
      <c r="D106">
        <v>9.94</v>
      </c>
      <c r="E106">
        <v>5.81</v>
      </c>
    </row>
    <row r="107" spans="1:5" x14ac:dyDescent="0.3">
      <c r="A107" s="1">
        <v>31518</v>
      </c>
      <c r="B107">
        <v>16.63</v>
      </c>
      <c r="C107">
        <v>9.06</v>
      </c>
      <c r="D107">
        <v>9.9600000000000009</v>
      </c>
      <c r="E107">
        <v>5.77</v>
      </c>
    </row>
    <row r="108" spans="1:5" x14ac:dyDescent="0.3">
      <c r="A108" s="1">
        <v>31519</v>
      </c>
      <c r="B108">
        <v>16.13</v>
      </c>
      <c r="C108">
        <v>9.0399999999999991</v>
      </c>
      <c r="D108">
        <v>9.7200000000000006</v>
      </c>
      <c r="E108">
        <v>5.84</v>
      </c>
    </row>
    <row r="109" spans="1:5" x14ac:dyDescent="0.3">
      <c r="A109" s="1">
        <v>31520</v>
      </c>
      <c r="B109">
        <v>16.5</v>
      </c>
      <c r="C109">
        <v>9.0299999999999994</v>
      </c>
      <c r="D109">
        <v>9.75</v>
      </c>
      <c r="E109">
        <v>5.87</v>
      </c>
    </row>
    <row r="110" spans="1:5" x14ac:dyDescent="0.3">
      <c r="A110" s="1">
        <v>31521</v>
      </c>
      <c r="B110" t="e">
        <v>#N/A</v>
      </c>
      <c r="C110" t="e">
        <v>#N/A</v>
      </c>
      <c r="D110" t="e">
        <v>#N/A</v>
      </c>
      <c r="E110" t="e">
        <v>#N/A</v>
      </c>
    </row>
    <row r="111" spans="1:5" x14ac:dyDescent="0.3">
      <c r="A111" s="1">
        <v>31522</v>
      </c>
      <c r="B111" t="e">
        <v>#N/A</v>
      </c>
      <c r="C111" t="e">
        <v>#N/A</v>
      </c>
      <c r="D111" t="e">
        <v>#N/A</v>
      </c>
      <c r="E111" t="e">
        <v>#N/A</v>
      </c>
    </row>
    <row r="112" spans="1:5" x14ac:dyDescent="0.3">
      <c r="A112" s="1">
        <v>31523</v>
      </c>
      <c r="B112">
        <v>17</v>
      </c>
      <c r="C112">
        <v>9.07</v>
      </c>
      <c r="D112">
        <v>9.74</v>
      </c>
      <c r="E112">
        <v>5.87</v>
      </c>
    </row>
    <row r="113" spans="1:5" x14ac:dyDescent="0.3">
      <c r="A113" s="1">
        <v>31524</v>
      </c>
      <c r="B113">
        <v>16.88</v>
      </c>
      <c r="C113">
        <v>9.19</v>
      </c>
      <c r="D113">
        <v>9.93</v>
      </c>
      <c r="E113">
        <v>5.95</v>
      </c>
    </row>
    <row r="114" spans="1:5" x14ac:dyDescent="0.3">
      <c r="A114" s="1">
        <v>31525</v>
      </c>
      <c r="B114">
        <v>18.25</v>
      </c>
      <c r="C114">
        <v>9.18</v>
      </c>
      <c r="D114">
        <v>10</v>
      </c>
      <c r="E114">
        <v>6.09</v>
      </c>
    </row>
    <row r="115" spans="1:5" x14ac:dyDescent="0.3">
      <c r="A115" s="1">
        <v>31526</v>
      </c>
      <c r="B115">
        <v>16.13</v>
      </c>
      <c r="C115">
        <v>9.14</v>
      </c>
      <c r="D115">
        <v>10</v>
      </c>
      <c r="E115">
        <v>6.11</v>
      </c>
    </row>
    <row r="116" spans="1:5" x14ac:dyDescent="0.3">
      <c r="A116" s="1">
        <v>31527</v>
      </c>
      <c r="B116">
        <v>0</v>
      </c>
      <c r="C116">
        <v>8.99</v>
      </c>
      <c r="D116">
        <v>10.039999999999999</v>
      </c>
      <c r="E116">
        <v>6.14</v>
      </c>
    </row>
    <row r="117" spans="1:5" x14ac:dyDescent="0.3">
      <c r="A117" s="1">
        <v>31528</v>
      </c>
      <c r="B117" t="e">
        <v>#N/A</v>
      </c>
      <c r="C117" t="e">
        <v>#N/A</v>
      </c>
      <c r="D117" t="e">
        <v>#N/A</v>
      </c>
      <c r="E117" t="e">
        <v>#N/A</v>
      </c>
    </row>
    <row r="118" spans="1:5" x14ac:dyDescent="0.3">
      <c r="A118" s="1">
        <v>31529</v>
      </c>
      <c r="B118" t="e">
        <v>#N/A</v>
      </c>
      <c r="C118" t="e">
        <v>#N/A</v>
      </c>
      <c r="D118" t="e">
        <v>#N/A</v>
      </c>
      <c r="E118" t="e">
        <v>#N/A</v>
      </c>
    </row>
    <row r="119" spans="1:5" x14ac:dyDescent="0.3">
      <c r="A119" s="1">
        <v>31530</v>
      </c>
      <c r="B119">
        <v>16.63</v>
      </c>
      <c r="C119">
        <v>8.85</v>
      </c>
      <c r="D119">
        <v>10.08</v>
      </c>
      <c r="E119">
        <v>6.1</v>
      </c>
    </row>
    <row r="120" spans="1:5" x14ac:dyDescent="0.3">
      <c r="A120" s="1">
        <v>31531</v>
      </c>
      <c r="B120">
        <v>15.63</v>
      </c>
      <c r="C120">
        <v>8.82</v>
      </c>
      <c r="D120">
        <v>10.050000000000001</v>
      </c>
      <c r="E120">
        <v>6.09</v>
      </c>
    </row>
    <row r="121" spans="1:5" x14ac:dyDescent="0.3">
      <c r="A121" s="1">
        <v>31532</v>
      </c>
      <c r="B121">
        <v>15.38</v>
      </c>
      <c r="C121">
        <v>8.81</v>
      </c>
      <c r="D121">
        <v>10.01</v>
      </c>
      <c r="E121">
        <v>6.1</v>
      </c>
    </row>
    <row r="122" spans="1:5" x14ac:dyDescent="0.3">
      <c r="A122" s="1">
        <v>31533</v>
      </c>
      <c r="B122">
        <v>14.5</v>
      </c>
      <c r="C122">
        <v>8.7100000000000009</v>
      </c>
      <c r="D122">
        <v>9.99</v>
      </c>
      <c r="E122">
        <v>6.11</v>
      </c>
    </row>
    <row r="123" spans="1:5" x14ac:dyDescent="0.3">
      <c r="A123" s="1">
        <v>31534</v>
      </c>
      <c r="B123">
        <v>14.25</v>
      </c>
      <c r="C123">
        <v>8.65</v>
      </c>
      <c r="D123">
        <v>10.050000000000001</v>
      </c>
      <c r="E123">
        <v>6.15</v>
      </c>
    </row>
    <row r="124" spans="1:5" x14ac:dyDescent="0.3">
      <c r="A124" s="1">
        <v>31535</v>
      </c>
      <c r="B124" t="e">
        <v>#N/A</v>
      </c>
      <c r="C124" t="e">
        <v>#N/A</v>
      </c>
      <c r="D124" t="e">
        <v>#N/A</v>
      </c>
      <c r="E124" t="e">
        <v>#N/A</v>
      </c>
    </row>
    <row r="125" spans="1:5" x14ac:dyDescent="0.3">
      <c r="A125" s="1">
        <v>31536</v>
      </c>
      <c r="B125" t="e">
        <v>#N/A</v>
      </c>
      <c r="C125" t="e">
        <v>#N/A</v>
      </c>
      <c r="D125" t="e">
        <v>#N/A</v>
      </c>
      <c r="E125" t="e">
        <v>#N/A</v>
      </c>
    </row>
    <row r="126" spans="1:5" x14ac:dyDescent="0.3">
      <c r="A126" s="1">
        <v>31537</v>
      </c>
      <c r="B126">
        <v>16.88</v>
      </c>
      <c r="C126">
        <v>8.56</v>
      </c>
      <c r="D126">
        <v>10.050000000000001</v>
      </c>
      <c r="E126">
        <v>6.06</v>
      </c>
    </row>
    <row r="127" spans="1:5" x14ac:dyDescent="0.3">
      <c r="A127" s="1">
        <v>31538</v>
      </c>
      <c r="B127">
        <v>16.13</v>
      </c>
      <c r="C127">
        <v>8.6</v>
      </c>
      <c r="D127">
        <v>9.98</v>
      </c>
      <c r="E127">
        <v>6.05</v>
      </c>
    </row>
    <row r="128" spans="1:5" x14ac:dyDescent="0.3">
      <c r="A128" s="1">
        <v>31539</v>
      </c>
      <c r="B128">
        <v>15.38</v>
      </c>
      <c r="C128">
        <v>8.6199999999999992</v>
      </c>
      <c r="D128">
        <v>10.029999999999999</v>
      </c>
      <c r="E128">
        <v>6.04</v>
      </c>
    </row>
    <row r="129" spans="1:5" x14ac:dyDescent="0.3">
      <c r="A129" s="1">
        <v>31540</v>
      </c>
      <c r="B129">
        <v>15.5</v>
      </c>
      <c r="C129">
        <v>8.4600000000000009</v>
      </c>
      <c r="D129">
        <v>10.050000000000001</v>
      </c>
      <c r="E129">
        <v>6.04</v>
      </c>
    </row>
    <row r="130" spans="1:5" x14ac:dyDescent="0.3">
      <c r="A130" s="1">
        <v>31541</v>
      </c>
      <c r="B130">
        <v>15.38</v>
      </c>
      <c r="C130">
        <v>8.48</v>
      </c>
      <c r="D130">
        <v>10.08</v>
      </c>
      <c r="E130">
        <v>6.05</v>
      </c>
    </row>
    <row r="131" spans="1:5" x14ac:dyDescent="0.3">
      <c r="A131" s="1">
        <v>31542</v>
      </c>
      <c r="B131" t="e">
        <v>#N/A</v>
      </c>
      <c r="C131" t="e">
        <v>#N/A</v>
      </c>
      <c r="D131" t="e">
        <v>#N/A</v>
      </c>
      <c r="E131" t="e">
        <v>#N/A</v>
      </c>
    </row>
    <row r="132" spans="1:5" x14ac:dyDescent="0.3">
      <c r="A132" s="1">
        <v>31543</v>
      </c>
      <c r="B132" t="e">
        <v>#N/A</v>
      </c>
      <c r="C132" t="e">
        <v>#N/A</v>
      </c>
      <c r="D132" t="e">
        <v>#N/A</v>
      </c>
      <c r="E132" t="e">
        <v>#N/A</v>
      </c>
    </row>
    <row r="133" spans="1:5" x14ac:dyDescent="0.3">
      <c r="A133" s="1">
        <v>31544</v>
      </c>
      <c r="B133">
        <v>15.75</v>
      </c>
      <c r="C133">
        <v>8.51</v>
      </c>
      <c r="D133">
        <v>10.02</v>
      </c>
      <c r="E133">
        <v>6.13</v>
      </c>
    </row>
    <row r="134" spans="1:5" x14ac:dyDescent="0.3">
      <c r="A134" s="1">
        <v>31545</v>
      </c>
      <c r="B134">
        <v>15.63</v>
      </c>
      <c r="C134">
        <v>8.5</v>
      </c>
      <c r="D134">
        <v>9.99</v>
      </c>
      <c r="E134">
        <v>6.09</v>
      </c>
    </row>
    <row r="135" spans="1:5" x14ac:dyDescent="0.3">
      <c r="A135" s="1">
        <v>31546</v>
      </c>
      <c r="B135">
        <v>14.63</v>
      </c>
      <c r="C135">
        <v>8.44</v>
      </c>
      <c r="D135">
        <v>9.74</v>
      </c>
      <c r="E135">
        <v>6.09</v>
      </c>
    </row>
    <row r="136" spans="1:5" x14ac:dyDescent="0.3">
      <c r="A136" s="1">
        <v>31547</v>
      </c>
      <c r="B136">
        <v>13.88</v>
      </c>
      <c r="C136">
        <v>8.36</v>
      </c>
      <c r="D136">
        <v>9.82</v>
      </c>
      <c r="E136">
        <v>6.17</v>
      </c>
    </row>
    <row r="137" spans="1:5" x14ac:dyDescent="0.3">
      <c r="A137" s="1">
        <v>31548</v>
      </c>
      <c r="B137">
        <v>14.38</v>
      </c>
      <c r="C137">
        <v>8.3800000000000008</v>
      </c>
      <c r="D137">
        <v>9.85</v>
      </c>
      <c r="E137">
        <v>6.21</v>
      </c>
    </row>
    <row r="138" spans="1:5" x14ac:dyDescent="0.3">
      <c r="A138" s="1">
        <v>31549</v>
      </c>
      <c r="B138" t="e">
        <v>#N/A</v>
      </c>
      <c r="C138" t="e">
        <v>#N/A</v>
      </c>
      <c r="D138" t="e">
        <v>#N/A</v>
      </c>
      <c r="E138" t="e">
        <v>#N/A</v>
      </c>
    </row>
    <row r="139" spans="1:5" x14ac:dyDescent="0.3">
      <c r="A139" s="1">
        <v>31550</v>
      </c>
      <c r="B139" t="e">
        <v>#N/A</v>
      </c>
      <c r="C139" t="e">
        <v>#N/A</v>
      </c>
      <c r="D139" t="e">
        <v>#N/A</v>
      </c>
      <c r="E139" t="e">
        <v>#N/A</v>
      </c>
    </row>
    <row r="140" spans="1:5" x14ac:dyDescent="0.3">
      <c r="A140" s="1">
        <v>31551</v>
      </c>
      <c r="B140">
        <v>14.63</v>
      </c>
      <c r="C140">
        <v>0</v>
      </c>
      <c r="D140">
        <v>9.9700000000000006</v>
      </c>
      <c r="E140">
        <v>6.2</v>
      </c>
    </row>
    <row r="141" spans="1:5" x14ac:dyDescent="0.3">
      <c r="A141" s="1">
        <v>31552</v>
      </c>
      <c r="B141">
        <v>14.88</v>
      </c>
      <c r="C141">
        <v>8.3800000000000008</v>
      </c>
      <c r="D141">
        <v>10.029999999999999</v>
      </c>
      <c r="E141">
        <v>6.23</v>
      </c>
    </row>
    <row r="142" spans="1:5" x14ac:dyDescent="0.3">
      <c r="A142" s="1">
        <v>31553</v>
      </c>
      <c r="B142">
        <v>15.13</v>
      </c>
      <c r="C142">
        <v>8.31</v>
      </c>
      <c r="D142">
        <v>9.93</v>
      </c>
      <c r="E142">
        <v>6.2</v>
      </c>
    </row>
    <row r="143" spans="1:5" x14ac:dyDescent="0.3">
      <c r="A143" s="1">
        <v>31554</v>
      </c>
      <c r="B143">
        <v>16.38</v>
      </c>
      <c r="C143">
        <v>8.2100000000000009</v>
      </c>
      <c r="D143">
        <v>9.74</v>
      </c>
      <c r="E143">
        <v>6.2</v>
      </c>
    </row>
    <row r="144" spans="1:5" x14ac:dyDescent="0.3">
      <c r="A144" s="1">
        <v>31555</v>
      </c>
      <c r="B144">
        <v>15.5</v>
      </c>
      <c r="C144">
        <v>8.2100000000000009</v>
      </c>
      <c r="D144">
        <v>9.68</v>
      </c>
      <c r="E144">
        <v>6.18</v>
      </c>
    </row>
    <row r="145" spans="1:5" x14ac:dyDescent="0.3">
      <c r="A145" s="1">
        <v>31556</v>
      </c>
      <c r="B145" t="e">
        <v>#N/A</v>
      </c>
      <c r="C145" t="e">
        <v>#N/A</v>
      </c>
      <c r="D145" t="e">
        <v>#N/A</v>
      </c>
      <c r="E145" t="e">
        <v>#N/A</v>
      </c>
    </row>
    <row r="146" spans="1:5" x14ac:dyDescent="0.3">
      <c r="A146" s="1">
        <v>31557</v>
      </c>
      <c r="B146" t="e">
        <v>#N/A</v>
      </c>
      <c r="C146" t="e">
        <v>#N/A</v>
      </c>
      <c r="D146" t="e">
        <v>#N/A</v>
      </c>
      <c r="E146" t="e">
        <v>#N/A</v>
      </c>
    </row>
    <row r="147" spans="1:5" x14ac:dyDescent="0.3">
      <c r="A147" s="1">
        <v>31558</v>
      </c>
      <c r="B147">
        <v>15.25</v>
      </c>
      <c r="C147">
        <v>8.25</v>
      </c>
      <c r="D147">
        <v>9.68</v>
      </c>
      <c r="E147">
        <v>0</v>
      </c>
    </row>
    <row r="148" spans="1:5" x14ac:dyDescent="0.3">
      <c r="A148" s="1">
        <v>31559</v>
      </c>
      <c r="B148">
        <v>14.63</v>
      </c>
      <c r="C148">
        <v>8.36</v>
      </c>
      <c r="D148">
        <v>9.58</v>
      </c>
      <c r="E148">
        <v>6.16</v>
      </c>
    </row>
    <row r="149" spans="1:5" x14ac:dyDescent="0.3">
      <c r="A149" s="1">
        <v>31560</v>
      </c>
      <c r="B149">
        <v>14.5</v>
      </c>
      <c r="C149">
        <v>8.34</v>
      </c>
      <c r="D149">
        <v>9.49</v>
      </c>
      <c r="E149">
        <v>6.19</v>
      </c>
    </row>
    <row r="150" spans="1:5" x14ac:dyDescent="0.3">
      <c r="A150" s="1">
        <v>31561</v>
      </c>
      <c r="B150">
        <v>14.5</v>
      </c>
      <c r="C150">
        <v>8.4499999999999993</v>
      </c>
      <c r="D150">
        <v>9.43</v>
      </c>
      <c r="E150">
        <v>6.3</v>
      </c>
    </row>
    <row r="151" spans="1:5" x14ac:dyDescent="0.3">
      <c r="A151" s="1">
        <v>31562</v>
      </c>
      <c r="B151">
        <v>14.75</v>
      </c>
      <c r="C151">
        <v>8.44</v>
      </c>
      <c r="D151">
        <v>9.48</v>
      </c>
      <c r="E151">
        <v>6.3</v>
      </c>
    </row>
    <row r="152" spans="1:5" x14ac:dyDescent="0.3">
      <c r="A152" s="1">
        <v>31563</v>
      </c>
      <c r="B152" t="e">
        <v>#N/A</v>
      </c>
      <c r="C152" t="e">
        <v>#N/A</v>
      </c>
      <c r="D152" t="e">
        <v>#N/A</v>
      </c>
      <c r="E152" t="e">
        <v>#N/A</v>
      </c>
    </row>
    <row r="153" spans="1:5" x14ac:dyDescent="0.3">
      <c r="A153" s="1">
        <v>31564</v>
      </c>
      <c r="B153" t="e">
        <v>#N/A</v>
      </c>
      <c r="C153" t="e">
        <v>#N/A</v>
      </c>
      <c r="D153" t="e">
        <v>#N/A</v>
      </c>
      <c r="E153" t="e">
        <v>#N/A</v>
      </c>
    </row>
    <row r="154" spans="1:5" x14ac:dyDescent="0.3">
      <c r="A154" s="1">
        <v>31565</v>
      </c>
      <c r="B154">
        <v>14.75</v>
      </c>
      <c r="C154">
        <v>8.7799999999999994</v>
      </c>
      <c r="D154">
        <v>9.43</v>
      </c>
      <c r="E154">
        <v>6.36</v>
      </c>
    </row>
    <row r="155" spans="1:5" x14ac:dyDescent="0.3">
      <c r="A155" s="1">
        <v>31566</v>
      </c>
      <c r="B155">
        <v>13.88</v>
      </c>
      <c r="C155">
        <v>8.6999999999999993</v>
      </c>
      <c r="D155">
        <v>9.4</v>
      </c>
      <c r="E155">
        <v>6.41</v>
      </c>
    </row>
    <row r="156" spans="1:5" x14ac:dyDescent="0.3">
      <c r="A156" s="1">
        <v>31567</v>
      </c>
      <c r="B156">
        <v>14.13</v>
      </c>
      <c r="C156">
        <v>8.65</v>
      </c>
      <c r="D156">
        <v>9.27</v>
      </c>
      <c r="E156">
        <v>6.52</v>
      </c>
    </row>
    <row r="157" spans="1:5" x14ac:dyDescent="0.3">
      <c r="A157" s="1">
        <v>31568</v>
      </c>
      <c r="B157">
        <v>15.13</v>
      </c>
      <c r="C157">
        <v>8.77</v>
      </c>
      <c r="D157">
        <v>9.31</v>
      </c>
      <c r="E157">
        <v>6.51</v>
      </c>
    </row>
    <row r="158" spans="1:5" x14ac:dyDescent="0.3">
      <c r="A158" s="1">
        <v>31569</v>
      </c>
      <c r="B158">
        <v>15.25</v>
      </c>
      <c r="C158">
        <v>8.6999999999999993</v>
      </c>
      <c r="D158">
        <v>9.2799999999999994</v>
      </c>
      <c r="E158">
        <v>6.32</v>
      </c>
    </row>
    <row r="159" spans="1:5" x14ac:dyDescent="0.3">
      <c r="A159" s="1">
        <v>31570</v>
      </c>
      <c r="B159" t="e">
        <v>#N/A</v>
      </c>
      <c r="C159" t="e">
        <v>#N/A</v>
      </c>
      <c r="D159" t="e">
        <v>#N/A</v>
      </c>
      <c r="E159" t="e">
        <v>#N/A</v>
      </c>
    </row>
    <row r="160" spans="1:5" x14ac:dyDescent="0.3">
      <c r="A160" s="1">
        <v>31571</v>
      </c>
      <c r="B160" t="e">
        <v>#N/A</v>
      </c>
      <c r="C160" t="e">
        <v>#N/A</v>
      </c>
      <c r="D160" t="e">
        <v>#N/A</v>
      </c>
      <c r="E160" t="e">
        <v>#N/A</v>
      </c>
    </row>
    <row r="161" spans="1:5" x14ac:dyDescent="0.3">
      <c r="A161" s="1">
        <v>31572</v>
      </c>
      <c r="B161">
        <v>15.25</v>
      </c>
      <c r="C161">
        <v>8.6300000000000008</v>
      </c>
      <c r="D161">
        <v>9.27</v>
      </c>
      <c r="E161">
        <v>6.36</v>
      </c>
    </row>
    <row r="162" spans="1:5" x14ac:dyDescent="0.3">
      <c r="A162" s="1">
        <v>31573</v>
      </c>
      <c r="B162">
        <v>15.38</v>
      </c>
      <c r="C162">
        <v>8.57</v>
      </c>
      <c r="D162">
        <v>9.35</v>
      </c>
      <c r="E162">
        <v>6.28</v>
      </c>
    </row>
    <row r="163" spans="1:5" x14ac:dyDescent="0.3">
      <c r="A163" s="1">
        <v>31574</v>
      </c>
      <c r="B163">
        <v>16.88</v>
      </c>
      <c r="C163">
        <v>8.57</v>
      </c>
      <c r="D163">
        <v>9.5299999999999994</v>
      </c>
      <c r="E163">
        <v>6.34</v>
      </c>
    </row>
    <row r="164" spans="1:5" x14ac:dyDescent="0.3">
      <c r="A164" s="1">
        <v>31575</v>
      </c>
      <c r="B164">
        <v>18.5</v>
      </c>
      <c r="C164">
        <v>8.5399999999999991</v>
      </c>
      <c r="D164">
        <v>9.5500000000000007</v>
      </c>
      <c r="E164">
        <v>6.28</v>
      </c>
    </row>
    <row r="165" spans="1:5" x14ac:dyDescent="0.3">
      <c r="A165" s="1">
        <v>31576</v>
      </c>
      <c r="B165">
        <v>15.88</v>
      </c>
      <c r="C165">
        <v>8.4700000000000006</v>
      </c>
      <c r="D165">
        <v>9.49</v>
      </c>
      <c r="E165">
        <v>6.17</v>
      </c>
    </row>
    <row r="166" spans="1:5" x14ac:dyDescent="0.3">
      <c r="A166" s="1">
        <v>31577</v>
      </c>
      <c r="B166" t="e">
        <v>#N/A</v>
      </c>
      <c r="C166" t="e">
        <v>#N/A</v>
      </c>
      <c r="D166" t="e">
        <v>#N/A</v>
      </c>
      <c r="E166" t="e">
        <v>#N/A</v>
      </c>
    </row>
    <row r="167" spans="1:5" x14ac:dyDescent="0.3">
      <c r="A167" s="1">
        <v>31578</v>
      </c>
      <c r="B167" t="e">
        <v>#N/A</v>
      </c>
      <c r="C167" t="e">
        <v>#N/A</v>
      </c>
      <c r="D167" t="e">
        <v>#N/A</v>
      </c>
      <c r="E167" t="e">
        <v>#N/A</v>
      </c>
    </row>
    <row r="168" spans="1:5" x14ac:dyDescent="0.3">
      <c r="A168" s="1">
        <v>31579</v>
      </c>
      <c r="B168">
        <v>16</v>
      </c>
      <c r="C168">
        <v>8.48</v>
      </c>
      <c r="D168">
        <v>9.4600000000000009</v>
      </c>
      <c r="E168">
        <v>6.12</v>
      </c>
    </row>
    <row r="169" spans="1:5" x14ac:dyDescent="0.3">
      <c r="A169" s="1">
        <v>31580</v>
      </c>
      <c r="B169">
        <v>14.88</v>
      </c>
      <c r="C169">
        <v>8.5</v>
      </c>
      <c r="D169">
        <v>9.44</v>
      </c>
      <c r="E169">
        <v>6.09</v>
      </c>
    </row>
    <row r="170" spans="1:5" x14ac:dyDescent="0.3">
      <c r="A170" s="1">
        <v>31581</v>
      </c>
      <c r="B170">
        <v>14.88</v>
      </c>
      <c r="C170">
        <v>8.5299999999999994</v>
      </c>
      <c r="D170">
        <v>9.4600000000000009</v>
      </c>
      <c r="E170">
        <v>6.09</v>
      </c>
    </row>
    <row r="171" spans="1:5" x14ac:dyDescent="0.3">
      <c r="A171" s="1">
        <v>31582</v>
      </c>
      <c r="B171">
        <v>14.75</v>
      </c>
      <c r="C171">
        <v>8.61</v>
      </c>
      <c r="D171">
        <v>9.44</v>
      </c>
      <c r="E171">
        <v>6.11</v>
      </c>
    </row>
    <row r="172" spans="1:5" x14ac:dyDescent="0.3">
      <c r="A172" s="1">
        <v>31583</v>
      </c>
      <c r="B172">
        <v>14.63</v>
      </c>
      <c r="C172">
        <v>8.58</v>
      </c>
      <c r="D172">
        <v>9.58</v>
      </c>
      <c r="E172">
        <v>6.1</v>
      </c>
    </row>
    <row r="173" spans="1:5" x14ac:dyDescent="0.3">
      <c r="A173" s="1">
        <v>31584</v>
      </c>
      <c r="B173" t="e">
        <v>#N/A</v>
      </c>
      <c r="C173" t="e">
        <v>#N/A</v>
      </c>
      <c r="D173" t="e">
        <v>#N/A</v>
      </c>
      <c r="E173" t="e">
        <v>#N/A</v>
      </c>
    </row>
    <row r="174" spans="1:5" x14ac:dyDescent="0.3">
      <c r="A174" s="1">
        <v>31585</v>
      </c>
      <c r="B174" t="e">
        <v>#N/A</v>
      </c>
      <c r="C174" t="e">
        <v>#N/A</v>
      </c>
      <c r="D174" t="e">
        <v>#N/A</v>
      </c>
      <c r="E174" t="e">
        <v>#N/A</v>
      </c>
    </row>
    <row r="175" spans="1:5" x14ac:dyDescent="0.3">
      <c r="A175" s="1">
        <v>31586</v>
      </c>
      <c r="B175">
        <v>14.75</v>
      </c>
      <c r="C175">
        <v>8.57</v>
      </c>
      <c r="D175">
        <v>9.58</v>
      </c>
      <c r="E175">
        <v>6.11</v>
      </c>
    </row>
    <row r="176" spans="1:5" x14ac:dyDescent="0.3">
      <c r="A176" s="1">
        <v>31587</v>
      </c>
      <c r="B176">
        <v>14.13</v>
      </c>
      <c r="C176">
        <v>8.59</v>
      </c>
      <c r="D176">
        <v>9.5500000000000007</v>
      </c>
      <c r="E176">
        <v>6.08</v>
      </c>
    </row>
    <row r="177" spans="1:5" x14ac:dyDescent="0.3">
      <c r="A177" s="1">
        <v>31588</v>
      </c>
      <c r="B177">
        <v>14.63</v>
      </c>
      <c r="C177">
        <v>8.56</v>
      </c>
      <c r="D177">
        <v>9.49</v>
      </c>
      <c r="E177">
        <v>6.08</v>
      </c>
    </row>
    <row r="178" spans="1:5" x14ac:dyDescent="0.3">
      <c r="A178" s="1">
        <v>31589</v>
      </c>
      <c r="B178">
        <v>15.5</v>
      </c>
      <c r="C178">
        <v>8.59</v>
      </c>
      <c r="D178">
        <v>9.4600000000000009</v>
      </c>
      <c r="E178">
        <v>6.08</v>
      </c>
    </row>
    <row r="179" spans="1:5" x14ac:dyDescent="0.3">
      <c r="A179" s="1">
        <v>31590</v>
      </c>
      <c r="B179">
        <v>16</v>
      </c>
      <c r="C179">
        <v>8.5</v>
      </c>
      <c r="D179">
        <v>9.4</v>
      </c>
      <c r="E179">
        <v>6.02</v>
      </c>
    </row>
    <row r="180" spans="1:5" x14ac:dyDescent="0.3">
      <c r="A180" s="1">
        <v>31591</v>
      </c>
      <c r="B180" t="e">
        <v>#N/A</v>
      </c>
      <c r="C180" t="e">
        <v>#N/A</v>
      </c>
      <c r="D180" t="e">
        <v>#N/A</v>
      </c>
      <c r="E180" t="e">
        <v>#N/A</v>
      </c>
    </row>
    <row r="181" spans="1:5" x14ac:dyDescent="0.3">
      <c r="A181" s="1">
        <v>31592</v>
      </c>
      <c r="B181" t="e">
        <v>#N/A</v>
      </c>
      <c r="C181" t="e">
        <v>#N/A</v>
      </c>
      <c r="D181" t="e">
        <v>#N/A</v>
      </c>
      <c r="E181" t="e">
        <v>#N/A</v>
      </c>
    </row>
    <row r="182" spans="1:5" x14ac:dyDescent="0.3">
      <c r="A182" s="1">
        <v>31593</v>
      </c>
      <c r="B182">
        <v>19</v>
      </c>
      <c r="C182">
        <v>8.49</v>
      </c>
      <c r="D182">
        <v>9.4</v>
      </c>
      <c r="E182">
        <v>5.96</v>
      </c>
    </row>
    <row r="183" spans="1:5" x14ac:dyDescent="0.3">
      <c r="A183" s="1">
        <v>31594</v>
      </c>
      <c r="B183">
        <v>15.88</v>
      </c>
      <c r="C183">
        <v>0</v>
      </c>
      <c r="D183">
        <v>9.41</v>
      </c>
      <c r="E183">
        <v>5.99</v>
      </c>
    </row>
    <row r="184" spans="1:5" x14ac:dyDescent="0.3">
      <c r="A184" s="1">
        <v>31595</v>
      </c>
      <c r="B184">
        <v>13.88</v>
      </c>
      <c r="C184">
        <v>8.4600000000000009</v>
      </c>
      <c r="D184">
        <v>9.42</v>
      </c>
      <c r="E184">
        <v>6</v>
      </c>
    </row>
    <row r="185" spans="1:5" x14ac:dyDescent="0.3">
      <c r="A185" s="1">
        <v>31596</v>
      </c>
      <c r="B185">
        <v>14.5</v>
      </c>
      <c r="C185">
        <v>8.41</v>
      </c>
      <c r="D185">
        <v>9.44</v>
      </c>
      <c r="E185">
        <v>5.91</v>
      </c>
    </row>
    <row r="186" spans="1:5" x14ac:dyDescent="0.3">
      <c r="A186" s="1">
        <v>31597</v>
      </c>
      <c r="B186">
        <v>14.5</v>
      </c>
      <c r="C186">
        <v>8.4</v>
      </c>
      <c r="D186">
        <v>9.49</v>
      </c>
      <c r="E186">
        <v>0</v>
      </c>
    </row>
    <row r="187" spans="1:5" x14ac:dyDescent="0.3">
      <c r="A187" s="1">
        <v>31598</v>
      </c>
      <c r="B187" t="e">
        <v>#N/A</v>
      </c>
      <c r="C187" t="e">
        <v>#N/A</v>
      </c>
      <c r="D187" t="e">
        <v>#N/A</v>
      </c>
      <c r="E187" t="e">
        <v>#N/A</v>
      </c>
    </row>
    <row r="188" spans="1:5" x14ac:dyDescent="0.3">
      <c r="A188" s="1">
        <v>31599</v>
      </c>
      <c r="B188" t="e">
        <v>#N/A</v>
      </c>
      <c r="C188" t="e">
        <v>#N/A</v>
      </c>
      <c r="D188" t="e">
        <v>#N/A</v>
      </c>
      <c r="E188" t="e">
        <v>#N/A</v>
      </c>
    </row>
    <row r="189" spans="1:5" x14ac:dyDescent="0.3">
      <c r="A189" s="1">
        <v>31600</v>
      </c>
      <c r="B189">
        <v>14</v>
      </c>
      <c r="C189">
        <v>8.42</v>
      </c>
      <c r="D189">
        <v>9.49</v>
      </c>
      <c r="E189">
        <v>5.87</v>
      </c>
    </row>
    <row r="190" spans="1:5" x14ac:dyDescent="0.3">
      <c r="A190" s="1">
        <v>31601</v>
      </c>
      <c r="B190">
        <v>15.25</v>
      </c>
      <c r="C190">
        <v>8.4600000000000009</v>
      </c>
      <c r="D190">
        <v>9.4600000000000009</v>
      </c>
      <c r="E190">
        <v>5.94</v>
      </c>
    </row>
    <row r="191" spans="1:5" x14ac:dyDescent="0.3">
      <c r="A191" s="1">
        <v>31602</v>
      </c>
      <c r="B191">
        <v>15.88</v>
      </c>
      <c r="C191">
        <v>8.4</v>
      </c>
      <c r="D191">
        <v>9.65</v>
      </c>
      <c r="E191">
        <v>5.88</v>
      </c>
    </row>
    <row r="192" spans="1:5" x14ac:dyDescent="0.3">
      <c r="A192" s="1">
        <v>31603</v>
      </c>
      <c r="B192">
        <v>15.88</v>
      </c>
      <c r="C192">
        <v>8.33</v>
      </c>
      <c r="D192">
        <v>9.56</v>
      </c>
      <c r="E192">
        <v>5.85</v>
      </c>
    </row>
    <row r="193" spans="1:5" x14ac:dyDescent="0.3">
      <c r="A193" s="1">
        <v>31604</v>
      </c>
      <c r="B193">
        <v>16</v>
      </c>
      <c r="C193">
        <v>8.25</v>
      </c>
      <c r="D193">
        <v>9.5500000000000007</v>
      </c>
      <c r="E193">
        <v>5.75</v>
      </c>
    </row>
    <row r="194" spans="1:5" x14ac:dyDescent="0.3">
      <c r="A194" s="1">
        <v>31605</v>
      </c>
      <c r="B194" t="e">
        <v>#N/A</v>
      </c>
      <c r="C194" t="e">
        <v>#N/A</v>
      </c>
      <c r="D194" t="e">
        <v>#N/A</v>
      </c>
      <c r="E194" t="e">
        <v>#N/A</v>
      </c>
    </row>
    <row r="195" spans="1:5" x14ac:dyDescent="0.3">
      <c r="A195" s="1">
        <v>31606</v>
      </c>
      <c r="B195" t="e">
        <v>#N/A</v>
      </c>
      <c r="C195" t="e">
        <v>#N/A</v>
      </c>
      <c r="D195" t="e">
        <v>#N/A</v>
      </c>
      <c r="E195" t="e">
        <v>#N/A</v>
      </c>
    </row>
    <row r="196" spans="1:5" x14ac:dyDescent="0.3">
      <c r="A196" s="1">
        <v>31607</v>
      </c>
      <c r="B196">
        <v>14.63</v>
      </c>
      <c r="C196">
        <v>8.1999999999999993</v>
      </c>
      <c r="D196">
        <v>9.6300000000000008</v>
      </c>
      <c r="E196">
        <v>5.77</v>
      </c>
    </row>
    <row r="197" spans="1:5" x14ac:dyDescent="0.3">
      <c r="A197" s="1">
        <v>31608</v>
      </c>
      <c r="B197">
        <v>14.25</v>
      </c>
      <c r="C197">
        <v>8.15</v>
      </c>
      <c r="D197">
        <v>9.69</v>
      </c>
      <c r="E197">
        <v>5.77</v>
      </c>
    </row>
    <row r="198" spans="1:5" x14ac:dyDescent="0.3">
      <c r="A198" s="1">
        <v>31609</v>
      </c>
      <c r="B198">
        <v>14.13</v>
      </c>
      <c r="C198">
        <v>8.15</v>
      </c>
      <c r="D198">
        <v>9.65</v>
      </c>
      <c r="E198">
        <v>5.77</v>
      </c>
    </row>
    <row r="199" spans="1:5" x14ac:dyDescent="0.3">
      <c r="A199" s="1">
        <v>31610</v>
      </c>
      <c r="B199">
        <v>14.75</v>
      </c>
      <c r="C199">
        <v>8.09</v>
      </c>
      <c r="D199">
        <v>9.61</v>
      </c>
      <c r="E199">
        <v>5.75</v>
      </c>
    </row>
    <row r="200" spans="1:5" x14ac:dyDescent="0.3">
      <c r="A200" s="1">
        <v>31611</v>
      </c>
      <c r="B200">
        <v>14.13</v>
      </c>
      <c r="C200">
        <v>8.09</v>
      </c>
      <c r="D200">
        <v>9.65</v>
      </c>
      <c r="E200">
        <v>5.71</v>
      </c>
    </row>
    <row r="201" spans="1:5" x14ac:dyDescent="0.3">
      <c r="A201" s="1">
        <v>31612</v>
      </c>
      <c r="B201" t="e">
        <v>#N/A</v>
      </c>
      <c r="C201" t="e">
        <v>#N/A</v>
      </c>
      <c r="D201" t="e">
        <v>#N/A</v>
      </c>
      <c r="E201" t="e">
        <v>#N/A</v>
      </c>
    </row>
    <row r="202" spans="1:5" x14ac:dyDescent="0.3">
      <c r="A202" s="1">
        <v>31613</v>
      </c>
      <c r="B202" t="e">
        <v>#N/A</v>
      </c>
      <c r="C202" t="e">
        <v>#N/A</v>
      </c>
      <c r="D202" t="e">
        <v>#N/A</v>
      </c>
      <c r="E202" t="e">
        <v>#N/A</v>
      </c>
    </row>
    <row r="203" spans="1:5" x14ac:dyDescent="0.3">
      <c r="A203" s="1">
        <v>31614</v>
      </c>
      <c r="B203">
        <v>14</v>
      </c>
      <c r="C203">
        <v>8.08</v>
      </c>
      <c r="D203">
        <v>9.68</v>
      </c>
      <c r="E203">
        <v>5.72</v>
      </c>
    </row>
    <row r="204" spans="1:5" x14ac:dyDescent="0.3">
      <c r="A204" s="1">
        <v>31615</v>
      </c>
      <c r="B204">
        <v>13.63</v>
      </c>
      <c r="C204">
        <v>8.1199999999999992</v>
      </c>
      <c r="D204">
        <v>9.69</v>
      </c>
      <c r="E204">
        <v>5.73</v>
      </c>
    </row>
    <row r="205" spans="1:5" x14ac:dyDescent="0.3">
      <c r="A205" s="1">
        <v>31616</v>
      </c>
      <c r="B205">
        <v>14.13</v>
      </c>
      <c r="C205">
        <v>8.23</v>
      </c>
      <c r="D205">
        <v>9.68</v>
      </c>
      <c r="E205">
        <v>5.81</v>
      </c>
    </row>
    <row r="206" spans="1:5" x14ac:dyDescent="0.3">
      <c r="A206" s="1">
        <v>31617</v>
      </c>
      <c r="B206">
        <v>14.63</v>
      </c>
      <c r="C206">
        <v>8.44</v>
      </c>
      <c r="D206">
        <v>9.65</v>
      </c>
      <c r="E206">
        <v>5.81</v>
      </c>
    </row>
    <row r="207" spans="1:5" x14ac:dyDescent="0.3">
      <c r="A207" s="1">
        <v>31618</v>
      </c>
      <c r="B207">
        <v>14.25</v>
      </c>
      <c r="C207">
        <v>8.49</v>
      </c>
      <c r="D207">
        <v>9.61</v>
      </c>
      <c r="E207">
        <v>5.81</v>
      </c>
    </row>
    <row r="208" spans="1:5" x14ac:dyDescent="0.3">
      <c r="A208" s="1">
        <v>31619</v>
      </c>
      <c r="B208" t="e">
        <v>#N/A</v>
      </c>
      <c r="C208" t="e">
        <v>#N/A</v>
      </c>
      <c r="D208" t="e">
        <v>#N/A</v>
      </c>
      <c r="E208" t="e">
        <v>#N/A</v>
      </c>
    </row>
    <row r="209" spans="1:5" x14ac:dyDescent="0.3">
      <c r="A209" s="1">
        <v>31620</v>
      </c>
      <c r="B209" t="e">
        <v>#N/A</v>
      </c>
      <c r="C209" t="e">
        <v>#N/A</v>
      </c>
      <c r="D209" t="e">
        <v>#N/A</v>
      </c>
      <c r="E209" t="e">
        <v>#N/A</v>
      </c>
    </row>
    <row r="210" spans="1:5" x14ac:dyDescent="0.3">
      <c r="A210" s="1">
        <v>31621</v>
      </c>
      <c r="B210">
        <v>14.88</v>
      </c>
      <c r="C210">
        <v>8.69</v>
      </c>
      <c r="D210">
        <v>9.68</v>
      </c>
      <c r="E210">
        <v>5.89</v>
      </c>
    </row>
    <row r="211" spans="1:5" x14ac:dyDescent="0.3">
      <c r="A211" s="1">
        <v>31622</v>
      </c>
      <c r="B211">
        <v>14.63</v>
      </c>
      <c r="C211">
        <v>8.52</v>
      </c>
      <c r="D211">
        <v>9.66</v>
      </c>
      <c r="E211">
        <v>5.86</v>
      </c>
    </row>
    <row r="212" spans="1:5" x14ac:dyDescent="0.3">
      <c r="A212" s="1">
        <v>31623</v>
      </c>
      <c r="B212">
        <v>15.38</v>
      </c>
      <c r="C212">
        <v>8.3800000000000008</v>
      </c>
      <c r="D212">
        <v>9.64</v>
      </c>
      <c r="E212">
        <v>5.85</v>
      </c>
    </row>
    <row r="213" spans="1:5" x14ac:dyDescent="0.3">
      <c r="A213" s="1">
        <v>31624</v>
      </c>
      <c r="B213">
        <v>15.25</v>
      </c>
      <c r="C213">
        <v>8.31</v>
      </c>
      <c r="D213">
        <v>9.61</v>
      </c>
      <c r="E213">
        <v>5.79</v>
      </c>
    </row>
    <row r="214" spans="1:5" x14ac:dyDescent="0.3">
      <c r="A214" s="1">
        <v>31625</v>
      </c>
      <c r="B214">
        <v>16.25</v>
      </c>
      <c r="C214">
        <v>8.3699999999999992</v>
      </c>
      <c r="D214">
        <v>9.61</v>
      </c>
      <c r="E214">
        <v>5.77</v>
      </c>
    </row>
    <row r="215" spans="1:5" x14ac:dyDescent="0.3">
      <c r="A215" s="1">
        <v>31626</v>
      </c>
      <c r="B215" t="e">
        <v>#N/A</v>
      </c>
      <c r="C215" t="e">
        <v>#N/A</v>
      </c>
      <c r="D215" t="e">
        <v>#N/A</v>
      </c>
      <c r="E215" t="e">
        <v>#N/A</v>
      </c>
    </row>
    <row r="216" spans="1:5" x14ac:dyDescent="0.3">
      <c r="A216" s="1">
        <v>31627</v>
      </c>
      <c r="B216" t="e">
        <v>#N/A</v>
      </c>
      <c r="C216" t="e">
        <v>#N/A</v>
      </c>
      <c r="D216" t="e">
        <v>#N/A</v>
      </c>
      <c r="E216" t="e">
        <v>#N/A</v>
      </c>
    </row>
    <row r="217" spans="1:5" x14ac:dyDescent="0.3">
      <c r="A217" s="1">
        <v>31628</v>
      </c>
      <c r="B217">
        <v>15.5</v>
      </c>
      <c r="C217">
        <v>0</v>
      </c>
      <c r="D217">
        <v>9.6199999999999992</v>
      </c>
      <c r="E217">
        <v>5.71</v>
      </c>
    </row>
    <row r="218" spans="1:5" x14ac:dyDescent="0.3">
      <c r="A218" s="1">
        <v>31629</v>
      </c>
      <c r="B218">
        <v>16.88</v>
      </c>
      <c r="C218">
        <v>8.3800000000000008</v>
      </c>
      <c r="D218">
        <v>9.61</v>
      </c>
      <c r="E218">
        <v>5.71</v>
      </c>
    </row>
    <row r="219" spans="1:5" x14ac:dyDescent="0.3">
      <c r="A219" s="1">
        <v>31630</v>
      </c>
      <c r="B219">
        <v>17.63</v>
      </c>
      <c r="C219">
        <v>8.4</v>
      </c>
      <c r="D219">
        <v>9.6199999999999992</v>
      </c>
      <c r="E219">
        <v>5.72</v>
      </c>
    </row>
    <row r="220" spans="1:5" x14ac:dyDescent="0.3">
      <c r="A220" s="1">
        <v>31631</v>
      </c>
      <c r="B220">
        <v>18.38</v>
      </c>
      <c r="C220">
        <v>8.3800000000000008</v>
      </c>
      <c r="D220">
        <v>9.6199999999999992</v>
      </c>
      <c r="E220">
        <v>5.72</v>
      </c>
    </row>
    <row r="221" spans="1:5" x14ac:dyDescent="0.3">
      <c r="A221" s="1">
        <v>31632</v>
      </c>
      <c r="B221">
        <v>17</v>
      </c>
      <c r="C221">
        <v>8.39</v>
      </c>
      <c r="D221">
        <v>9.6199999999999992</v>
      </c>
      <c r="E221">
        <v>5.7</v>
      </c>
    </row>
    <row r="222" spans="1:5" x14ac:dyDescent="0.3">
      <c r="A222" s="1">
        <v>31633</v>
      </c>
      <c r="B222" t="e">
        <v>#N/A</v>
      </c>
      <c r="C222" t="e">
        <v>#N/A</v>
      </c>
      <c r="D222" t="e">
        <v>#N/A</v>
      </c>
      <c r="E222" t="e">
        <v>#N/A</v>
      </c>
    </row>
    <row r="223" spans="1:5" x14ac:dyDescent="0.3">
      <c r="A223" s="1">
        <v>31634</v>
      </c>
      <c r="B223" t="e">
        <v>#N/A</v>
      </c>
      <c r="C223" t="e">
        <v>#N/A</v>
      </c>
      <c r="D223" t="e">
        <v>#N/A</v>
      </c>
      <c r="E223" t="e">
        <v>#N/A</v>
      </c>
    </row>
    <row r="224" spans="1:5" x14ac:dyDescent="0.3">
      <c r="A224" s="1">
        <v>31635</v>
      </c>
      <c r="B224">
        <v>18.25</v>
      </c>
      <c r="C224">
        <v>8.39</v>
      </c>
      <c r="D224">
        <v>9.6199999999999992</v>
      </c>
      <c r="E224">
        <v>5.67</v>
      </c>
    </row>
    <row r="225" spans="1:5" x14ac:dyDescent="0.3">
      <c r="A225" s="1">
        <v>31636</v>
      </c>
      <c r="B225">
        <v>17.25</v>
      </c>
      <c r="C225">
        <v>8.4600000000000009</v>
      </c>
      <c r="D225">
        <v>9.5299999999999994</v>
      </c>
      <c r="E225">
        <v>5.61</v>
      </c>
    </row>
    <row r="226" spans="1:5" x14ac:dyDescent="0.3">
      <c r="A226" s="1">
        <v>31637</v>
      </c>
      <c r="B226">
        <v>17</v>
      </c>
      <c r="C226">
        <v>8.3699999999999992</v>
      </c>
      <c r="D226">
        <v>9.5299999999999994</v>
      </c>
      <c r="E226">
        <v>5.57</v>
      </c>
    </row>
    <row r="227" spans="1:5" x14ac:dyDescent="0.3">
      <c r="A227" s="1">
        <v>31638</v>
      </c>
      <c r="B227">
        <v>18</v>
      </c>
      <c r="C227">
        <v>8.36</v>
      </c>
      <c r="D227">
        <v>9.49</v>
      </c>
      <c r="E227">
        <v>5.59</v>
      </c>
    </row>
    <row r="228" spans="1:5" x14ac:dyDescent="0.3">
      <c r="A228" s="1">
        <v>31639</v>
      </c>
      <c r="B228">
        <v>17.25</v>
      </c>
      <c r="C228">
        <v>8.36</v>
      </c>
      <c r="D228">
        <v>9.48</v>
      </c>
      <c r="E228">
        <v>5.56</v>
      </c>
    </row>
    <row r="229" spans="1:5" x14ac:dyDescent="0.3">
      <c r="A229" s="1">
        <v>31640</v>
      </c>
      <c r="B229" t="e">
        <v>#N/A</v>
      </c>
      <c r="C229" t="e">
        <v>#N/A</v>
      </c>
      <c r="D229" t="e">
        <v>#N/A</v>
      </c>
      <c r="E229" t="e">
        <v>#N/A</v>
      </c>
    </row>
    <row r="230" spans="1:5" x14ac:dyDescent="0.3">
      <c r="A230" s="1">
        <v>31641</v>
      </c>
      <c r="B230" t="e">
        <v>#N/A</v>
      </c>
      <c r="C230" t="e">
        <v>#N/A</v>
      </c>
      <c r="D230" t="e">
        <v>#N/A</v>
      </c>
      <c r="E230" t="e">
        <v>#N/A</v>
      </c>
    </row>
    <row r="231" spans="1:5" x14ac:dyDescent="0.3">
      <c r="A231" s="1">
        <v>31642</v>
      </c>
      <c r="B231">
        <v>18.63</v>
      </c>
      <c r="C231">
        <v>8.3699999999999992</v>
      </c>
      <c r="D231">
        <v>9.4600000000000009</v>
      </c>
      <c r="E231">
        <v>5.61</v>
      </c>
    </row>
    <row r="232" spans="1:5" x14ac:dyDescent="0.3">
      <c r="A232" s="1">
        <v>31643</v>
      </c>
      <c r="B232">
        <v>18.75</v>
      </c>
      <c r="C232">
        <v>8.39</v>
      </c>
      <c r="D232">
        <v>9.4600000000000009</v>
      </c>
      <c r="E232">
        <v>5.56</v>
      </c>
    </row>
    <row r="233" spans="1:5" x14ac:dyDescent="0.3">
      <c r="A233" s="1">
        <v>31644</v>
      </c>
      <c r="B233">
        <v>18.63</v>
      </c>
      <c r="C233">
        <v>8.41</v>
      </c>
      <c r="D233">
        <v>9.4</v>
      </c>
      <c r="E233">
        <v>5.5</v>
      </c>
    </row>
    <row r="234" spans="1:5" x14ac:dyDescent="0.3">
      <c r="A234" s="1">
        <v>31645</v>
      </c>
      <c r="B234">
        <v>19.13</v>
      </c>
      <c r="C234">
        <v>8.3699999999999992</v>
      </c>
      <c r="D234">
        <v>9.35</v>
      </c>
      <c r="E234">
        <v>5.37</v>
      </c>
    </row>
    <row r="235" spans="1:5" x14ac:dyDescent="0.3">
      <c r="A235" s="1">
        <v>31646</v>
      </c>
      <c r="B235">
        <v>17.38</v>
      </c>
      <c r="C235">
        <v>8.36</v>
      </c>
      <c r="D235">
        <v>9.41</v>
      </c>
      <c r="E235">
        <v>5.36</v>
      </c>
    </row>
    <row r="236" spans="1:5" x14ac:dyDescent="0.3">
      <c r="A236" s="1">
        <v>31647</v>
      </c>
      <c r="B236" t="e">
        <v>#N/A</v>
      </c>
      <c r="C236" t="e">
        <v>#N/A</v>
      </c>
      <c r="D236" t="e">
        <v>#N/A</v>
      </c>
      <c r="E236" t="e">
        <v>#N/A</v>
      </c>
    </row>
    <row r="237" spans="1:5" x14ac:dyDescent="0.3">
      <c r="A237" s="1">
        <v>31648</v>
      </c>
      <c r="B237" t="e">
        <v>#N/A</v>
      </c>
      <c r="C237" t="e">
        <v>#N/A</v>
      </c>
      <c r="D237" t="e">
        <v>#N/A</v>
      </c>
      <c r="E237" t="e">
        <v>#N/A</v>
      </c>
    </row>
    <row r="238" spans="1:5" x14ac:dyDescent="0.3">
      <c r="A238" s="1">
        <v>31649</v>
      </c>
      <c r="B238">
        <v>18.25</v>
      </c>
      <c r="C238">
        <v>8.39</v>
      </c>
      <c r="D238">
        <v>9.41</v>
      </c>
      <c r="E238">
        <v>5.27</v>
      </c>
    </row>
    <row r="239" spans="1:5" x14ac:dyDescent="0.3">
      <c r="A239" s="1">
        <v>31650</v>
      </c>
      <c r="B239">
        <v>18.13</v>
      </c>
      <c r="C239">
        <v>8.3699999999999992</v>
      </c>
      <c r="D239">
        <v>9.43</v>
      </c>
      <c r="E239">
        <v>5.29</v>
      </c>
    </row>
    <row r="240" spans="1:5" x14ac:dyDescent="0.3">
      <c r="A240" s="1">
        <v>31651</v>
      </c>
      <c r="B240">
        <v>18.63</v>
      </c>
      <c r="C240">
        <v>8.4</v>
      </c>
      <c r="D240">
        <v>9.3800000000000008</v>
      </c>
      <c r="E240">
        <v>5.32</v>
      </c>
    </row>
    <row r="241" spans="1:5" x14ac:dyDescent="0.3">
      <c r="A241" s="1">
        <v>31652</v>
      </c>
      <c r="B241">
        <v>18.38</v>
      </c>
      <c r="C241">
        <v>8.35</v>
      </c>
      <c r="D241">
        <v>9.4</v>
      </c>
      <c r="E241">
        <v>5.29</v>
      </c>
    </row>
    <row r="242" spans="1:5" x14ac:dyDescent="0.3">
      <c r="A242" s="1">
        <v>31653</v>
      </c>
      <c r="B242">
        <v>18.13</v>
      </c>
      <c r="C242">
        <v>8.24</v>
      </c>
      <c r="D242">
        <v>9.44</v>
      </c>
      <c r="E242">
        <v>5.17</v>
      </c>
    </row>
    <row r="243" spans="1:5" x14ac:dyDescent="0.3">
      <c r="A243" s="1">
        <v>31654</v>
      </c>
      <c r="B243" t="e">
        <v>#N/A</v>
      </c>
      <c r="C243" t="e">
        <v>#N/A</v>
      </c>
      <c r="D243" t="e">
        <v>#N/A</v>
      </c>
      <c r="E243" t="e">
        <v>#N/A</v>
      </c>
    </row>
    <row r="244" spans="1:5" x14ac:dyDescent="0.3">
      <c r="A244" s="1">
        <v>31655</v>
      </c>
      <c r="B244" t="e">
        <v>#N/A</v>
      </c>
      <c r="C244" t="e">
        <v>#N/A</v>
      </c>
      <c r="D244" t="e">
        <v>#N/A</v>
      </c>
      <c r="E244" t="e">
        <v>#N/A</v>
      </c>
    </row>
    <row r="245" spans="1:5" x14ac:dyDescent="0.3">
      <c r="A245" s="1">
        <v>31656</v>
      </c>
      <c r="B245">
        <v>18.38</v>
      </c>
      <c r="C245">
        <v>0</v>
      </c>
      <c r="D245">
        <v>9.49</v>
      </c>
      <c r="E245">
        <v>0</v>
      </c>
    </row>
    <row r="246" spans="1:5" x14ac:dyDescent="0.3">
      <c r="A246" s="1">
        <v>31657</v>
      </c>
      <c r="B246">
        <v>18.25</v>
      </c>
      <c r="C246">
        <v>8.17</v>
      </c>
      <c r="D246">
        <v>9.4600000000000009</v>
      </c>
      <c r="E246">
        <v>5.19</v>
      </c>
    </row>
    <row r="247" spans="1:5" x14ac:dyDescent="0.3">
      <c r="A247" s="1">
        <v>31658</v>
      </c>
      <c r="B247">
        <v>17.75</v>
      </c>
      <c r="C247">
        <v>8.1999999999999993</v>
      </c>
      <c r="D247">
        <v>9.5500000000000007</v>
      </c>
      <c r="E247">
        <v>5.24</v>
      </c>
    </row>
    <row r="248" spans="1:5" x14ac:dyDescent="0.3">
      <c r="A248" s="1">
        <v>31659</v>
      </c>
      <c r="B248">
        <v>17.75</v>
      </c>
      <c r="C248">
        <v>8.23</v>
      </c>
      <c r="D248">
        <v>9.5399999999999991</v>
      </c>
      <c r="E248">
        <v>5.19</v>
      </c>
    </row>
    <row r="249" spans="1:5" x14ac:dyDescent="0.3">
      <c r="A249" s="1">
        <v>31660</v>
      </c>
      <c r="B249">
        <v>17.5</v>
      </c>
      <c r="C249">
        <v>8.24</v>
      </c>
      <c r="D249">
        <v>9.5500000000000007</v>
      </c>
      <c r="E249">
        <v>5.23</v>
      </c>
    </row>
    <row r="250" spans="1:5" x14ac:dyDescent="0.3">
      <c r="A250" s="1">
        <v>31661</v>
      </c>
      <c r="B250" t="e">
        <v>#N/A</v>
      </c>
      <c r="C250" t="e">
        <v>#N/A</v>
      </c>
      <c r="D250" t="e">
        <v>#N/A</v>
      </c>
      <c r="E250" t="e">
        <v>#N/A</v>
      </c>
    </row>
    <row r="251" spans="1:5" x14ac:dyDescent="0.3">
      <c r="A251" s="1">
        <v>31662</v>
      </c>
      <c r="B251" t="e">
        <v>#N/A</v>
      </c>
      <c r="C251" t="e">
        <v>#N/A</v>
      </c>
      <c r="D251" t="e">
        <v>#N/A</v>
      </c>
      <c r="E251" t="e">
        <v>#N/A</v>
      </c>
    </row>
    <row r="252" spans="1:5" x14ac:dyDescent="0.3">
      <c r="A252" s="1">
        <v>31663</v>
      </c>
      <c r="B252">
        <v>17.63</v>
      </c>
      <c r="C252">
        <v>8.24</v>
      </c>
      <c r="D252">
        <v>9.6300000000000008</v>
      </c>
      <c r="E252">
        <v>5.24</v>
      </c>
    </row>
    <row r="253" spans="1:5" x14ac:dyDescent="0.3">
      <c r="A253" s="1">
        <v>31664</v>
      </c>
      <c r="B253">
        <v>18</v>
      </c>
      <c r="C253">
        <v>8.2100000000000009</v>
      </c>
      <c r="D253">
        <v>9.6300000000000008</v>
      </c>
      <c r="E253">
        <v>5.2</v>
      </c>
    </row>
    <row r="254" spans="1:5" x14ac:dyDescent="0.3">
      <c r="A254" s="1">
        <v>31665</v>
      </c>
      <c r="B254">
        <v>18.63</v>
      </c>
      <c r="C254">
        <v>8.25</v>
      </c>
      <c r="D254">
        <v>9.65</v>
      </c>
      <c r="E254">
        <v>5.16</v>
      </c>
    </row>
    <row r="255" spans="1:5" x14ac:dyDescent="0.3">
      <c r="A255" s="1">
        <v>31666</v>
      </c>
      <c r="B255">
        <v>18</v>
      </c>
      <c r="C255">
        <v>8.3699999999999992</v>
      </c>
      <c r="D255">
        <v>9.68</v>
      </c>
      <c r="E255">
        <v>5.21</v>
      </c>
    </row>
    <row r="256" spans="1:5" x14ac:dyDescent="0.3">
      <c r="A256" s="1">
        <v>31667</v>
      </c>
      <c r="B256">
        <v>17.63</v>
      </c>
      <c r="C256">
        <v>8.3000000000000007</v>
      </c>
      <c r="D256">
        <v>9.68</v>
      </c>
      <c r="E256">
        <v>5.17</v>
      </c>
    </row>
    <row r="257" spans="1:5" x14ac:dyDescent="0.3">
      <c r="A257" s="1">
        <v>31668</v>
      </c>
      <c r="B257" t="e">
        <v>#N/A</v>
      </c>
      <c r="C257" t="e">
        <v>#N/A</v>
      </c>
      <c r="D257" t="e">
        <v>#N/A</v>
      </c>
      <c r="E257" t="e">
        <v>#N/A</v>
      </c>
    </row>
    <row r="258" spans="1:5" x14ac:dyDescent="0.3">
      <c r="A258" s="1">
        <v>31669</v>
      </c>
      <c r="B258" t="e">
        <v>#N/A</v>
      </c>
      <c r="C258" t="e">
        <v>#N/A</v>
      </c>
      <c r="D258" t="e">
        <v>#N/A</v>
      </c>
      <c r="E258" t="e">
        <v>#N/A</v>
      </c>
    </row>
    <row r="259" spans="1:5" x14ac:dyDescent="0.3">
      <c r="A259" s="1">
        <v>31670</v>
      </c>
      <c r="B259">
        <v>17.63</v>
      </c>
      <c r="C259">
        <v>8.26</v>
      </c>
      <c r="D259">
        <v>9.65</v>
      </c>
      <c r="E259">
        <v>5.17</v>
      </c>
    </row>
    <row r="260" spans="1:5" x14ac:dyDescent="0.3">
      <c r="A260" s="1">
        <v>31671</v>
      </c>
      <c r="B260">
        <v>17.63</v>
      </c>
      <c r="C260">
        <v>8.32</v>
      </c>
      <c r="D260">
        <v>9.6199999999999992</v>
      </c>
      <c r="E260">
        <v>5.13</v>
      </c>
    </row>
    <row r="261" spans="1:5" x14ac:dyDescent="0.3">
      <c r="A261" s="1">
        <v>31672</v>
      </c>
      <c r="B261">
        <v>17.5</v>
      </c>
      <c r="C261">
        <v>8.39</v>
      </c>
      <c r="D261">
        <v>9.65</v>
      </c>
      <c r="E261">
        <v>5.12</v>
      </c>
    </row>
    <row r="262" spans="1:5" x14ac:dyDescent="0.3">
      <c r="A262" s="1">
        <v>31673</v>
      </c>
      <c r="B262">
        <v>17.38</v>
      </c>
      <c r="C262">
        <v>8.44</v>
      </c>
      <c r="D262">
        <v>9.68</v>
      </c>
      <c r="E262">
        <v>5.23</v>
      </c>
    </row>
    <row r="263" spans="1:5" x14ac:dyDescent="0.3">
      <c r="A263" s="1">
        <v>31674</v>
      </c>
      <c r="B263">
        <v>17.5</v>
      </c>
      <c r="C263">
        <v>8.41</v>
      </c>
      <c r="D263">
        <v>9.85</v>
      </c>
      <c r="E263">
        <v>5.25</v>
      </c>
    </row>
    <row r="264" spans="1:5" x14ac:dyDescent="0.3">
      <c r="A264" s="1">
        <v>31675</v>
      </c>
      <c r="B264" t="e">
        <v>#N/A</v>
      </c>
      <c r="C264" t="e">
        <v>#N/A</v>
      </c>
      <c r="D264" t="e">
        <v>#N/A</v>
      </c>
      <c r="E264" t="e">
        <v>#N/A</v>
      </c>
    </row>
    <row r="265" spans="1:5" x14ac:dyDescent="0.3">
      <c r="A265" s="1">
        <v>31676</v>
      </c>
      <c r="B265" t="e">
        <v>#N/A</v>
      </c>
      <c r="C265" t="e">
        <v>#N/A</v>
      </c>
      <c r="D265" t="e">
        <v>#N/A</v>
      </c>
      <c r="E265" t="e">
        <v>#N/A</v>
      </c>
    </row>
    <row r="266" spans="1:5" x14ac:dyDescent="0.3">
      <c r="A266" s="1">
        <v>31677</v>
      </c>
      <c r="B266">
        <v>17.43</v>
      </c>
      <c r="C266">
        <v>8.3800000000000008</v>
      </c>
      <c r="D266">
        <v>9.85</v>
      </c>
      <c r="E266">
        <v>5.25</v>
      </c>
    </row>
    <row r="267" spans="1:5" x14ac:dyDescent="0.3">
      <c r="A267" s="1">
        <v>31678</v>
      </c>
      <c r="B267">
        <v>17.38</v>
      </c>
      <c r="C267">
        <v>8.3699999999999992</v>
      </c>
      <c r="D267">
        <v>9.91</v>
      </c>
      <c r="E267">
        <v>5.25</v>
      </c>
    </row>
    <row r="268" spans="1:5" x14ac:dyDescent="0.3">
      <c r="A268" s="1">
        <v>31679</v>
      </c>
      <c r="B268">
        <v>17.5</v>
      </c>
      <c r="C268">
        <v>8.31</v>
      </c>
      <c r="D268">
        <v>9.7799999999999994</v>
      </c>
      <c r="E268">
        <v>5.24</v>
      </c>
    </row>
    <row r="269" spans="1:5" x14ac:dyDescent="0.3">
      <c r="A269" s="1">
        <v>31680</v>
      </c>
      <c r="B269">
        <v>17.38</v>
      </c>
      <c r="C269">
        <v>8.36</v>
      </c>
      <c r="D269">
        <v>9.91</v>
      </c>
      <c r="E269">
        <v>5.23</v>
      </c>
    </row>
    <row r="270" spans="1:5" x14ac:dyDescent="0.3">
      <c r="A270" s="1">
        <v>31681</v>
      </c>
      <c r="B270">
        <v>17.55</v>
      </c>
      <c r="C270">
        <v>8.36</v>
      </c>
      <c r="D270">
        <v>10.25</v>
      </c>
      <c r="E270">
        <v>5.24</v>
      </c>
    </row>
    <row r="271" spans="1:5" x14ac:dyDescent="0.3">
      <c r="A271" s="1">
        <v>31682</v>
      </c>
      <c r="B271" t="e">
        <v>#N/A</v>
      </c>
      <c r="C271" t="e">
        <v>#N/A</v>
      </c>
      <c r="D271" t="e">
        <v>#N/A</v>
      </c>
      <c r="E271" t="e">
        <v>#N/A</v>
      </c>
    </row>
    <row r="272" spans="1:5" x14ac:dyDescent="0.3">
      <c r="A272" s="1">
        <v>31683</v>
      </c>
      <c r="B272" t="e">
        <v>#N/A</v>
      </c>
      <c r="C272" t="e">
        <v>#N/A</v>
      </c>
      <c r="D272" t="e">
        <v>#N/A</v>
      </c>
      <c r="E272" t="e">
        <v>#N/A</v>
      </c>
    </row>
    <row r="273" spans="1:5" x14ac:dyDescent="0.3">
      <c r="A273" s="1">
        <v>31684</v>
      </c>
      <c r="B273">
        <v>17.38</v>
      </c>
      <c r="C273">
        <v>8.3800000000000008</v>
      </c>
      <c r="D273">
        <v>10.82</v>
      </c>
      <c r="E273">
        <v>5.26</v>
      </c>
    </row>
    <row r="274" spans="1:5" x14ac:dyDescent="0.3">
      <c r="A274" s="1">
        <v>31685</v>
      </c>
      <c r="B274">
        <v>17.63</v>
      </c>
      <c r="C274">
        <v>8.36</v>
      </c>
      <c r="D274">
        <v>10.220000000000001</v>
      </c>
      <c r="E274">
        <v>5.2</v>
      </c>
    </row>
    <row r="275" spans="1:5" x14ac:dyDescent="0.3">
      <c r="A275" s="1">
        <v>31686</v>
      </c>
      <c r="B275">
        <v>17.579999999999998</v>
      </c>
      <c r="C275">
        <v>8.3800000000000008</v>
      </c>
      <c r="D275">
        <v>10.18</v>
      </c>
      <c r="E275">
        <v>5.19</v>
      </c>
    </row>
    <row r="276" spans="1:5" x14ac:dyDescent="0.3">
      <c r="A276" s="1">
        <v>31687</v>
      </c>
      <c r="B276">
        <v>17.25</v>
      </c>
      <c r="C276">
        <v>8.36</v>
      </c>
      <c r="D276">
        <v>10.32</v>
      </c>
      <c r="E276">
        <v>5.19</v>
      </c>
    </row>
    <row r="277" spans="1:5" x14ac:dyDescent="0.3">
      <c r="A277" s="1">
        <v>31688</v>
      </c>
      <c r="B277">
        <v>17.25</v>
      </c>
      <c r="C277">
        <v>8.3000000000000007</v>
      </c>
      <c r="D277">
        <v>10.63</v>
      </c>
      <c r="E277">
        <v>5.09</v>
      </c>
    </row>
    <row r="278" spans="1:5" x14ac:dyDescent="0.3">
      <c r="A278" s="1">
        <v>31689</v>
      </c>
      <c r="B278" t="e">
        <v>#N/A</v>
      </c>
      <c r="C278" t="e">
        <v>#N/A</v>
      </c>
      <c r="D278" t="e">
        <v>#N/A</v>
      </c>
      <c r="E278" t="e">
        <v>#N/A</v>
      </c>
    </row>
    <row r="279" spans="1:5" x14ac:dyDescent="0.3">
      <c r="A279" s="1">
        <v>31690</v>
      </c>
      <c r="B279" t="e">
        <v>#N/A</v>
      </c>
      <c r="C279" t="e">
        <v>#N/A</v>
      </c>
      <c r="D279" t="e">
        <v>#N/A</v>
      </c>
      <c r="E279" t="e">
        <v>#N/A</v>
      </c>
    </row>
    <row r="280" spans="1:5" x14ac:dyDescent="0.3">
      <c r="A280" s="1">
        <v>31691</v>
      </c>
      <c r="B280">
        <v>17</v>
      </c>
      <c r="C280">
        <v>8.2899999999999991</v>
      </c>
      <c r="D280">
        <v>10.220000000000001</v>
      </c>
      <c r="E280">
        <v>5.05</v>
      </c>
    </row>
    <row r="281" spans="1:5" x14ac:dyDescent="0.3">
      <c r="A281" s="1">
        <v>31692</v>
      </c>
      <c r="B281">
        <v>17</v>
      </c>
      <c r="C281">
        <v>8.31</v>
      </c>
      <c r="D281">
        <v>10.28</v>
      </c>
      <c r="E281">
        <v>5.0599999999999996</v>
      </c>
    </row>
    <row r="282" spans="1:5" x14ac:dyDescent="0.3">
      <c r="A282" s="1">
        <v>31693</v>
      </c>
      <c r="B282">
        <v>17.13</v>
      </c>
      <c r="C282">
        <v>8.2799999999999994</v>
      </c>
      <c r="D282">
        <v>10.35</v>
      </c>
      <c r="E282">
        <v>5.04</v>
      </c>
    </row>
    <row r="283" spans="1:5" x14ac:dyDescent="0.3">
      <c r="A283" s="1">
        <v>31694</v>
      </c>
      <c r="B283">
        <v>17.25</v>
      </c>
      <c r="C283">
        <v>8.24</v>
      </c>
      <c r="D283">
        <v>10.51</v>
      </c>
      <c r="E283">
        <v>5.0599999999999996</v>
      </c>
    </row>
    <row r="284" spans="1:5" x14ac:dyDescent="0.3">
      <c r="A284" s="1">
        <v>31695</v>
      </c>
      <c r="B284">
        <v>17</v>
      </c>
      <c r="C284">
        <v>8.24</v>
      </c>
      <c r="D284">
        <v>10.16</v>
      </c>
      <c r="E284">
        <v>5.0599999999999996</v>
      </c>
    </row>
    <row r="285" spans="1:5" x14ac:dyDescent="0.3">
      <c r="A285" s="1">
        <v>31696</v>
      </c>
      <c r="B285" t="e">
        <v>#N/A</v>
      </c>
      <c r="C285" t="e">
        <v>#N/A</v>
      </c>
      <c r="D285" t="e">
        <v>#N/A</v>
      </c>
      <c r="E285" t="e">
        <v>#N/A</v>
      </c>
    </row>
    <row r="286" spans="1:5" x14ac:dyDescent="0.3">
      <c r="A286" s="1">
        <v>31697</v>
      </c>
      <c r="B286" t="e">
        <v>#N/A</v>
      </c>
      <c r="C286" t="e">
        <v>#N/A</v>
      </c>
      <c r="D286" t="e">
        <v>#N/A</v>
      </c>
      <c r="E286" t="e">
        <v>#N/A</v>
      </c>
    </row>
    <row r="287" spans="1:5" x14ac:dyDescent="0.3">
      <c r="A287" s="1">
        <v>31698</v>
      </c>
      <c r="B287">
        <v>17</v>
      </c>
      <c r="C287">
        <v>0</v>
      </c>
      <c r="D287">
        <v>10.220000000000001</v>
      </c>
      <c r="E287">
        <v>0</v>
      </c>
    </row>
    <row r="288" spans="1:5" x14ac:dyDescent="0.3">
      <c r="A288" s="1">
        <v>31699</v>
      </c>
      <c r="B288">
        <v>16.88</v>
      </c>
      <c r="C288">
        <v>8.27</v>
      </c>
      <c r="D288">
        <v>10.25</v>
      </c>
      <c r="E288">
        <v>5.14</v>
      </c>
    </row>
    <row r="289" spans="1:5" x14ac:dyDescent="0.3">
      <c r="A289" s="1">
        <v>31700</v>
      </c>
      <c r="B289">
        <v>16.88</v>
      </c>
      <c r="C289">
        <v>8.31</v>
      </c>
      <c r="D289">
        <v>10.75</v>
      </c>
      <c r="E289">
        <v>5.18</v>
      </c>
    </row>
    <row r="290" spans="1:5" x14ac:dyDescent="0.3">
      <c r="A290" s="1">
        <v>31701</v>
      </c>
      <c r="B290">
        <v>16.63</v>
      </c>
      <c r="C290">
        <v>8.36</v>
      </c>
      <c r="D290">
        <v>10.74</v>
      </c>
      <c r="E290">
        <v>5.2</v>
      </c>
    </row>
    <row r="291" spans="1:5" x14ac:dyDescent="0.3">
      <c r="A291" s="1">
        <v>31702</v>
      </c>
      <c r="B291">
        <v>16.5</v>
      </c>
      <c r="C291">
        <v>8.34</v>
      </c>
      <c r="D291">
        <v>10.94</v>
      </c>
      <c r="E291">
        <v>5.27</v>
      </c>
    </row>
    <row r="292" spans="1:5" x14ac:dyDescent="0.3">
      <c r="A292" s="1">
        <v>31703</v>
      </c>
      <c r="B292" t="e">
        <v>#N/A</v>
      </c>
      <c r="C292" t="e">
        <v>#N/A</v>
      </c>
      <c r="D292" t="e">
        <v>#N/A</v>
      </c>
      <c r="E292" t="e">
        <v>#N/A</v>
      </c>
    </row>
    <row r="293" spans="1:5" x14ac:dyDescent="0.3">
      <c r="A293" s="1">
        <v>31704</v>
      </c>
      <c r="B293" t="e">
        <v>#N/A</v>
      </c>
      <c r="C293" t="e">
        <v>#N/A</v>
      </c>
      <c r="D293" t="e">
        <v>#N/A</v>
      </c>
      <c r="E293" t="e">
        <v>#N/A</v>
      </c>
    </row>
    <row r="294" spans="1:5" x14ac:dyDescent="0.3">
      <c r="A294" s="1">
        <v>31705</v>
      </c>
      <c r="B294">
        <v>16.5</v>
      </c>
      <c r="C294">
        <v>8.4499999999999993</v>
      </c>
      <c r="D294">
        <v>11.22</v>
      </c>
      <c r="E294">
        <v>5.31</v>
      </c>
    </row>
    <row r="295" spans="1:5" x14ac:dyDescent="0.3">
      <c r="A295" s="1">
        <v>31706</v>
      </c>
      <c r="B295">
        <v>16</v>
      </c>
      <c r="C295">
        <v>8.43</v>
      </c>
      <c r="D295">
        <v>10.96</v>
      </c>
      <c r="E295">
        <v>5.31</v>
      </c>
    </row>
    <row r="296" spans="1:5" x14ac:dyDescent="0.3">
      <c r="A296" s="1">
        <v>31707</v>
      </c>
      <c r="B296">
        <v>16</v>
      </c>
      <c r="C296">
        <v>8.41</v>
      </c>
      <c r="D296">
        <v>10.74</v>
      </c>
      <c r="E296">
        <v>5.3</v>
      </c>
    </row>
    <row r="297" spans="1:5" x14ac:dyDescent="0.3">
      <c r="A297" s="1">
        <v>31708</v>
      </c>
      <c r="B297">
        <v>16.100000000000001</v>
      </c>
      <c r="C297">
        <v>8.39</v>
      </c>
      <c r="D297">
        <v>10.72</v>
      </c>
      <c r="E297">
        <v>5.26</v>
      </c>
    </row>
    <row r="298" spans="1:5" x14ac:dyDescent="0.3">
      <c r="A298" s="1">
        <v>31709</v>
      </c>
      <c r="B298">
        <v>16.100000000000001</v>
      </c>
      <c r="C298">
        <v>8.39</v>
      </c>
      <c r="D298">
        <v>10.7</v>
      </c>
      <c r="E298">
        <v>5.27</v>
      </c>
    </row>
    <row r="299" spans="1:5" x14ac:dyDescent="0.3">
      <c r="A299" s="1">
        <v>31710</v>
      </c>
      <c r="B299" t="e">
        <v>#N/A</v>
      </c>
      <c r="C299" t="e">
        <v>#N/A</v>
      </c>
      <c r="D299" t="e">
        <v>#N/A</v>
      </c>
      <c r="E299" t="e">
        <v>#N/A</v>
      </c>
    </row>
    <row r="300" spans="1:5" x14ac:dyDescent="0.3">
      <c r="A300" s="1">
        <v>31711</v>
      </c>
      <c r="B300" t="e">
        <v>#N/A</v>
      </c>
      <c r="C300" t="e">
        <v>#N/A</v>
      </c>
      <c r="D300" t="e">
        <v>#N/A</v>
      </c>
      <c r="E300" t="e">
        <v>#N/A</v>
      </c>
    </row>
    <row r="301" spans="1:5" x14ac:dyDescent="0.3">
      <c r="A301" s="1">
        <v>31712</v>
      </c>
      <c r="B301">
        <v>16.100000000000001</v>
      </c>
      <c r="C301">
        <v>8.39</v>
      </c>
      <c r="D301">
        <v>10.7</v>
      </c>
      <c r="E301">
        <v>5.19</v>
      </c>
    </row>
    <row r="302" spans="1:5" x14ac:dyDescent="0.3">
      <c r="A302" s="1">
        <v>31713</v>
      </c>
      <c r="B302">
        <v>16.25</v>
      </c>
      <c r="C302">
        <v>8.39</v>
      </c>
      <c r="D302">
        <v>10.68</v>
      </c>
      <c r="E302">
        <v>5.2</v>
      </c>
    </row>
    <row r="303" spans="1:5" x14ac:dyDescent="0.3">
      <c r="A303" s="1">
        <v>31714</v>
      </c>
      <c r="B303">
        <v>16.28</v>
      </c>
      <c r="C303">
        <v>8.4</v>
      </c>
      <c r="D303">
        <v>10.68</v>
      </c>
      <c r="E303">
        <v>5.2</v>
      </c>
    </row>
    <row r="304" spans="1:5" x14ac:dyDescent="0.3">
      <c r="A304" s="1">
        <v>31715</v>
      </c>
      <c r="B304">
        <v>16.13</v>
      </c>
      <c r="C304">
        <v>8.34</v>
      </c>
      <c r="D304">
        <v>10.68</v>
      </c>
      <c r="E304">
        <v>5.18</v>
      </c>
    </row>
    <row r="305" spans="1:5" x14ac:dyDescent="0.3">
      <c r="A305" s="1">
        <v>31716</v>
      </c>
      <c r="B305">
        <v>16</v>
      </c>
      <c r="C305">
        <v>8.36</v>
      </c>
      <c r="D305">
        <v>10.68</v>
      </c>
      <c r="E305">
        <v>5.2</v>
      </c>
    </row>
    <row r="306" spans="1:5" x14ac:dyDescent="0.3">
      <c r="A306" s="1">
        <v>31717</v>
      </c>
      <c r="B306" t="e">
        <v>#N/A</v>
      </c>
      <c r="C306" t="e">
        <v>#N/A</v>
      </c>
      <c r="D306" t="e">
        <v>#N/A</v>
      </c>
      <c r="E306" t="e">
        <v>#N/A</v>
      </c>
    </row>
    <row r="307" spans="1:5" x14ac:dyDescent="0.3">
      <c r="A307" s="1">
        <v>31718</v>
      </c>
      <c r="B307" t="e">
        <v>#N/A</v>
      </c>
      <c r="C307" t="e">
        <v>#N/A</v>
      </c>
      <c r="D307" t="e">
        <v>#N/A</v>
      </c>
      <c r="E307" t="e">
        <v>#N/A</v>
      </c>
    </row>
    <row r="308" spans="1:5" x14ac:dyDescent="0.3">
      <c r="A308" s="1">
        <v>31719</v>
      </c>
      <c r="B308">
        <v>16.2</v>
      </c>
      <c r="C308">
        <v>8.36</v>
      </c>
      <c r="D308">
        <v>10.65</v>
      </c>
      <c r="E308">
        <v>5.21</v>
      </c>
    </row>
    <row r="309" spans="1:5" x14ac:dyDescent="0.3">
      <c r="A309" s="1">
        <v>31720</v>
      </c>
      <c r="B309">
        <v>16.149999999999999</v>
      </c>
      <c r="C309">
        <v>8.3699999999999992</v>
      </c>
      <c r="D309">
        <v>10.65</v>
      </c>
      <c r="E309">
        <v>5.25</v>
      </c>
    </row>
    <row r="310" spans="1:5" x14ac:dyDescent="0.3">
      <c r="A310" s="1">
        <v>31721</v>
      </c>
      <c r="B310">
        <v>16</v>
      </c>
      <c r="C310">
        <v>8.36</v>
      </c>
      <c r="D310">
        <v>10.66</v>
      </c>
      <c r="E310">
        <v>5.26</v>
      </c>
    </row>
    <row r="311" spans="1:5" x14ac:dyDescent="0.3">
      <c r="A311" s="1">
        <v>31722</v>
      </c>
      <c r="B311">
        <v>16.079999999999998</v>
      </c>
      <c r="C311">
        <v>8.36</v>
      </c>
      <c r="D311">
        <v>10.64</v>
      </c>
      <c r="E311">
        <v>5.26</v>
      </c>
    </row>
    <row r="312" spans="1:5" x14ac:dyDescent="0.3">
      <c r="A312" s="1">
        <v>31723</v>
      </c>
      <c r="B312">
        <v>16.079999999999998</v>
      </c>
      <c r="C312">
        <v>8.36</v>
      </c>
      <c r="D312">
        <v>10.64</v>
      </c>
      <c r="E312">
        <v>5.32</v>
      </c>
    </row>
    <row r="313" spans="1:5" x14ac:dyDescent="0.3">
      <c r="A313" s="1">
        <v>31724</v>
      </c>
      <c r="B313" t="e">
        <v>#N/A</v>
      </c>
      <c r="C313" t="e">
        <v>#N/A</v>
      </c>
      <c r="D313" t="e">
        <v>#N/A</v>
      </c>
      <c r="E313" t="e">
        <v>#N/A</v>
      </c>
    </row>
    <row r="314" spans="1:5" x14ac:dyDescent="0.3">
      <c r="A314" s="1">
        <v>31725</v>
      </c>
      <c r="B314" t="e">
        <v>#N/A</v>
      </c>
      <c r="C314" t="e">
        <v>#N/A</v>
      </c>
      <c r="D314" t="e">
        <v>#N/A</v>
      </c>
      <c r="E314" t="e">
        <v>#N/A</v>
      </c>
    </row>
    <row r="315" spans="1:5" x14ac:dyDescent="0.3">
      <c r="A315" s="1">
        <v>31726</v>
      </c>
      <c r="B315">
        <v>16.5</v>
      </c>
      <c r="C315">
        <v>8.36</v>
      </c>
      <c r="D315">
        <v>10.68</v>
      </c>
      <c r="E315">
        <v>5.42</v>
      </c>
    </row>
    <row r="316" spans="1:5" x14ac:dyDescent="0.3">
      <c r="A316" s="1">
        <v>31727</v>
      </c>
      <c r="B316">
        <v>16.88</v>
      </c>
      <c r="C316">
        <v>0</v>
      </c>
      <c r="D316">
        <v>10.68</v>
      </c>
      <c r="E316">
        <v>0</v>
      </c>
    </row>
    <row r="317" spans="1:5" x14ac:dyDescent="0.3">
      <c r="A317" s="1">
        <v>31728</v>
      </c>
      <c r="B317">
        <v>16.5</v>
      </c>
      <c r="C317">
        <v>8.34</v>
      </c>
      <c r="D317">
        <v>10.68</v>
      </c>
      <c r="E317">
        <v>5.4</v>
      </c>
    </row>
    <row r="318" spans="1:5" x14ac:dyDescent="0.3">
      <c r="A318" s="1">
        <v>31729</v>
      </c>
      <c r="B318">
        <v>16.5</v>
      </c>
      <c r="C318">
        <v>8.31</v>
      </c>
      <c r="D318">
        <v>10.71</v>
      </c>
      <c r="E318">
        <v>5.4</v>
      </c>
    </row>
    <row r="319" spans="1:5" x14ac:dyDescent="0.3">
      <c r="A319" s="1">
        <v>31730</v>
      </c>
      <c r="B319">
        <v>16.38</v>
      </c>
      <c r="C319">
        <v>8.2799999999999994</v>
      </c>
      <c r="D319">
        <v>10.71</v>
      </c>
      <c r="E319">
        <v>5.4</v>
      </c>
    </row>
    <row r="320" spans="1:5" x14ac:dyDescent="0.3">
      <c r="A320" s="1">
        <v>31731</v>
      </c>
      <c r="B320" t="e">
        <v>#N/A</v>
      </c>
      <c r="C320" t="e">
        <v>#N/A</v>
      </c>
      <c r="D320" t="e">
        <v>#N/A</v>
      </c>
      <c r="E320" t="e">
        <v>#N/A</v>
      </c>
    </row>
    <row r="321" spans="1:5" x14ac:dyDescent="0.3">
      <c r="A321" s="1">
        <v>31732</v>
      </c>
      <c r="B321" t="e">
        <v>#N/A</v>
      </c>
      <c r="C321" t="e">
        <v>#N/A</v>
      </c>
      <c r="D321" t="e">
        <v>#N/A</v>
      </c>
      <c r="E321" t="e">
        <v>#N/A</v>
      </c>
    </row>
    <row r="322" spans="1:5" x14ac:dyDescent="0.3">
      <c r="A322" s="1">
        <v>31733</v>
      </c>
      <c r="B322">
        <v>16.5</v>
      </c>
      <c r="C322">
        <v>8.25</v>
      </c>
      <c r="D322">
        <v>10.68</v>
      </c>
      <c r="E322">
        <v>5.4</v>
      </c>
    </row>
    <row r="323" spans="1:5" x14ac:dyDescent="0.3">
      <c r="A323" s="1">
        <v>31734</v>
      </c>
      <c r="B323">
        <v>17.13</v>
      </c>
      <c r="C323">
        <v>8.23</v>
      </c>
      <c r="D323">
        <v>10.7</v>
      </c>
      <c r="E323">
        <v>5.35</v>
      </c>
    </row>
    <row r="324" spans="1:5" x14ac:dyDescent="0.3">
      <c r="A324" s="1">
        <v>31735</v>
      </c>
      <c r="B324">
        <v>16.78</v>
      </c>
      <c r="C324">
        <v>8.2200000000000006</v>
      </c>
      <c r="D324">
        <v>10.68</v>
      </c>
      <c r="E324">
        <v>5.33</v>
      </c>
    </row>
    <row r="325" spans="1:5" x14ac:dyDescent="0.3">
      <c r="A325" s="1">
        <v>31736</v>
      </c>
      <c r="B325">
        <v>16.5</v>
      </c>
      <c r="C325">
        <v>8.25</v>
      </c>
      <c r="D325">
        <v>10.72</v>
      </c>
      <c r="E325">
        <v>5.38</v>
      </c>
    </row>
    <row r="326" spans="1:5" x14ac:dyDescent="0.3">
      <c r="A326" s="1">
        <v>31737</v>
      </c>
      <c r="B326">
        <v>16.3</v>
      </c>
      <c r="C326">
        <v>8.25</v>
      </c>
      <c r="D326">
        <v>10.71</v>
      </c>
      <c r="E326">
        <v>5.36</v>
      </c>
    </row>
    <row r="327" spans="1:5" x14ac:dyDescent="0.3">
      <c r="A327" s="1">
        <v>31738</v>
      </c>
      <c r="B327" t="e">
        <v>#N/A</v>
      </c>
      <c r="C327" t="e">
        <v>#N/A</v>
      </c>
      <c r="D327" t="e">
        <v>#N/A</v>
      </c>
      <c r="E327" t="e">
        <v>#N/A</v>
      </c>
    </row>
    <row r="328" spans="1:5" x14ac:dyDescent="0.3">
      <c r="A328" s="1">
        <v>31739</v>
      </c>
      <c r="B328" t="e">
        <v>#N/A</v>
      </c>
      <c r="C328" t="e">
        <v>#N/A</v>
      </c>
      <c r="D328" t="e">
        <v>#N/A</v>
      </c>
      <c r="E328" t="e">
        <v>#N/A</v>
      </c>
    </row>
    <row r="329" spans="1:5" x14ac:dyDescent="0.3">
      <c r="A329" s="1">
        <v>31740</v>
      </c>
      <c r="B329">
        <v>16.18</v>
      </c>
      <c r="C329">
        <v>8.23</v>
      </c>
      <c r="D329">
        <v>10.71</v>
      </c>
      <c r="E329">
        <v>5.38</v>
      </c>
    </row>
    <row r="330" spans="1:5" x14ac:dyDescent="0.3">
      <c r="A330" s="1">
        <v>31741</v>
      </c>
      <c r="B330">
        <v>16.25</v>
      </c>
      <c r="C330">
        <v>8.24</v>
      </c>
      <c r="D330">
        <v>10.72</v>
      </c>
      <c r="E330">
        <v>5.39</v>
      </c>
    </row>
    <row r="331" spans="1:5" x14ac:dyDescent="0.3">
      <c r="A331" s="1">
        <v>31742</v>
      </c>
      <c r="B331">
        <v>16.149999999999999</v>
      </c>
      <c r="C331">
        <v>8.25</v>
      </c>
      <c r="D331">
        <v>10.7</v>
      </c>
      <c r="E331">
        <v>5.39</v>
      </c>
    </row>
    <row r="332" spans="1:5" x14ac:dyDescent="0.3">
      <c r="A332" s="1">
        <v>31743</v>
      </c>
      <c r="B332">
        <v>16</v>
      </c>
      <c r="C332">
        <v>8.23</v>
      </c>
      <c r="D332">
        <v>10.7</v>
      </c>
      <c r="E332">
        <v>0</v>
      </c>
    </row>
    <row r="333" spans="1:5" x14ac:dyDescent="0.3">
      <c r="A333" s="1">
        <v>31744</v>
      </c>
      <c r="B333">
        <v>16</v>
      </c>
      <c r="C333">
        <v>8.23</v>
      </c>
      <c r="D333">
        <v>10.71</v>
      </c>
      <c r="E333">
        <v>5.39</v>
      </c>
    </row>
    <row r="334" spans="1:5" x14ac:dyDescent="0.3">
      <c r="A334" s="1">
        <v>31745</v>
      </c>
      <c r="B334" t="e">
        <v>#N/A</v>
      </c>
      <c r="C334" t="e">
        <v>#N/A</v>
      </c>
      <c r="D334" t="e">
        <v>#N/A</v>
      </c>
      <c r="E334" t="e">
        <v>#N/A</v>
      </c>
    </row>
    <row r="335" spans="1:5" x14ac:dyDescent="0.3">
      <c r="A335" s="1">
        <v>31746</v>
      </c>
      <c r="B335" t="e">
        <v>#N/A</v>
      </c>
      <c r="C335" t="e">
        <v>#N/A</v>
      </c>
      <c r="D335" t="e">
        <v>#N/A</v>
      </c>
      <c r="E335" t="e">
        <v>#N/A</v>
      </c>
    </row>
    <row r="336" spans="1:5" x14ac:dyDescent="0.3">
      <c r="A336" s="1">
        <v>31747</v>
      </c>
      <c r="B336">
        <v>15.9</v>
      </c>
      <c r="C336">
        <v>8.2200000000000006</v>
      </c>
      <c r="D336">
        <v>10.72</v>
      </c>
      <c r="E336">
        <v>5.42</v>
      </c>
    </row>
    <row r="337" spans="1:5" x14ac:dyDescent="0.3">
      <c r="A337" s="1">
        <v>31748</v>
      </c>
      <c r="B337">
        <v>15.88</v>
      </c>
      <c r="C337">
        <v>8.23</v>
      </c>
      <c r="D337">
        <v>10.75</v>
      </c>
      <c r="E337">
        <v>5.41</v>
      </c>
    </row>
    <row r="338" spans="1:5" x14ac:dyDescent="0.3">
      <c r="A338" s="1">
        <v>31749</v>
      </c>
      <c r="B338">
        <v>15.9</v>
      </c>
      <c r="C338">
        <v>8.23</v>
      </c>
      <c r="D338">
        <v>10.74</v>
      </c>
      <c r="E338">
        <v>5.41</v>
      </c>
    </row>
    <row r="339" spans="1:5" x14ac:dyDescent="0.3">
      <c r="A339" s="1">
        <v>31750</v>
      </c>
      <c r="B339">
        <v>15.93</v>
      </c>
      <c r="C339">
        <v>8.1999999999999993</v>
      </c>
      <c r="D339">
        <v>10.73</v>
      </c>
      <c r="E339">
        <v>5.4</v>
      </c>
    </row>
    <row r="340" spans="1:5" x14ac:dyDescent="0.3">
      <c r="A340" s="1">
        <v>31751</v>
      </c>
      <c r="B340">
        <v>15.95</v>
      </c>
      <c r="C340">
        <v>8.2100000000000009</v>
      </c>
      <c r="D340">
        <v>10.71</v>
      </c>
      <c r="E340">
        <v>5.44</v>
      </c>
    </row>
    <row r="341" spans="1:5" x14ac:dyDescent="0.3">
      <c r="A341" s="1">
        <v>31752</v>
      </c>
      <c r="B341" t="e">
        <v>#N/A</v>
      </c>
      <c r="C341" t="e">
        <v>#N/A</v>
      </c>
      <c r="D341" t="e">
        <v>#N/A</v>
      </c>
      <c r="E341" t="e">
        <v>#N/A</v>
      </c>
    </row>
    <row r="342" spans="1:5" x14ac:dyDescent="0.3">
      <c r="A342" s="1">
        <v>31753</v>
      </c>
      <c r="B342" t="e">
        <v>#N/A</v>
      </c>
      <c r="C342" t="e">
        <v>#N/A</v>
      </c>
      <c r="D342" t="e">
        <v>#N/A</v>
      </c>
      <c r="E342" t="e">
        <v>#N/A</v>
      </c>
    </row>
    <row r="343" spans="1:5" x14ac:dyDescent="0.3">
      <c r="A343" s="1">
        <v>31754</v>
      </c>
      <c r="B343">
        <v>16</v>
      </c>
      <c r="C343">
        <v>8.24</v>
      </c>
      <c r="D343">
        <v>10.72</v>
      </c>
      <c r="E343">
        <v>5.51</v>
      </c>
    </row>
    <row r="344" spans="1:5" x14ac:dyDescent="0.3">
      <c r="A344" s="1">
        <v>31755</v>
      </c>
      <c r="B344">
        <v>16.25</v>
      </c>
      <c r="C344">
        <v>8.24</v>
      </c>
      <c r="D344">
        <v>10.7</v>
      </c>
      <c r="E344">
        <v>5.48</v>
      </c>
    </row>
    <row r="345" spans="1:5" x14ac:dyDescent="0.3">
      <c r="A345" s="1">
        <v>31756</v>
      </c>
      <c r="B345">
        <v>16.350000000000001</v>
      </c>
      <c r="C345">
        <v>8.23</v>
      </c>
      <c r="D345">
        <v>10.7</v>
      </c>
      <c r="E345">
        <v>5.49</v>
      </c>
    </row>
    <row r="346" spans="1:5" x14ac:dyDescent="0.3">
      <c r="A346" s="1">
        <v>31757</v>
      </c>
      <c r="B346">
        <v>16.23</v>
      </c>
      <c r="C346">
        <v>8.25</v>
      </c>
      <c r="D346">
        <v>10.7</v>
      </c>
      <c r="E346">
        <v>5.49</v>
      </c>
    </row>
    <row r="347" spans="1:5" x14ac:dyDescent="0.3">
      <c r="A347" s="1">
        <v>31758</v>
      </c>
      <c r="B347">
        <v>16</v>
      </c>
      <c r="C347">
        <v>8.25</v>
      </c>
      <c r="D347">
        <v>10.7</v>
      </c>
      <c r="E347">
        <v>5.49</v>
      </c>
    </row>
    <row r="348" spans="1:5" x14ac:dyDescent="0.3">
      <c r="A348" s="1">
        <v>31759</v>
      </c>
      <c r="B348" t="e">
        <v>#N/A</v>
      </c>
      <c r="C348" t="e">
        <v>#N/A</v>
      </c>
      <c r="D348" t="e">
        <v>#N/A</v>
      </c>
      <c r="E348" t="e">
        <v>#N/A</v>
      </c>
    </row>
    <row r="349" spans="1:5" x14ac:dyDescent="0.3">
      <c r="A349" s="1">
        <v>31760</v>
      </c>
      <c r="B349" t="e">
        <v>#N/A</v>
      </c>
      <c r="C349" t="e">
        <v>#N/A</v>
      </c>
      <c r="D349" t="e">
        <v>#N/A</v>
      </c>
      <c r="E349" t="e">
        <v>#N/A</v>
      </c>
    </row>
    <row r="350" spans="1:5" x14ac:dyDescent="0.3">
      <c r="A350" s="1">
        <v>31761</v>
      </c>
      <c r="B350">
        <v>15.88</v>
      </c>
      <c r="C350">
        <v>8.27</v>
      </c>
      <c r="D350">
        <v>10.68</v>
      </c>
      <c r="E350">
        <v>5.5</v>
      </c>
    </row>
    <row r="351" spans="1:5" x14ac:dyDescent="0.3">
      <c r="A351" s="1">
        <v>31762</v>
      </c>
      <c r="B351">
        <v>15.73</v>
      </c>
      <c r="C351">
        <v>8.2799999999999994</v>
      </c>
      <c r="D351">
        <v>10.68</v>
      </c>
      <c r="E351">
        <v>5.58</v>
      </c>
    </row>
    <row r="352" spans="1:5" x14ac:dyDescent="0.3">
      <c r="A352" s="1">
        <v>31763</v>
      </c>
      <c r="B352">
        <v>15.1</v>
      </c>
      <c r="C352">
        <v>8.27</v>
      </c>
      <c r="D352">
        <v>10.7</v>
      </c>
      <c r="E352">
        <v>5.64</v>
      </c>
    </row>
    <row r="353" spans="1:5" x14ac:dyDescent="0.3">
      <c r="A353" s="1">
        <v>31764</v>
      </c>
      <c r="B353">
        <v>15.23</v>
      </c>
      <c r="C353">
        <v>8.23</v>
      </c>
      <c r="D353">
        <v>10.7</v>
      </c>
      <c r="E353">
        <v>5.6</v>
      </c>
    </row>
    <row r="354" spans="1:5" x14ac:dyDescent="0.3">
      <c r="A354" s="1">
        <v>31765</v>
      </c>
      <c r="B354">
        <v>14.88</v>
      </c>
      <c r="C354">
        <v>8.24</v>
      </c>
      <c r="D354">
        <v>10.7</v>
      </c>
      <c r="E354">
        <v>5.51</v>
      </c>
    </row>
    <row r="355" spans="1:5" x14ac:dyDescent="0.3">
      <c r="A355" s="1">
        <v>31766</v>
      </c>
      <c r="B355" t="e">
        <v>#N/A</v>
      </c>
      <c r="C355" t="e">
        <v>#N/A</v>
      </c>
      <c r="D355" t="e">
        <v>#N/A</v>
      </c>
      <c r="E355" t="e">
        <v>#N/A</v>
      </c>
    </row>
    <row r="356" spans="1:5" x14ac:dyDescent="0.3">
      <c r="A356" s="1">
        <v>31767</v>
      </c>
      <c r="B356" t="e">
        <v>#N/A</v>
      </c>
      <c r="C356" t="e">
        <v>#N/A</v>
      </c>
      <c r="D356" t="e">
        <v>#N/A</v>
      </c>
      <c r="E356" t="e">
        <v>#N/A</v>
      </c>
    </row>
    <row r="357" spans="1:5" x14ac:dyDescent="0.3">
      <c r="A357" s="1">
        <v>31768</v>
      </c>
      <c r="B357">
        <v>15</v>
      </c>
      <c r="C357">
        <v>8.24</v>
      </c>
      <c r="D357">
        <v>10.68</v>
      </c>
      <c r="E357">
        <v>5.53</v>
      </c>
    </row>
    <row r="358" spans="1:5" x14ac:dyDescent="0.3">
      <c r="A358" s="1">
        <v>31769</v>
      </c>
      <c r="B358">
        <v>14.65</v>
      </c>
      <c r="C358">
        <v>8.23</v>
      </c>
      <c r="D358">
        <v>10.68</v>
      </c>
      <c r="E358">
        <v>5.55</v>
      </c>
    </row>
    <row r="359" spans="1:5" x14ac:dyDescent="0.3">
      <c r="A359" s="1">
        <v>31770</v>
      </c>
      <c r="B359">
        <v>14.65</v>
      </c>
      <c r="C359">
        <v>8.23</v>
      </c>
      <c r="D359">
        <v>10.68</v>
      </c>
      <c r="E359">
        <v>5.57</v>
      </c>
    </row>
    <row r="360" spans="1:5" x14ac:dyDescent="0.3">
      <c r="A360" s="1">
        <v>31771</v>
      </c>
      <c r="B360">
        <v>0</v>
      </c>
      <c r="C360">
        <v>0</v>
      </c>
      <c r="D360">
        <v>10.68</v>
      </c>
      <c r="E360">
        <v>0</v>
      </c>
    </row>
    <row r="361" spans="1:5" x14ac:dyDescent="0.3">
      <c r="A361" s="1">
        <v>31772</v>
      </c>
      <c r="B361">
        <v>0</v>
      </c>
      <c r="C361">
        <v>0</v>
      </c>
      <c r="D361">
        <v>10.68</v>
      </c>
      <c r="E361">
        <v>5.57</v>
      </c>
    </row>
    <row r="362" spans="1:5" x14ac:dyDescent="0.3">
      <c r="A362" s="1">
        <v>31773</v>
      </c>
      <c r="B362" t="e">
        <v>#N/A</v>
      </c>
      <c r="C362" t="e">
        <v>#N/A</v>
      </c>
      <c r="D362" t="e">
        <v>#N/A</v>
      </c>
      <c r="E362" t="e">
        <v>#N/A</v>
      </c>
    </row>
    <row r="363" spans="1:5" x14ac:dyDescent="0.3">
      <c r="A363" s="1">
        <v>31774</v>
      </c>
      <c r="B363" t="e">
        <v>#N/A</v>
      </c>
      <c r="C363" t="e">
        <v>#N/A</v>
      </c>
      <c r="D363" t="e">
        <v>#N/A</v>
      </c>
      <c r="E363" t="e">
        <v>#N/A</v>
      </c>
    </row>
    <row r="364" spans="1:5" x14ac:dyDescent="0.3">
      <c r="A364" s="1">
        <v>31775</v>
      </c>
      <c r="B364">
        <v>14.6</v>
      </c>
      <c r="C364">
        <v>8.25</v>
      </c>
      <c r="D364">
        <v>10.66</v>
      </c>
      <c r="E364">
        <v>5.67</v>
      </c>
    </row>
    <row r="365" spans="1:5" x14ac:dyDescent="0.3">
      <c r="A365" s="1">
        <v>31776</v>
      </c>
      <c r="B365">
        <v>14.7</v>
      </c>
      <c r="C365">
        <v>8.26</v>
      </c>
      <c r="D365">
        <v>10.68</v>
      </c>
      <c r="E365">
        <v>5.69</v>
      </c>
    </row>
    <row r="366" spans="1:5" x14ac:dyDescent="0.3">
      <c r="A366" s="1">
        <v>31777</v>
      </c>
      <c r="B366">
        <v>14.75</v>
      </c>
      <c r="C366">
        <v>8.25</v>
      </c>
      <c r="D366">
        <v>10.68</v>
      </c>
      <c r="E366">
        <v>5.67</v>
      </c>
    </row>
    <row r="367" spans="1:5" x14ac:dyDescent="0.3">
      <c r="A367" s="1">
        <v>31778</v>
      </c>
      <c r="B367">
        <v>0</v>
      </c>
      <c r="C367">
        <v>0</v>
      </c>
      <c r="D367">
        <v>10.68</v>
      </c>
      <c r="E367">
        <v>0</v>
      </c>
    </row>
    <row r="368" spans="1:5" x14ac:dyDescent="0.3">
      <c r="A368" s="1">
        <v>31779</v>
      </c>
      <c r="B368">
        <v>14.73</v>
      </c>
      <c r="C368">
        <v>8.25</v>
      </c>
      <c r="D368">
        <v>10.68</v>
      </c>
      <c r="E368">
        <v>5.55</v>
      </c>
    </row>
    <row r="369" spans="1:5" x14ac:dyDescent="0.3">
      <c r="A369" s="1">
        <v>31780</v>
      </c>
      <c r="B369" t="e">
        <v>#N/A</v>
      </c>
      <c r="C369" t="e">
        <v>#N/A</v>
      </c>
      <c r="D369" t="e">
        <v>#N/A</v>
      </c>
      <c r="E369" t="e">
        <v>#N/A</v>
      </c>
    </row>
    <row r="370" spans="1:5" x14ac:dyDescent="0.3">
      <c r="A370" s="1">
        <v>31781</v>
      </c>
      <c r="B370" t="e">
        <v>#N/A</v>
      </c>
      <c r="C370" t="e">
        <v>#N/A</v>
      </c>
      <c r="D370" t="e">
        <v>#N/A</v>
      </c>
      <c r="E370" t="e">
        <v>#N/A</v>
      </c>
    </row>
    <row r="371" spans="1:5" x14ac:dyDescent="0.3">
      <c r="A371" s="1">
        <v>31782</v>
      </c>
      <c r="B371">
        <v>14.7</v>
      </c>
      <c r="C371">
        <v>8.23</v>
      </c>
      <c r="D371">
        <v>10.63</v>
      </c>
      <c r="E371">
        <v>5.55</v>
      </c>
    </row>
    <row r="372" spans="1:5" x14ac:dyDescent="0.3">
      <c r="A372" s="1">
        <v>31783</v>
      </c>
      <c r="B372">
        <v>14.78</v>
      </c>
      <c r="C372">
        <v>8.1999999999999993</v>
      </c>
      <c r="D372">
        <v>10.68</v>
      </c>
      <c r="E372">
        <v>5.51</v>
      </c>
    </row>
    <row r="373" spans="1:5" x14ac:dyDescent="0.3">
      <c r="A373" s="1">
        <v>31784</v>
      </c>
      <c r="B373">
        <v>14.95</v>
      </c>
      <c r="C373">
        <v>8.15</v>
      </c>
      <c r="D373">
        <v>10.68</v>
      </c>
      <c r="E373">
        <v>5.43</v>
      </c>
    </row>
    <row r="374" spans="1:5" x14ac:dyDescent="0.3">
      <c r="A374" s="1">
        <v>31785</v>
      </c>
      <c r="B374">
        <v>15.45</v>
      </c>
      <c r="C374">
        <v>8.1</v>
      </c>
      <c r="D374">
        <v>10.67</v>
      </c>
      <c r="E374">
        <v>5.43</v>
      </c>
    </row>
    <row r="375" spans="1:5" x14ac:dyDescent="0.3">
      <c r="A375" s="1">
        <v>31786</v>
      </c>
      <c r="B375">
        <v>15.88</v>
      </c>
      <c r="C375">
        <v>8.09</v>
      </c>
      <c r="D375">
        <v>10.64</v>
      </c>
      <c r="E375">
        <v>5.38</v>
      </c>
    </row>
    <row r="376" spans="1:5" x14ac:dyDescent="0.3">
      <c r="A376" s="1">
        <v>31787</v>
      </c>
      <c r="B376" t="e">
        <v>#N/A</v>
      </c>
      <c r="C376" t="e">
        <v>#N/A</v>
      </c>
      <c r="D376" t="e">
        <v>#N/A</v>
      </c>
      <c r="E376" t="e">
        <v>#N/A</v>
      </c>
    </row>
    <row r="377" spans="1:5" x14ac:dyDescent="0.3">
      <c r="A377" s="1">
        <v>31788</v>
      </c>
      <c r="B377" t="e">
        <v>#N/A</v>
      </c>
      <c r="C377" t="e">
        <v>#N/A</v>
      </c>
      <c r="D377" t="e">
        <v>#N/A</v>
      </c>
      <c r="E377" t="e">
        <v>#N/A</v>
      </c>
    </row>
    <row r="378" spans="1:5" x14ac:dyDescent="0.3">
      <c r="A378" s="1">
        <v>31789</v>
      </c>
      <c r="B378">
        <v>15.75</v>
      </c>
      <c r="C378">
        <v>8.0500000000000007</v>
      </c>
      <c r="D378">
        <v>10.64</v>
      </c>
      <c r="E378">
        <v>5.37</v>
      </c>
    </row>
    <row r="379" spans="1:5" x14ac:dyDescent="0.3">
      <c r="A379" s="1">
        <v>31790</v>
      </c>
      <c r="B379">
        <v>15.63</v>
      </c>
      <c r="C379">
        <v>8.02</v>
      </c>
      <c r="D379">
        <v>10.64</v>
      </c>
      <c r="E379">
        <v>5.36</v>
      </c>
    </row>
    <row r="380" spans="1:5" x14ac:dyDescent="0.3">
      <c r="A380" s="1">
        <v>31791</v>
      </c>
      <c r="B380">
        <v>16.75</v>
      </c>
      <c r="C380">
        <v>8.02</v>
      </c>
      <c r="D380">
        <v>10.68</v>
      </c>
      <c r="E380">
        <v>5.35</v>
      </c>
    </row>
    <row r="381" spans="1:5" x14ac:dyDescent="0.3">
      <c r="A381" s="1">
        <v>31792</v>
      </c>
      <c r="B381">
        <v>23</v>
      </c>
      <c r="C381">
        <v>7.93</v>
      </c>
      <c r="D381">
        <v>10.67</v>
      </c>
      <c r="E381">
        <v>5.36</v>
      </c>
    </row>
    <row r="382" spans="1:5" x14ac:dyDescent="0.3">
      <c r="A382" s="1">
        <v>31793</v>
      </c>
      <c r="B382">
        <v>17.63</v>
      </c>
      <c r="C382">
        <v>7.88</v>
      </c>
      <c r="D382">
        <v>10.64</v>
      </c>
      <c r="E382">
        <v>5.33</v>
      </c>
    </row>
    <row r="383" spans="1:5" x14ac:dyDescent="0.3">
      <c r="A383" s="1">
        <v>31794</v>
      </c>
      <c r="B383" t="e">
        <v>#N/A</v>
      </c>
      <c r="C383" t="e">
        <v>#N/A</v>
      </c>
      <c r="D383" t="e">
        <v>#N/A</v>
      </c>
      <c r="E383" t="e">
        <v>#N/A</v>
      </c>
    </row>
    <row r="384" spans="1:5" x14ac:dyDescent="0.3">
      <c r="A384" s="1">
        <v>31795</v>
      </c>
      <c r="B384" t="e">
        <v>#N/A</v>
      </c>
      <c r="C384" t="e">
        <v>#N/A</v>
      </c>
      <c r="D384" t="e">
        <v>#N/A</v>
      </c>
      <c r="E384" t="e">
        <v>#N/A</v>
      </c>
    </row>
    <row r="385" spans="1:5" x14ac:dyDescent="0.3">
      <c r="A385" s="1">
        <v>31796</v>
      </c>
      <c r="B385">
        <v>17.75</v>
      </c>
      <c r="C385">
        <v>7.82</v>
      </c>
      <c r="D385">
        <v>10.6</v>
      </c>
      <c r="E385">
        <v>0</v>
      </c>
    </row>
    <row r="386" spans="1:5" x14ac:dyDescent="0.3">
      <c r="A386" s="1">
        <v>31797</v>
      </c>
      <c r="B386">
        <v>18</v>
      </c>
      <c r="C386">
        <v>7.82</v>
      </c>
      <c r="D386">
        <v>10.61</v>
      </c>
      <c r="E386">
        <v>5.3</v>
      </c>
    </row>
    <row r="387" spans="1:5" x14ac:dyDescent="0.3">
      <c r="A387" s="1">
        <v>31798</v>
      </c>
      <c r="B387">
        <v>17</v>
      </c>
      <c r="C387">
        <v>7.64</v>
      </c>
      <c r="D387">
        <v>10.62</v>
      </c>
      <c r="E387">
        <v>5.31</v>
      </c>
    </row>
    <row r="388" spans="1:5" x14ac:dyDescent="0.3">
      <c r="A388" s="1">
        <v>31799</v>
      </c>
      <c r="B388">
        <v>16.75</v>
      </c>
      <c r="C388">
        <v>7.5</v>
      </c>
      <c r="D388">
        <v>10.57</v>
      </c>
      <c r="E388">
        <v>5.38</v>
      </c>
    </row>
    <row r="389" spans="1:5" x14ac:dyDescent="0.3">
      <c r="A389" s="1">
        <v>31800</v>
      </c>
      <c r="B389">
        <v>16.5</v>
      </c>
      <c r="C389">
        <v>7.51</v>
      </c>
      <c r="D389">
        <v>10.58</v>
      </c>
      <c r="E389">
        <v>5.4</v>
      </c>
    </row>
    <row r="390" spans="1:5" x14ac:dyDescent="0.3">
      <c r="A390" s="1">
        <v>31801</v>
      </c>
      <c r="B390" t="e">
        <v>#N/A</v>
      </c>
      <c r="C390" t="e">
        <v>#N/A</v>
      </c>
      <c r="D390" t="e">
        <v>#N/A</v>
      </c>
      <c r="E390" t="e">
        <v>#N/A</v>
      </c>
    </row>
    <row r="391" spans="1:5" x14ac:dyDescent="0.3">
      <c r="A391" s="1">
        <v>31802</v>
      </c>
      <c r="B391" t="e">
        <v>#N/A</v>
      </c>
      <c r="C391" t="e">
        <v>#N/A</v>
      </c>
      <c r="D391" t="e">
        <v>#N/A</v>
      </c>
      <c r="E391" t="e">
        <v>#N/A</v>
      </c>
    </row>
    <row r="392" spans="1:5" x14ac:dyDescent="0.3">
      <c r="A392" s="1">
        <v>31803</v>
      </c>
      <c r="B392">
        <v>0</v>
      </c>
      <c r="C392">
        <v>7.53</v>
      </c>
      <c r="D392">
        <v>10.6</v>
      </c>
      <c r="E392">
        <v>5.49</v>
      </c>
    </row>
    <row r="393" spans="1:5" x14ac:dyDescent="0.3">
      <c r="A393" s="1">
        <v>31804</v>
      </c>
      <c r="B393">
        <v>16.8</v>
      </c>
      <c r="C393">
        <v>7.44</v>
      </c>
      <c r="D393">
        <v>10.61</v>
      </c>
      <c r="E393">
        <v>5.49</v>
      </c>
    </row>
    <row r="394" spans="1:5" x14ac:dyDescent="0.3">
      <c r="A394" s="1">
        <v>31805</v>
      </c>
      <c r="B394">
        <v>16.829999999999998</v>
      </c>
      <c r="C394">
        <v>7.32</v>
      </c>
      <c r="D394">
        <v>10.62</v>
      </c>
      <c r="E394">
        <v>5.47</v>
      </c>
    </row>
    <row r="395" spans="1:5" x14ac:dyDescent="0.3">
      <c r="A395" s="1">
        <v>31806</v>
      </c>
      <c r="B395">
        <v>16.850000000000001</v>
      </c>
      <c r="C395">
        <v>7.27</v>
      </c>
      <c r="D395">
        <v>10.64</v>
      </c>
      <c r="E395">
        <v>5.48</v>
      </c>
    </row>
    <row r="396" spans="1:5" x14ac:dyDescent="0.3">
      <c r="A396" s="1">
        <v>31807</v>
      </c>
      <c r="B396">
        <v>16.7</v>
      </c>
      <c r="C396">
        <v>7.28</v>
      </c>
      <c r="D396">
        <v>10.65</v>
      </c>
      <c r="E396">
        <v>5.6</v>
      </c>
    </row>
    <row r="397" spans="1:5" x14ac:dyDescent="0.3">
      <c r="A397" s="1">
        <v>31808</v>
      </c>
      <c r="B397" t="e">
        <v>#N/A</v>
      </c>
      <c r="C397" t="e">
        <v>#N/A</v>
      </c>
      <c r="D397" t="e">
        <v>#N/A</v>
      </c>
      <c r="E397" t="e">
        <v>#N/A</v>
      </c>
    </row>
    <row r="398" spans="1:5" x14ac:dyDescent="0.3">
      <c r="A398" s="1">
        <v>31809</v>
      </c>
      <c r="B398" t="e">
        <v>#N/A</v>
      </c>
      <c r="C398" t="e">
        <v>#N/A</v>
      </c>
      <c r="D398" t="e">
        <v>#N/A</v>
      </c>
      <c r="E398" t="e">
        <v>#N/A</v>
      </c>
    </row>
    <row r="399" spans="1:5" x14ac:dyDescent="0.3">
      <c r="A399" s="1">
        <v>31810</v>
      </c>
      <c r="B399">
        <v>16.75</v>
      </c>
      <c r="C399">
        <v>7.3</v>
      </c>
      <c r="D399">
        <v>10.65</v>
      </c>
      <c r="E399">
        <v>5.61</v>
      </c>
    </row>
    <row r="400" spans="1:5" x14ac:dyDescent="0.3">
      <c r="A400" s="1">
        <v>31811</v>
      </c>
      <c r="B400">
        <v>16.850000000000001</v>
      </c>
      <c r="C400">
        <v>7.35</v>
      </c>
      <c r="D400">
        <v>10.64</v>
      </c>
      <c r="E400">
        <v>5.59</v>
      </c>
    </row>
    <row r="401" spans="1:5" x14ac:dyDescent="0.3">
      <c r="A401" s="1">
        <v>31812</v>
      </c>
      <c r="B401">
        <v>16.829999999999998</v>
      </c>
      <c r="C401">
        <v>7.28</v>
      </c>
      <c r="D401">
        <v>10.62</v>
      </c>
      <c r="E401">
        <v>5.63</v>
      </c>
    </row>
    <row r="402" spans="1:5" x14ac:dyDescent="0.3">
      <c r="A402" s="1">
        <v>31813</v>
      </c>
      <c r="B402">
        <v>16.579999999999998</v>
      </c>
      <c r="C402">
        <v>7.29</v>
      </c>
      <c r="D402">
        <v>10.6</v>
      </c>
      <c r="E402">
        <v>5.59</v>
      </c>
    </row>
    <row r="403" spans="1:5" x14ac:dyDescent="0.3">
      <c r="A403" s="1">
        <v>31814</v>
      </c>
      <c r="B403">
        <v>16.38</v>
      </c>
      <c r="C403">
        <v>7.29</v>
      </c>
      <c r="D403">
        <v>10.5</v>
      </c>
      <c r="E403">
        <v>5.66</v>
      </c>
    </row>
    <row r="404" spans="1:5" x14ac:dyDescent="0.3">
      <c r="A404" s="1">
        <v>31815</v>
      </c>
      <c r="B404" t="e">
        <v>#N/A</v>
      </c>
      <c r="C404" t="e">
        <v>#N/A</v>
      </c>
      <c r="D404" t="e">
        <v>#N/A</v>
      </c>
      <c r="E404" t="e">
        <v>#N/A</v>
      </c>
    </row>
    <row r="405" spans="1:5" x14ac:dyDescent="0.3">
      <c r="A405" s="1">
        <v>31816</v>
      </c>
      <c r="B405" t="e">
        <v>#N/A</v>
      </c>
      <c r="C405" t="e">
        <v>#N/A</v>
      </c>
      <c r="D405" t="e">
        <v>#N/A</v>
      </c>
      <c r="E405" t="e">
        <v>#N/A</v>
      </c>
    </row>
    <row r="406" spans="1:5" x14ac:dyDescent="0.3">
      <c r="A406" s="1">
        <v>31817</v>
      </c>
      <c r="B406">
        <v>16.8</v>
      </c>
      <c r="C406">
        <v>7.32</v>
      </c>
      <c r="D406">
        <v>10.56</v>
      </c>
      <c r="E406">
        <v>5.72</v>
      </c>
    </row>
    <row r="407" spans="1:5" x14ac:dyDescent="0.3">
      <c r="A407" s="1">
        <v>31818</v>
      </c>
      <c r="B407">
        <v>16.850000000000001</v>
      </c>
      <c r="C407">
        <v>7.36</v>
      </c>
      <c r="D407">
        <v>10.58</v>
      </c>
      <c r="E407">
        <v>5.82</v>
      </c>
    </row>
    <row r="408" spans="1:5" x14ac:dyDescent="0.3">
      <c r="A408" s="1">
        <v>31819</v>
      </c>
      <c r="B408">
        <v>16.350000000000001</v>
      </c>
      <c r="C408">
        <v>7.37</v>
      </c>
      <c r="D408">
        <v>10.58</v>
      </c>
      <c r="E408">
        <v>5.86</v>
      </c>
    </row>
    <row r="409" spans="1:5" x14ac:dyDescent="0.3">
      <c r="A409" s="1">
        <v>31820</v>
      </c>
      <c r="B409">
        <v>16.13</v>
      </c>
      <c r="C409">
        <v>7.52</v>
      </c>
      <c r="D409">
        <v>10.59</v>
      </c>
      <c r="E409">
        <v>5.72</v>
      </c>
    </row>
    <row r="410" spans="1:5" x14ac:dyDescent="0.3">
      <c r="A410" s="1">
        <v>31821</v>
      </c>
      <c r="B410">
        <v>15.85</v>
      </c>
      <c r="C410">
        <v>7.42</v>
      </c>
      <c r="D410">
        <v>10.59</v>
      </c>
      <c r="E410">
        <v>5.65</v>
      </c>
    </row>
    <row r="411" spans="1:5" x14ac:dyDescent="0.3">
      <c r="A411" s="1">
        <v>31822</v>
      </c>
      <c r="B411" t="e">
        <v>#N/A</v>
      </c>
      <c r="C411" t="e">
        <v>#N/A</v>
      </c>
      <c r="D411" t="e">
        <v>#N/A</v>
      </c>
      <c r="E411" t="e">
        <v>#N/A</v>
      </c>
    </row>
    <row r="412" spans="1:5" x14ac:dyDescent="0.3">
      <c r="A412" s="1">
        <v>31823</v>
      </c>
      <c r="B412" t="e">
        <v>#N/A</v>
      </c>
      <c r="C412" t="e">
        <v>#N/A</v>
      </c>
      <c r="D412" t="e">
        <v>#N/A</v>
      </c>
      <c r="E412" t="e">
        <v>#N/A</v>
      </c>
    </row>
    <row r="413" spans="1:5" x14ac:dyDescent="0.3">
      <c r="A413" s="1">
        <v>31824</v>
      </c>
      <c r="B413">
        <v>16.149999999999999</v>
      </c>
      <c r="C413">
        <v>7.44</v>
      </c>
      <c r="D413">
        <v>10.55</v>
      </c>
      <c r="E413">
        <v>0</v>
      </c>
    </row>
    <row r="414" spans="1:5" x14ac:dyDescent="0.3">
      <c r="A414" s="1">
        <v>31825</v>
      </c>
      <c r="B414">
        <v>16.75</v>
      </c>
      <c r="C414">
        <v>7.39</v>
      </c>
      <c r="D414">
        <v>10.56</v>
      </c>
      <c r="E414">
        <v>5.72</v>
      </c>
    </row>
    <row r="415" spans="1:5" x14ac:dyDescent="0.3">
      <c r="A415" s="1">
        <v>31826</v>
      </c>
      <c r="B415">
        <v>16.8</v>
      </c>
      <c r="C415">
        <v>7.37</v>
      </c>
      <c r="D415">
        <v>10.31</v>
      </c>
      <c r="E415">
        <v>5.6</v>
      </c>
    </row>
    <row r="416" spans="1:5" x14ac:dyDescent="0.3">
      <c r="A416" s="1">
        <v>31827</v>
      </c>
      <c r="B416">
        <v>16.3</v>
      </c>
      <c r="C416">
        <v>7.36</v>
      </c>
      <c r="D416">
        <v>10.130000000000001</v>
      </c>
      <c r="E416">
        <v>5.45</v>
      </c>
    </row>
    <row r="417" spans="1:5" x14ac:dyDescent="0.3">
      <c r="A417" s="1">
        <v>31828</v>
      </c>
      <c r="B417">
        <v>16.25</v>
      </c>
      <c r="C417">
        <v>7.31</v>
      </c>
      <c r="D417">
        <v>10.28</v>
      </c>
      <c r="E417">
        <v>5.43</v>
      </c>
    </row>
    <row r="418" spans="1:5" x14ac:dyDescent="0.3">
      <c r="A418" s="1">
        <v>31829</v>
      </c>
      <c r="B418" t="e">
        <v>#N/A</v>
      </c>
      <c r="C418" t="e">
        <v>#N/A</v>
      </c>
      <c r="D418" t="e">
        <v>#N/A</v>
      </c>
      <c r="E418" t="e">
        <v>#N/A</v>
      </c>
    </row>
    <row r="419" spans="1:5" x14ac:dyDescent="0.3">
      <c r="A419" s="1">
        <v>31830</v>
      </c>
      <c r="B419" t="e">
        <v>#N/A</v>
      </c>
      <c r="C419" t="e">
        <v>#N/A</v>
      </c>
      <c r="D419" t="e">
        <v>#N/A</v>
      </c>
      <c r="E419" t="e">
        <v>#N/A</v>
      </c>
    </row>
    <row r="420" spans="1:5" x14ac:dyDescent="0.3">
      <c r="A420" s="1">
        <v>31831</v>
      </c>
      <c r="B420">
        <v>16.23</v>
      </c>
      <c r="C420">
        <v>7.32</v>
      </c>
      <c r="D420">
        <v>10.3</v>
      </c>
      <c r="E420">
        <v>5.44</v>
      </c>
    </row>
    <row r="421" spans="1:5" x14ac:dyDescent="0.3">
      <c r="A421" s="1">
        <v>31832</v>
      </c>
      <c r="B421">
        <v>16.100000000000001</v>
      </c>
      <c r="C421">
        <v>7.32</v>
      </c>
      <c r="D421">
        <v>10.25</v>
      </c>
      <c r="E421">
        <v>5.44</v>
      </c>
    </row>
    <row r="422" spans="1:5" x14ac:dyDescent="0.3">
      <c r="A422" s="1">
        <v>31833</v>
      </c>
      <c r="B422">
        <v>16.05</v>
      </c>
      <c r="C422">
        <v>7.29</v>
      </c>
      <c r="D422">
        <v>10.31</v>
      </c>
      <c r="E422">
        <v>5.45</v>
      </c>
    </row>
    <row r="423" spans="1:5" x14ac:dyDescent="0.3">
      <c r="A423" s="1">
        <v>31834</v>
      </c>
      <c r="B423">
        <v>16.23</v>
      </c>
      <c r="C423">
        <v>7.3</v>
      </c>
      <c r="D423">
        <v>10.35</v>
      </c>
      <c r="E423">
        <v>5.45</v>
      </c>
    </row>
    <row r="424" spans="1:5" x14ac:dyDescent="0.3">
      <c r="A424" s="1">
        <v>31835</v>
      </c>
      <c r="B424">
        <v>16.43</v>
      </c>
      <c r="C424">
        <v>7.32</v>
      </c>
      <c r="D424">
        <v>10.34</v>
      </c>
      <c r="E424">
        <v>5.45</v>
      </c>
    </row>
    <row r="425" spans="1:5" x14ac:dyDescent="0.3">
      <c r="A425" s="1">
        <v>31836</v>
      </c>
      <c r="B425" t="e">
        <v>#N/A</v>
      </c>
      <c r="C425" t="e">
        <v>#N/A</v>
      </c>
      <c r="D425" t="e">
        <v>#N/A</v>
      </c>
      <c r="E425" t="e">
        <v>#N/A</v>
      </c>
    </row>
    <row r="426" spans="1:5" x14ac:dyDescent="0.3">
      <c r="A426" s="1">
        <v>31837</v>
      </c>
      <c r="B426" t="e">
        <v>#N/A</v>
      </c>
      <c r="C426" t="e">
        <v>#N/A</v>
      </c>
      <c r="D426" t="e">
        <v>#N/A</v>
      </c>
      <c r="E426" t="e">
        <v>#N/A</v>
      </c>
    </row>
    <row r="427" spans="1:5" x14ac:dyDescent="0.3">
      <c r="A427" s="1">
        <v>31838</v>
      </c>
      <c r="B427">
        <v>16.38</v>
      </c>
      <c r="C427">
        <v>7.31</v>
      </c>
      <c r="D427">
        <v>10.210000000000001</v>
      </c>
      <c r="E427">
        <v>5.48</v>
      </c>
    </row>
    <row r="428" spans="1:5" x14ac:dyDescent="0.3">
      <c r="A428" s="1">
        <v>31839</v>
      </c>
      <c r="B428">
        <v>16.329999999999998</v>
      </c>
      <c r="C428">
        <v>7.33</v>
      </c>
      <c r="D428">
        <v>10.14</v>
      </c>
      <c r="E428">
        <v>5.54</v>
      </c>
    </row>
    <row r="429" spans="1:5" x14ac:dyDescent="0.3">
      <c r="A429" s="1">
        <v>31840</v>
      </c>
      <c r="B429">
        <v>16.38</v>
      </c>
      <c r="C429">
        <v>7.3</v>
      </c>
      <c r="D429">
        <v>10.050000000000001</v>
      </c>
      <c r="E429">
        <v>5.51</v>
      </c>
    </row>
    <row r="430" spans="1:5" x14ac:dyDescent="0.3">
      <c r="A430" s="1">
        <v>31841</v>
      </c>
      <c r="B430">
        <v>16.3</v>
      </c>
      <c r="C430">
        <v>7.3</v>
      </c>
      <c r="D430">
        <v>9.91</v>
      </c>
      <c r="E430">
        <v>5.52</v>
      </c>
    </row>
    <row r="431" spans="1:5" x14ac:dyDescent="0.3">
      <c r="A431" s="1">
        <v>31842</v>
      </c>
      <c r="B431">
        <v>16.25</v>
      </c>
      <c r="C431">
        <v>7.29</v>
      </c>
      <c r="D431">
        <v>10</v>
      </c>
      <c r="E431">
        <v>5.64</v>
      </c>
    </row>
    <row r="432" spans="1:5" x14ac:dyDescent="0.3">
      <c r="A432" s="1">
        <v>31843</v>
      </c>
      <c r="B432" t="e">
        <v>#N/A</v>
      </c>
      <c r="C432" t="e">
        <v>#N/A</v>
      </c>
      <c r="D432" t="e">
        <v>#N/A</v>
      </c>
      <c r="E432" t="e">
        <v>#N/A</v>
      </c>
    </row>
    <row r="433" spans="1:5" x14ac:dyDescent="0.3">
      <c r="A433" s="1">
        <v>31844</v>
      </c>
      <c r="B433" t="e">
        <v>#N/A</v>
      </c>
      <c r="C433" t="e">
        <v>#N/A</v>
      </c>
      <c r="D433" t="e">
        <v>#N/A</v>
      </c>
      <c r="E433" t="e">
        <v>#N/A</v>
      </c>
    </row>
    <row r="434" spans="1:5" x14ac:dyDescent="0.3">
      <c r="A434" s="1">
        <v>31845</v>
      </c>
      <c r="B434">
        <v>16.38</v>
      </c>
      <c r="C434">
        <v>7.31</v>
      </c>
      <c r="D434">
        <v>9.86</v>
      </c>
      <c r="E434">
        <v>5.64</v>
      </c>
    </row>
    <row r="435" spans="1:5" x14ac:dyDescent="0.3">
      <c r="A435" s="1">
        <v>31846</v>
      </c>
      <c r="B435">
        <v>16.88</v>
      </c>
      <c r="C435">
        <v>7.28</v>
      </c>
      <c r="D435">
        <v>9.77</v>
      </c>
      <c r="E435">
        <v>5.68</v>
      </c>
    </row>
    <row r="436" spans="1:5" x14ac:dyDescent="0.3">
      <c r="A436" s="1">
        <v>31847</v>
      </c>
      <c r="B436">
        <v>16.5</v>
      </c>
      <c r="C436">
        <v>7.23</v>
      </c>
      <c r="D436">
        <v>9.59</v>
      </c>
      <c r="E436">
        <v>5.69</v>
      </c>
    </row>
    <row r="437" spans="1:5" x14ac:dyDescent="0.3">
      <c r="A437" s="1">
        <v>31848</v>
      </c>
      <c r="B437">
        <v>16.25</v>
      </c>
      <c r="C437">
        <v>6.99</v>
      </c>
      <c r="D437">
        <v>9.5500000000000007</v>
      </c>
      <c r="E437">
        <v>5.67</v>
      </c>
    </row>
    <row r="438" spans="1:5" x14ac:dyDescent="0.3">
      <c r="A438" s="1">
        <v>31849</v>
      </c>
      <c r="B438">
        <v>16.05</v>
      </c>
      <c r="C438">
        <v>7.02</v>
      </c>
      <c r="D438">
        <v>9.58</v>
      </c>
      <c r="E438">
        <v>5.62</v>
      </c>
    </row>
    <row r="439" spans="1:5" x14ac:dyDescent="0.3">
      <c r="A439" s="1">
        <v>31850</v>
      </c>
      <c r="B439" t="e">
        <v>#N/A</v>
      </c>
      <c r="C439" t="e">
        <v>#N/A</v>
      </c>
      <c r="D439" t="e">
        <v>#N/A</v>
      </c>
      <c r="E439" t="e">
        <v>#N/A</v>
      </c>
    </row>
    <row r="440" spans="1:5" x14ac:dyDescent="0.3">
      <c r="A440" s="1">
        <v>31851</v>
      </c>
      <c r="B440" t="e">
        <v>#N/A</v>
      </c>
      <c r="C440" t="e">
        <v>#N/A</v>
      </c>
      <c r="D440" t="e">
        <v>#N/A</v>
      </c>
      <c r="E440" t="e">
        <v>#N/A</v>
      </c>
    </row>
    <row r="441" spans="1:5" x14ac:dyDescent="0.3">
      <c r="A441" s="1">
        <v>31852</v>
      </c>
      <c r="B441">
        <v>16.38</v>
      </c>
      <c r="C441">
        <v>6.91</v>
      </c>
      <c r="D441">
        <v>9.4</v>
      </c>
      <c r="E441">
        <v>5.65</v>
      </c>
    </row>
    <row r="442" spans="1:5" x14ac:dyDescent="0.3">
      <c r="A442" s="1">
        <v>31853</v>
      </c>
      <c r="B442">
        <v>16.28</v>
      </c>
      <c r="C442">
        <v>6.91</v>
      </c>
      <c r="D442">
        <v>9.33</v>
      </c>
      <c r="E442">
        <v>5.57</v>
      </c>
    </row>
    <row r="443" spans="1:5" x14ac:dyDescent="0.3">
      <c r="A443" s="1">
        <v>31854</v>
      </c>
      <c r="B443">
        <v>16.149999999999999</v>
      </c>
      <c r="C443">
        <v>6.96</v>
      </c>
      <c r="D443">
        <v>9.3800000000000008</v>
      </c>
      <c r="E443">
        <v>5.52</v>
      </c>
    </row>
    <row r="444" spans="1:5" x14ac:dyDescent="0.3">
      <c r="A444" s="1">
        <v>31855</v>
      </c>
      <c r="B444">
        <v>16.079999999999998</v>
      </c>
      <c r="C444">
        <v>6.91</v>
      </c>
      <c r="D444">
        <v>9.2799999999999994</v>
      </c>
      <c r="E444">
        <v>5.5</v>
      </c>
    </row>
    <row r="445" spans="1:5" x14ac:dyDescent="0.3">
      <c r="A445" s="1">
        <v>31856</v>
      </c>
      <c r="B445">
        <v>16.100000000000001</v>
      </c>
      <c r="C445">
        <v>6.85</v>
      </c>
      <c r="D445">
        <v>9.3000000000000007</v>
      </c>
      <c r="E445">
        <v>5.52</v>
      </c>
    </row>
    <row r="446" spans="1:5" x14ac:dyDescent="0.3">
      <c r="A446" s="1">
        <v>31857</v>
      </c>
      <c r="B446" t="e">
        <v>#N/A</v>
      </c>
      <c r="C446" t="e">
        <v>#N/A</v>
      </c>
      <c r="D446" t="e">
        <v>#N/A</v>
      </c>
      <c r="E446" t="e">
        <v>#N/A</v>
      </c>
    </row>
    <row r="447" spans="1:5" x14ac:dyDescent="0.3">
      <c r="A447" s="1">
        <v>31858</v>
      </c>
      <c r="B447" t="e">
        <v>#N/A</v>
      </c>
      <c r="C447" t="e">
        <v>#N/A</v>
      </c>
      <c r="D447" t="e">
        <v>#N/A</v>
      </c>
      <c r="E447" t="e">
        <v>#N/A</v>
      </c>
    </row>
    <row r="448" spans="1:5" x14ac:dyDescent="0.3">
      <c r="A448" s="1">
        <v>31859</v>
      </c>
      <c r="B448">
        <v>16.25</v>
      </c>
      <c r="C448">
        <v>6.78</v>
      </c>
      <c r="D448">
        <v>9.27</v>
      </c>
      <c r="E448">
        <v>5.62</v>
      </c>
    </row>
    <row r="449" spans="1:5" x14ac:dyDescent="0.3">
      <c r="A449" s="1">
        <v>31860</v>
      </c>
      <c r="B449">
        <v>16.329999999999998</v>
      </c>
      <c r="C449">
        <v>6.8</v>
      </c>
      <c r="D449">
        <v>9.3000000000000007</v>
      </c>
      <c r="E449">
        <v>5.61</v>
      </c>
    </row>
    <row r="450" spans="1:5" x14ac:dyDescent="0.3">
      <c r="A450" s="1">
        <v>31861</v>
      </c>
      <c r="B450">
        <v>16.079999999999998</v>
      </c>
      <c r="C450">
        <v>6.83</v>
      </c>
      <c r="D450">
        <v>9.3000000000000007</v>
      </c>
      <c r="E450">
        <v>5.57</v>
      </c>
    </row>
    <row r="451" spans="1:5" x14ac:dyDescent="0.3">
      <c r="A451" s="1">
        <v>31862</v>
      </c>
      <c r="B451">
        <v>15.95</v>
      </c>
      <c r="C451">
        <v>6.81</v>
      </c>
      <c r="D451">
        <v>9.41</v>
      </c>
      <c r="E451">
        <v>5.57</v>
      </c>
    </row>
    <row r="452" spans="1:5" x14ac:dyDescent="0.3">
      <c r="A452" s="1">
        <v>31863</v>
      </c>
      <c r="B452">
        <v>15.85</v>
      </c>
      <c r="C452">
        <v>6.82</v>
      </c>
      <c r="D452">
        <v>9.4700000000000006</v>
      </c>
      <c r="E452">
        <v>5.63</v>
      </c>
    </row>
    <row r="453" spans="1:5" x14ac:dyDescent="0.3">
      <c r="A453" s="1">
        <v>31864</v>
      </c>
      <c r="B453" t="e">
        <v>#N/A</v>
      </c>
      <c r="C453" t="e">
        <v>#N/A</v>
      </c>
      <c r="D453" t="e">
        <v>#N/A</v>
      </c>
      <c r="E453" t="e">
        <v>#N/A</v>
      </c>
    </row>
    <row r="454" spans="1:5" x14ac:dyDescent="0.3">
      <c r="A454" s="1">
        <v>31865</v>
      </c>
      <c r="B454" t="e">
        <v>#N/A</v>
      </c>
      <c r="C454" t="e">
        <v>#N/A</v>
      </c>
      <c r="D454" t="e">
        <v>#N/A</v>
      </c>
      <c r="E454" t="e">
        <v>#N/A</v>
      </c>
    </row>
    <row r="455" spans="1:5" x14ac:dyDescent="0.3">
      <c r="A455" s="1">
        <v>31866</v>
      </c>
      <c r="B455">
        <v>15.93</v>
      </c>
      <c r="C455">
        <v>6.95</v>
      </c>
      <c r="D455">
        <v>9.56</v>
      </c>
      <c r="E455">
        <v>5.66</v>
      </c>
    </row>
    <row r="456" spans="1:5" x14ac:dyDescent="0.3">
      <c r="A456" s="1">
        <v>31867</v>
      </c>
      <c r="B456">
        <v>15.95</v>
      </c>
      <c r="C456">
        <v>6.94</v>
      </c>
      <c r="D456">
        <v>9.5500000000000007</v>
      </c>
      <c r="E456">
        <v>5.61</v>
      </c>
    </row>
    <row r="457" spans="1:5" x14ac:dyDescent="0.3">
      <c r="A457" s="1">
        <v>31868</v>
      </c>
      <c r="B457">
        <v>15.8</v>
      </c>
      <c r="C457">
        <v>7.01</v>
      </c>
      <c r="D457">
        <v>9.5299999999999994</v>
      </c>
      <c r="E457">
        <v>5.54</v>
      </c>
    </row>
    <row r="458" spans="1:5" x14ac:dyDescent="0.3">
      <c r="A458" s="1">
        <v>31869</v>
      </c>
      <c r="B458">
        <v>15</v>
      </c>
      <c r="C458">
        <v>6.95</v>
      </c>
      <c r="D458">
        <v>9.61</v>
      </c>
      <c r="E458">
        <v>5.51</v>
      </c>
    </row>
    <row r="459" spans="1:5" x14ac:dyDescent="0.3">
      <c r="A459" s="1">
        <v>31870</v>
      </c>
      <c r="B459">
        <v>14.75</v>
      </c>
      <c r="C459">
        <v>6.96</v>
      </c>
      <c r="D459">
        <v>9.6</v>
      </c>
      <c r="E459">
        <v>5.5</v>
      </c>
    </row>
    <row r="460" spans="1:5" x14ac:dyDescent="0.3">
      <c r="A460" s="1">
        <v>31871</v>
      </c>
      <c r="B460" t="e">
        <v>#N/A</v>
      </c>
      <c r="C460" t="e">
        <v>#N/A</v>
      </c>
      <c r="D460" t="e">
        <v>#N/A</v>
      </c>
      <c r="E460" t="e">
        <v>#N/A</v>
      </c>
    </row>
    <row r="461" spans="1:5" x14ac:dyDescent="0.3">
      <c r="A461" s="1">
        <v>31872</v>
      </c>
      <c r="B461" t="e">
        <v>#N/A</v>
      </c>
      <c r="C461" t="e">
        <v>#N/A</v>
      </c>
      <c r="D461" t="e">
        <v>#N/A</v>
      </c>
      <c r="E461" t="e">
        <v>#N/A</v>
      </c>
    </row>
    <row r="462" spans="1:5" x14ac:dyDescent="0.3">
      <c r="A462" s="1">
        <v>31873</v>
      </c>
      <c r="B462">
        <v>15.13</v>
      </c>
      <c r="C462">
        <v>6.97</v>
      </c>
      <c r="D462">
        <v>9.4700000000000006</v>
      </c>
      <c r="E462">
        <v>5.47</v>
      </c>
    </row>
    <row r="463" spans="1:5" x14ac:dyDescent="0.3">
      <c r="A463" s="1">
        <v>31874</v>
      </c>
      <c r="B463">
        <v>15.5</v>
      </c>
      <c r="C463">
        <v>6.94</v>
      </c>
      <c r="D463">
        <v>9.49</v>
      </c>
      <c r="E463">
        <v>5.51</v>
      </c>
    </row>
    <row r="464" spans="1:5" x14ac:dyDescent="0.3">
      <c r="A464" s="1">
        <v>31875</v>
      </c>
      <c r="B464">
        <v>15.25</v>
      </c>
      <c r="C464">
        <v>6.96</v>
      </c>
      <c r="D464">
        <v>9.52</v>
      </c>
      <c r="E464">
        <v>5.5</v>
      </c>
    </row>
    <row r="465" spans="1:5" x14ac:dyDescent="0.3">
      <c r="A465" s="1">
        <v>31876</v>
      </c>
      <c r="B465">
        <v>15.63</v>
      </c>
      <c r="C465">
        <v>7.01</v>
      </c>
      <c r="D465">
        <v>9.52</v>
      </c>
      <c r="E465">
        <v>5.75</v>
      </c>
    </row>
    <row r="466" spans="1:5" x14ac:dyDescent="0.3">
      <c r="A466" s="1">
        <v>31877</v>
      </c>
      <c r="B466">
        <v>15.25</v>
      </c>
      <c r="C466">
        <v>7.03</v>
      </c>
      <c r="D466">
        <v>9.56</v>
      </c>
      <c r="E466">
        <v>5.85</v>
      </c>
    </row>
    <row r="467" spans="1:5" x14ac:dyDescent="0.3">
      <c r="A467" s="1">
        <v>31878</v>
      </c>
      <c r="B467" t="e">
        <v>#N/A</v>
      </c>
      <c r="C467" t="e">
        <v>#N/A</v>
      </c>
      <c r="D467" t="e">
        <v>#N/A</v>
      </c>
      <c r="E467" t="e">
        <v>#N/A</v>
      </c>
    </row>
    <row r="468" spans="1:5" x14ac:dyDescent="0.3">
      <c r="A468" s="1">
        <v>31879</v>
      </c>
      <c r="B468" t="e">
        <v>#N/A</v>
      </c>
      <c r="C468" t="e">
        <v>#N/A</v>
      </c>
      <c r="D468" t="e">
        <v>#N/A</v>
      </c>
      <c r="E468" t="e">
        <v>#N/A</v>
      </c>
    </row>
    <row r="469" spans="1:5" x14ac:dyDescent="0.3">
      <c r="A469" s="1">
        <v>31880</v>
      </c>
      <c r="B469">
        <v>15.13</v>
      </c>
      <c r="C469">
        <v>7.02</v>
      </c>
      <c r="D469">
        <v>9.61</v>
      </c>
      <c r="E469">
        <v>6.02</v>
      </c>
    </row>
    <row r="470" spans="1:5" x14ac:dyDescent="0.3">
      <c r="A470" s="1">
        <v>31881</v>
      </c>
      <c r="B470">
        <v>15.1</v>
      </c>
      <c r="C470">
        <v>7.34</v>
      </c>
      <c r="D470">
        <v>9.61</v>
      </c>
      <c r="E470">
        <v>5.92</v>
      </c>
    </row>
    <row r="471" spans="1:5" x14ac:dyDescent="0.3">
      <c r="A471" s="1">
        <v>31882</v>
      </c>
      <c r="B471">
        <v>14.88</v>
      </c>
      <c r="C471">
        <v>7.72</v>
      </c>
      <c r="D471">
        <v>9.56</v>
      </c>
      <c r="E471">
        <v>5.68</v>
      </c>
    </row>
    <row r="472" spans="1:5" x14ac:dyDescent="0.3">
      <c r="A472" s="1">
        <v>31883</v>
      </c>
      <c r="B472">
        <v>14.6</v>
      </c>
      <c r="C472">
        <v>7.59</v>
      </c>
      <c r="D472">
        <v>9.5299999999999994</v>
      </c>
      <c r="E472">
        <v>5.56</v>
      </c>
    </row>
    <row r="473" spans="1:5" x14ac:dyDescent="0.3">
      <c r="A473" s="1">
        <v>31884</v>
      </c>
      <c r="B473">
        <v>0</v>
      </c>
      <c r="C473">
        <v>0</v>
      </c>
      <c r="D473">
        <v>9.5299999999999994</v>
      </c>
      <c r="E473">
        <v>0</v>
      </c>
    </row>
    <row r="474" spans="1:5" x14ac:dyDescent="0.3">
      <c r="A474" s="1">
        <v>31885</v>
      </c>
      <c r="B474" t="e">
        <v>#N/A</v>
      </c>
      <c r="C474" t="e">
        <v>#N/A</v>
      </c>
      <c r="D474" t="e">
        <v>#N/A</v>
      </c>
      <c r="E474" t="e">
        <v>#N/A</v>
      </c>
    </row>
    <row r="475" spans="1:5" x14ac:dyDescent="0.3">
      <c r="A475" s="1">
        <v>31886</v>
      </c>
      <c r="B475" t="e">
        <v>#N/A</v>
      </c>
      <c r="C475" t="e">
        <v>#N/A</v>
      </c>
      <c r="D475" t="e">
        <v>#N/A</v>
      </c>
      <c r="E475" t="e">
        <v>#N/A</v>
      </c>
    </row>
    <row r="476" spans="1:5" x14ac:dyDescent="0.3">
      <c r="A476" s="1">
        <v>31887</v>
      </c>
      <c r="B476">
        <v>0</v>
      </c>
      <c r="C476">
        <v>7.56</v>
      </c>
      <c r="D476">
        <v>9.5299999999999994</v>
      </c>
      <c r="E476">
        <v>5.54</v>
      </c>
    </row>
    <row r="477" spans="1:5" x14ac:dyDescent="0.3">
      <c r="A477" s="1">
        <v>31888</v>
      </c>
      <c r="B477">
        <v>14.5</v>
      </c>
      <c r="C477">
        <v>7.73</v>
      </c>
      <c r="D477">
        <v>9.5500000000000007</v>
      </c>
      <c r="E477">
        <v>5.5</v>
      </c>
    </row>
    <row r="478" spans="1:5" x14ac:dyDescent="0.3">
      <c r="A478" s="1">
        <v>31889</v>
      </c>
      <c r="B478">
        <v>14.35</v>
      </c>
      <c r="C478">
        <v>7.98</v>
      </c>
      <c r="D478">
        <v>9.56</v>
      </c>
      <c r="E478">
        <v>5.42</v>
      </c>
    </row>
    <row r="479" spans="1:5" x14ac:dyDescent="0.3">
      <c r="A479" s="1">
        <v>31890</v>
      </c>
      <c r="B479">
        <v>14.33</v>
      </c>
      <c r="C479">
        <v>8.09</v>
      </c>
      <c r="D479">
        <v>9.5299999999999994</v>
      </c>
      <c r="E479">
        <v>5.49</v>
      </c>
    </row>
    <row r="480" spans="1:5" x14ac:dyDescent="0.3">
      <c r="A480" s="1">
        <v>31891</v>
      </c>
      <c r="B480">
        <v>14.05</v>
      </c>
      <c r="C480">
        <v>8.3000000000000007</v>
      </c>
      <c r="D480">
        <v>9.36</v>
      </c>
      <c r="E480">
        <v>5.76</v>
      </c>
    </row>
    <row r="481" spans="1:5" x14ac:dyDescent="0.3">
      <c r="A481" s="1">
        <v>31892</v>
      </c>
      <c r="B481" t="e">
        <v>#N/A</v>
      </c>
      <c r="C481" t="e">
        <v>#N/A</v>
      </c>
      <c r="D481" t="e">
        <v>#N/A</v>
      </c>
      <c r="E481" t="e">
        <v>#N/A</v>
      </c>
    </row>
    <row r="482" spans="1:5" x14ac:dyDescent="0.3">
      <c r="A482" s="1">
        <v>31893</v>
      </c>
      <c r="B482" t="e">
        <v>#N/A</v>
      </c>
      <c r="C482" t="e">
        <v>#N/A</v>
      </c>
      <c r="D482" t="e">
        <v>#N/A</v>
      </c>
      <c r="E482" t="e">
        <v>#N/A</v>
      </c>
    </row>
    <row r="483" spans="1:5" x14ac:dyDescent="0.3">
      <c r="A483" s="1">
        <v>31894</v>
      </c>
      <c r="B483">
        <v>14.15</v>
      </c>
      <c r="C483">
        <v>8.25</v>
      </c>
      <c r="D483">
        <v>9.2200000000000006</v>
      </c>
      <c r="E483">
        <v>5.78</v>
      </c>
    </row>
    <row r="484" spans="1:5" x14ac:dyDescent="0.3">
      <c r="A484" s="1">
        <v>31895</v>
      </c>
      <c r="B484">
        <v>14.28</v>
      </c>
      <c r="C484">
        <v>8.1300000000000008</v>
      </c>
      <c r="D484">
        <v>9.2799999999999994</v>
      </c>
      <c r="E484">
        <v>5.82</v>
      </c>
    </row>
    <row r="485" spans="1:5" x14ac:dyDescent="0.3">
      <c r="A485" s="1">
        <v>31896</v>
      </c>
      <c r="B485">
        <v>14.15</v>
      </c>
      <c r="C485">
        <v>8.0299999999999994</v>
      </c>
      <c r="D485">
        <v>9.09</v>
      </c>
      <c r="E485">
        <v>5.71</v>
      </c>
    </row>
    <row r="486" spans="1:5" x14ac:dyDescent="0.3">
      <c r="A486" s="1">
        <v>31897</v>
      </c>
      <c r="B486">
        <v>14.2</v>
      </c>
      <c r="C486">
        <v>8.0399999999999991</v>
      </c>
      <c r="D486">
        <v>8.99</v>
      </c>
      <c r="E486">
        <v>5.53</v>
      </c>
    </row>
    <row r="487" spans="1:5" x14ac:dyDescent="0.3">
      <c r="A487" s="1">
        <v>31898</v>
      </c>
      <c r="B487">
        <v>14.25</v>
      </c>
      <c r="C487">
        <v>8.09</v>
      </c>
      <c r="D487">
        <v>8.81</v>
      </c>
      <c r="E487">
        <v>5.6</v>
      </c>
    </row>
    <row r="488" spans="1:5" x14ac:dyDescent="0.3">
      <c r="A488" s="1">
        <v>31899</v>
      </c>
      <c r="B488" t="e">
        <v>#N/A</v>
      </c>
      <c r="C488" t="e">
        <v>#N/A</v>
      </c>
      <c r="D488" t="e">
        <v>#N/A</v>
      </c>
      <c r="E488" t="e">
        <v>#N/A</v>
      </c>
    </row>
    <row r="489" spans="1:5" x14ac:dyDescent="0.3">
      <c r="A489" s="1">
        <v>31900</v>
      </c>
      <c r="B489" t="e">
        <v>#N/A</v>
      </c>
      <c r="C489" t="e">
        <v>#N/A</v>
      </c>
      <c r="D489" t="e">
        <v>#N/A</v>
      </c>
      <c r="E489" t="e">
        <v>#N/A</v>
      </c>
    </row>
    <row r="490" spans="1:5" x14ac:dyDescent="0.3">
      <c r="A490" s="1">
        <v>31901</v>
      </c>
      <c r="B490">
        <v>14.5</v>
      </c>
      <c r="C490">
        <v>8.2899999999999991</v>
      </c>
      <c r="D490">
        <v>8.81</v>
      </c>
      <c r="E490">
        <v>5.67</v>
      </c>
    </row>
    <row r="491" spans="1:5" x14ac:dyDescent="0.3">
      <c r="A491" s="1">
        <v>31902</v>
      </c>
      <c r="B491">
        <v>15.13</v>
      </c>
      <c r="C491">
        <v>8.1300000000000008</v>
      </c>
      <c r="D491">
        <v>8.7100000000000009</v>
      </c>
      <c r="E491">
        <v>5.81</v>
      </c>
    </row>
    <row r="492" spans="1:5" x14ac:dyDescent="0.3">
      <c r="A492" s="1">
        <v>31903</v>
      </c>
      <c r="B492">
        <v>15.88</v>
      </c>
      <c r="C492">
        <v>8</v>
      </c>
      <c r="D492">
        <v>8.6</v>
      </c>
      <c r="E492">
        <v>5.5</v>
      </c>
    </row>
    <row r="493" spans="1:5" x14ac:dyDescent="0.3">
      <c r="A493" s="1">
        <v>31904</v>
      </c>
      <c r="B493">
        <v>14.88</v>
      </c>
      <c r="C493">
        <v>7.88</v>
      </c>
      <c r="D493">
        <v>8.7100000000000009</v>
      </c>
      <c r="E493">
        <v>5.53</v>
      </c>
    </row>
    <row r="494" spans="1:5" x14ac:dyDescent="0.3">
      <c r="A494" s="1">
        <v>31905</v>
      </c>
      <c r="B494">
        <v>14.98</v>
      </c>
      <c r="C494">
        <v>7.85</v>
      </c>
      <c r="D494">
        <v>8.6</v>
      </c>
      <c r="E494">
        <v>5.53</v>
      </c>
    </row>
    <row r="495" spans="1:5" x14ac:dyDescent="0.3">
      <c r="A495" s="1">
        <v>31906</v>
      </c>
      <c r="B495" t="e">
        <v>#N/A</v>
      </c>
      <c r="C495" t="e">
        <v>#N/A</v>
      </c>
      <c r="D495" t="e">
        <v>#N/A</v>
      </c>
      <c r="E495" t="e">
        <v>#N/A</v>
      </c>
    </row>
    <row r="496" spans="1:5" x14ac:dyDescent="0.3">
      <c r="A496" s="1">
        <v>31907</v>
      </c>
      <c r="B496" t="e">
        <v>#N/A</v>
      </c>
      <c r="C496" t="e">
        <v>#N/A</v>
      </c>
      <c r="D496" t="e">
        <v>#N/A</v>
      </c>
      <c r="E496" t="e">
        <v>#N/A</v>
      </c>
    </row>
    <row r="497" spans="1:5" x14ac:dyDescent="0.3">
      <c r="A497" s="1">
        <v>31908</v>
      </c>
      <c r="B497">
        <v>16</v>
      </c>
      <c r="C497">
        <v>7.84</v>
      </c>
      <c r="D497">
        <v>8.5500000000000007</v>
      </c>
      <c r="E497">
        <v>5.65</v>
      </c>
    </row>
    <row r="498" spans="1:5" x14ac:dyDescent="0.3">
      <c r="A498" s="1">
        <v>31909</v>
      </c>
      <c r="B498">
        <v>14.83</v>
      </c>
      <c r="C498">
        <v>7.84</v>
      </c>
      <c r="D498">
        <v>8.61</v>
      </c>
      <c r="E498">
        <v>5.6</v>
      </c>
    </row>
    <row r="499" spans="1:5" x14ac:dyDescent="0.3">
      <c r="A499" s="1">
        <v>31910</v>
      </c>
      <c r="B499">
        <v>14.4</v>
      </c>
      <c r="C499">
        <v>7.86</v>
      </c>
      <c r="D499">
        <v>8.58</v>
      </c>
      <c r="E499">
        <v>5.53</v>
      </c>
    </row>
    <row r="500" spans="1:5" x14ac:dyDescent="0.3">
      <c r="A500" s="1">
        <v>31911</v>
      </c>
      <c r="B500">
        <v>14.2</v>
      </c>
      <c r="C500">
        <v>7.81</v>
      </c>
      <c r="D500">
        <v>8.5299999999999994</v>
      </c>
      <c r="E500">
        <v>5.73</v>
      </c>
    </row>
    <row r="501" spans="1:5" x14ac:dyDescent="0.3">
      <c r="A501" s="1">
        <v>31912</v>
      </c>
      <c r="B501">
        <v>13.25</v>
      </c>
      <c r="C501">
        <v>7.98</v>
      </c>
      <c r="D501">
        <v>8.36</v>
      </c>
      <c r="E501">
        <v>5.95</v>
      </c>
    </row>
    <row r="502" spans="1:5" x14ac:dyDescent="0.3">
      <c r="A502" s="1">
        <v>31913</v>
      </c>
      <c r="B502" t="e">
        <v>#N/A</v>
      </c>
      <c r="C502" t="e">
        <v>#N/A</v>
      </c>
      <c r="D502" t="e">
        <v>#N/A</v>
      </c>
      <c r="E502" t="e">
        <v>#N/A</v>
      </c>
    </row>
    <row r="503" spans="1:5" x14ac:dyDescent="0.3">
      <c r="A503" s="1">
        <v>31914</v>
      </c>
      <c r="B503" t="e">
        <v>#N/A</v>
      </c>
      <c r="C503" t="e">
        <v>#N/A</v>
      </c>
      <c r="D503" t="e">
        <v>#N/A</v>
      </c>
      <c r="E503" t="e">
        <v>#N/A</v>
      </c>
    </row>
    <row r="504" spans="1:5" x14ac:dyDescent="0.3">
      <c r="A504" s="1">
        <v>31915</v>
      </c>
      <c r="B504">
        <v>13.75</v>
      </c>
      <c r="C504">
        <v>0</v>
      </c>
      <c r="D504">
        <v>8.4600000000000009</v>
      </c>
      <c r="E504">
        <v>5.87</v>
      </c>
    </row>
    <row r="505" spans="1:5" x14ac:dyDescent="0.3">
      <c r="A505" s="1">
        <v>31916</v>
      </c>
      <c r="B505">
        <v>14.25</v>
      </c>
      <c r="C505">
        <v>8.08</v>
      </c>
      <c r="D505">
        <v>8.44</v>
      </c>
      <c r="E505">
        <v>5.78</v>
      </c>
    </row>
    <row r="506" spans="1:5" x14ac:dyDescent="0.3">
      <c r="A506" s="1">
        <v>31917</v>
      </c>
      <c r="B506">
        <v>13.75</v>
      </c>
      <c r="C506">
        <v>8.35</v>
      </c>
      <c r="D506">
        <v>8.4600000000000009</v>
      </c>
      <c r="E506">
        <v>5.69</v>
      </c>
    </row>
    <row r="507" spans="1:5" x14ac:dyDescent="0.3">
      <c r="A507" s="1">
        <v>31918</v>
      </c>
      <c r="B507">
        <v>14.13</v>
      </c>
      <c r="C507">
        <v>8.3000000000000007</v>
      </c>
      <c r="D507">
        <v>8.49</v>
      </c>
      <c r="E507">
        <v>5.53</v>
      </c>
    </row>
    <row r="508" spans="1:5" x14ac:dyDescent="0.3">
      <c r="A508" s="1">
        <v>31919</v>
      </c>
      <c r="B508">
        <v>13.5</v>
      </c>
      <c r="C508">
        <v>8.2799999999999994</v>
      </c>
      <c r="D508">
        <v>8.4600000000000009</v>
      </c>
      <c r="E508">
        <v>5.55</v>
      </c>
    </row>
    <row r="509" spans="1:5" x14ac:dyDescent="0.3">
      <c r="A509" s="1">
        <v>31920</v>
      </c>
      <c r="B509" t="e">
        <v>#N/A</v>
      </c>
      <c r="C509" t="e">
        <v>#N/A</v>
      </c>
      <c r="D509" t="e">
        <v>#N/A</v>
      </c>
      <c r="E509" t="e">
        <v>#N/A</v>
      </c>
    </row>
    <row r="510" spans="1:5" x14ac:dyDescent="0.3">
      <c r="A510" s="1">
        <v>31921</v>
      </c>
      <c r="B510" t="e">
        <v>#N/A</v>
      </c>
      <c r="C510" t="e">
        <v>#N/A</v>
      </c>
      <c r="D510" t="e">
        <v>#N/A</v>
      </c>
      <c r="E510" t="e">
        <v>#N/A</v>
      </c>
    </row>
    <row r="511" spans="1:5" x14ac:dyDescent="0.3">
      <c r="A511" s="1">
        <v>31922</v>
      </c>
      <c r="B511">
        <v>13.5</v>
      </c>
      <c r="C511">
        <v>8.2100000000000009</v>
      </c>
      <c r="D511">
        <v>8.4600000000000009</v>
      </c>
      <c r="E511">
        <v>0</v>
      </c>
    </row>
    <row r="512" spans="1:5" x14ac:dyDescent="0.3">
      <c r="A512" s="1">
        <v>31923</v>
      </c>
      <c r="B512">
        <v>13.5</v>
      </c>
      <c r="C512">
        <v>8.09</v>
      </c>
      <c r="D512">
        <v>8.5500000000000007</v>
      </c>
      <c r="E512">
        <v>5.61</v>
      </c>
    </row>
    <row r="513" spans="1:5" x14ac:dyDescent="0.3">
      <c r="A513" s="1">
        <v>31924</v>
      </c>
      <c r="B513">
        <v>14</v>
      </c>
      <c r="C513">
        <v>8.1300000000000008</v>
      </c>
      <c r="D513">
        <v>8.66</v>
      </c>
      <c r="E513">
        <v>5.76</v>
      </c>
    </row>
    <row r="514" spans="1:5" x14ac:dyDescent="0.3">
      <c r="A514" s="1">
        <v>31925</v>
      </c>
      <c r="B514">
        <v>13.5</v>
      </c>
      <c r="C514">
        <v>8.1999999999999993</v>
      </c>
      <c r="D514">
        <v>8.61</v>
      </c>
      <c r="E514">
        <v>5.63</v>
      </c>
    </row>
    <row r="515" spans="1:5" x14ac:dyDescent="0.3">
      <c r="A515" s="1">
        <v>31926</v>
      </c>
      <c r="B515">
        <v>13.38</v>
      </c>
      <c r="C515">
        <v>8.1300000000000008</v>
      </c>
      <c r="D515">
        <v>8.56</v>
      </c>
      <c r="E515">
        <v>5.68</v>
      </c>
    </row>
    <row r="516" spans="1:5" x14ac:dyDescent="0.3">
      <c r="A516" s="1">
        <v>31927</v>
      </c>
      <c r="B516" t="e">
        <v>#N/A</v>
      </c>
      <c r="C516" t="e">
        <v>#N/A</v>
      </c>
      <c r="D516" t="e">
        <v>#N/A</v>
      </c>
      <c r="E516" t="e">
        <v>#N/A</v>
      </c>
    </row>
    <row r="517" spans="1:5" x14ac:dyDescent="0.3">
      <c r="A517" s="1">
        <v>31928</v>
      </c>
      <c r="B517" t="e">
        <v>#N/A</v>
      </c>
      <c r="C517" t="e">
        <v>#N/A</v>
      </c>
      <c r="D517" t="e">
        <v>#N/A</v>
      </c>
      <c r="E517" t="e">
        <v>#N/A</v>
      </c>
    </row>
    <row r="518" spans="1:5" x14ac:dyDescent="0.3">
      <c r="A518" s="1">
        <v>31929</v>
      </c>
      <c r="B518">
        <v>13.7</v>
      </c>
      <c r="C518">
        <v>8.19</v>
      </c>
      <c r="D518">
        <v>8.5500000000000007</v>
      </c>
      <c r="E518">
        <v>5.7</v>
      </c>
    </row>
    <row r="519" spans="1:5" x14ac:dyDescent="0.3">
      <c r="A519" s="1">
        <v>31930</v>
      </c>
      <c r="B519">
        <v>13.7</v>
      </c>
      <c r="C519">
        <v>8.4499999999999993</v>
      </c>
      <c r="D519">
        <v>8.51</v>
      </c>
      <c r="E519">
        <v>5.76</v>
      </c>
    </row>
    <row r="520" spans="1:5" x14ac:dyDescent="0.3">
      <c r="A520" s="1">
        <v>31931</v>
      </c>
      <c r="B520">
        <v>13.6</v>
      </c>
      <c r="C520">
        <v>8.26</v>
      </c>
      <c r="D520">
        <v>8.51</v>
      </c>
      <c r="E520">
        <v>5.69</v>
      </c>
    </row>
    <row r="521" spans="1:5" x14ac:dyDescent="0.3">
      <c r="A521" s="1">
        <v>31932</v>
      </c>
      <c r="B521">
        <v>13.5</v>
      </c>
      <c r="C521">
        <v>8.27</v>
      </c>
      <c r="D521">
        <v>8.5299999999999994</v>
      </c>
      <c r="E521">
        <v>5.66</v>
      </c>
    </row>
    <row r="522" spans="1:5" x14ac:dyDescent="0.3">
      <c r="A522" s="1">
        <v>31933</v>
      </c>
      <c r="B522">
        <v>13.73</v>
      </c>
      <c r="C522">
        <v>8.27</v>
      </c>
      <c r="D522">
        <v>8.5399999999999991</v>
      </c>
      <c r="E522">
        <v>5.68</v>
      </c>
    </row>
    <row r="523" spans="1:5" x14ac:dyDescent="0.3">
      <c r="A523" s="1">
        <v>31934</v>
      </c>
      <c r="B523" t="e">
        <v>#N/A</v>
      </c>
      <c r="C523" t="e">
        <v>#N/A</v>
      </c>
      <c r="D523" t="e">
        <v>#N/A</v>
      </c>
      <c r="E523" t="e">
        <v>#N/A</v>
      </c>
    </row>
    <row r="524" spans="1:5" x14ac:dyDescent="0.3">
      <c r="A524" s="1">
        <v>31935</v>
      </c>
      <c r="B524" t="e">
        <v>#N/A</v>
      </c>
      <c r="C524" t="e">
        <v>#N/A</v>
      </c>
      <c r="D524" t="e">
        <v>#N/A</v>
      </c>
      <c r="E524" t="e">
        <v>#N/A</v>
      </c>
    </row>
    <row r="525" spans="1:5" x14ac:dyDescent="0.3">
      <c r="A525" s="1">
        <v>31936</v>
      </c>
      <c r="B525">
        <v>0</v>
      </c>
      <c r="C525">
        <v>8.3000000000000007</v>
      </c>
      <c r="D525">
        <v>8.52</v>
      </c>
      <c r="E525">
        <v>5.66</v>
      </c>
    </row>
    <row r="526" spans="1:5" x14ac:dyDescent="0.3">
      <c r="A526" s="1">
        <v>31937</v>
      </c>
      <c r="B526">
        <v>14.78</v>
      </c>
      <c r="C526">
        <v>8.35</v>
      </c>
      <c r="D526">
        <v>8.4600000000000009</v>
      </c>
      <c r="E526">
        <v>5.51</v>
      </c>
    </row>
    <row r="527" spans="1:5" x14ac:dyDescent="0.3">
      <c r="A527" s="1">
        <v>31938</v>
      </c>
      <c r="B527">
        <v>14.38</v>
      </c>
      <c r="C527">
        <v>8.32</v>
      </c>
      <c r="D527">
        <v>8.3699999999999992</v>
      </c>
      <c r="E527">
        <v>5.48</v>
      </c>
    </row>
    <row r="528" spans="1:5" x14ac:dyDescent="0.3">
      <c r="A528" s="1">
        <v>31939</v>
      </c>
      <c r="B528">
        <v>13.55</v>
      </c>
      <c r="C528">
        <v>8.34</v>
      </c>
      <c r="D528">
        <v>8.4</v>
      </c>
      <c r="E528">
        <v>5.54</v>
      </c>
    </row>
    <row r="529" spans="1:5" x14ac:dyDescent="0.3">
      <c r="A529" s="1">
        <v>31940</v>
      </c>
      <c r="B529">
        <v>13.13</v>
      </c>
      <c r="C529">
        <v>8.31</v>
      </c>
      <c r="D529">
        <v>8.44</v>
      </c>
      <c r="E529">
        <v>5.55</v>
      </c>
    </row>
    <row r="530" spans="1:5" x14ac:dyDescent="0.3">
      <c r="A530" s="1">
        <v>31941</v>
      </c>
      <c r="B530" t="e">
        <v>#N/A</v>
      </c>
      <c r="C530" t="e">
        <v>#N/A</v>
      </c>
      <c r="D530" t="e">
        <v>#N/A</v>
      </c>
      <c r="E530" t="e">
        <v>#N/A</v>
      </c>
    </row>
    <row r="531" spans="1:5" x14ac:dyDescent="0.3">
      <c r="A531" s="1">
        <v>31942</v>
      </c>
      <c r="B531" t="e">
        <v>#N/A</v>
      </c>
      <c r="C531" t="e">
        <v>#N/A</v>
      </c>
      <c r="D531" t="e">
        <v>#N/A</v>
      </c>
      <c r="E531" t="e">
        <v>#N/A</v>
      </c>
    </row>
    <row r="532" spans="1:5" x14ac:dyDescent="0.3">
      <c r="A532" s="1">
        <v>31943</v>
      </c>
      <c r="B532">
        <v>13.13</v>
      </c>
      <c r="C532">
        <v>8.31</v>
      </c>
      <c r="D532">
        <v>8.4600000000000009</v>
      </c>
      <c r="E532">
        <v>5.65</v>
      </c>
    </row>
    <row r="533" spans="1:5" x14ac:dyDescent="0.3">
      <c r="A533" s="1">
        <v>31944</v>
      </c>
      <c r="B533">
        <v>13.13</v>
      </c>
      <c r="C533">
        <v>8.32</v>
      </c>
      <c r="D533">
        <v>8.6</v>
      </c>
      <c r="E533">
        <v>5.63</v>
      </c>
    </row>
    <row r="534" spans="1:5" x14ac:dyDescent="0.3">
      <c r="A534" s="1">
        <v>31945</v>
      </c>
      <c r="B534">
        <v>12.7</v>
      </c>
      <c r="C534">
        <v>8.3000000000000007</v>
      </c>
      <c r="D534">
        <v>8.61</v>
      </c>
      <c r="E534">
        <v>5.65</v>
      </c>
    </row>
    <row r="535" spans="1:5" x14ac:dyDescent="0.3">
      <c r="A535" s="1">
        <v>31946</v>
      </c>
      <c r="B535">
        <v>12.88</v>
      </c>
      <c r="C535">
        <v>8.33</v>
      </c>
      <c r="D535">
        <v>8.59</v>
      </c>
      <c r="E535">
        <v>5.65</v>
      </c>
    </row>
    <row r="536" spans="1:5" x14ac:dyDescent="0.3">
      <c r="A536" s="1">
        <v>31947</v>
      </c>
      <c r="B536">
        <v>12.38</v>
      </c>
      <c r="C536">
        <v>8.34</v>
      </c>
      <c r="D536">
        <v>8.69</v>
      </c>
      <c r="E536">
        <v>5.66</v>
      </c>
    </row>
    <row r="537" spans="1:5" x14ac:dyDescent="0.3">
      <c r="A537" s="1">
        <v>31948</v>
      </c>
      <c r="B537" t="e">
        <v>#N/A</v>
      </c>
      <c r="C537" t="e">
        <v>#N/A</v>
      </c>
      <c r="D537" t="e">
        <v>#N/A</v>
      </c>
      <c r="E537" t="e">
        <v>#N/A</v>
      </c>
    </row>
    <row r="538" spans="1:5" x14ac:dyDescent="0.3">
      <c r="A538" s="1">
        <v>31949</v>
      </c>
      <c r="B538" t="e">
        <v>#N/A</v>
      </c>
      <c r="C538" t="e">
        <v>#N/A</v>
      </c>
      <c r="D538" t="e">
        <v>#N/A</v>
      </c>
      <c r="E538" t="e">
        <v>#N/A</v>
      </c>
    </row>
    <row r="539" spans="1:5" x14ac:dyDescent="0.3">
      <c r="A539" s="1">
        <v>31950</v>
      </c>
      <c r="B539">
        <v>12.38</v>
      </c>
      <c r="C539">
        <v>8.2799999999999994</v>
      </c>
      <c r="D539">
        <v>8.82</v>
      </c>
      <c r="E539">
        <v>5.66</v>
      </c>
    </row>
    <row r="540" spans="1:5" x14ac:dyDescent="0.3">
      <c r="A540" s="1">
        <v>31951</v>
      </c>
      <c r="B540">
        <v>12.25</v>
      </c>
      <c r="C540">
        <v>8.31</v>
      </c>
      <c r="D540">
        <v>8.86</v>
      </c>
      <c r="E540">
        <v>5.72</v>
      </c>
    </row>
    <row r="541" spans="1:5" x14ac:dyDescent="0.3">
      <c r="A541" s="1">
        <v>31952</v>
      </c>
      <c r="B541">
        <v>12</v>
      </c>
      <c r="C541">
        <v>8.33</v>
      </c>
      <c r="D541">
        <v>8.82</v>
      </c>
      <c r="E541">
        <v>5.83</v>
      </c>
    </row>
    <row r="542" spans="1:5" x14ac:dyDescent="0.3">
      <c r="A542" s="1">
        <v>31953</v>
      </c>
      <c r="B542">
        <v>12.38</v>
      </c>
      <c r="C542">
        <v>8.2899999999999991</v>
      </c>
      <c r="D542">
        <v>8.82</v>
      </c>
      <c r="E542">
        <v>5.84</v>
      </c>
    </row>
    <row r="543" spans="1:5" x14ac:dyDescent="0.3">
      <c r="A543" s="1">
        <v>31954</v>
      </c>
      <c r="B543">
        <v>12.63</v>
      </c>
      <c r="C543">
        <v>8.32</v>
      </c>
      <c r="D543">
        <v>8.82</v>
      </c>
      <c r="E543">
        <v>5.78</v>
      </c>
    </row>
    <row r="544" spans="1:5" x14ac:dyDescent="0.3">
      <c r="A544" s="1">
        <v>31955</v>
      </c>
      <c r="B544" t="e">
        <v>#N/A</v>
      </c>
      <c r="C544" t="e">
        <v>#N/A</v>
      </c>
      <c r="D544" t="e">
        <v>#N/A</v>
      </c>
      <c r="E544" t="e">
        <v>#N/A</v>
      </c>
    </row>
    <row r="545" spans="1:5" x14ac:dyDescent="0.3">
      <c r="A545" s="1">
        <v>31956</v>
      </c>
      <c r="B545" t="e">
        <v>#N/A</v>
      </c>
      <c r="C545" t="e">
        <v>#N/A</v>
      </c>
      <c r="D545" t="e">
        <v>#N/A</v>
      </c>
      <c r="E545" t="e">
        <v>#N/A</v>
      </c>
    </row>
    <row r="546" spans="1:5" x14ac:dyDescent="0.3">
      <c r="A546" s="1">
        <v>31957</v>
      </c>
      <c r="B546">
        <v>12.75</v>
      </c>
      <c r="C546">
        <v>8.36</v>
      </c>
      <c r="D546">
        <v>8.86</v>
      </c>
      <c r="E546">
        <v>5.67</v>
      </c>
    </row>
    <row r="547" spans="1:5" x14ac:dyDescent="0.3">
      <c r="A547" s="1">
        <v>31958</v>
      </c>
      <c r="B547">
        <v>14.25</v>
      </c>
      <c r="C547">
        <v>8.35</v>
      </c>
      <c r="D547">
        <v>8.8699999999999992</v>
      </c>
      <c r="E547">
        <v>5.73</v>
      </c>
    </row>
    <row r="548" spans="1:5" x14ac:dyDescent="0.3">
      <c r="A548" s="1">
        <v>31959</v>
      </c>
      <c r="B548">
        <v>12.75</v>
      </c>
      <c r="C548">
        <v>0</v>
      </c>
      <c r="D548">
        <v>8.84</v>
      </c>
      <c r="E548">
        <v>5.64</v>
      </c>
    </row>
    <row r="549" spans="1:5" x14ac:dyDescent="0.3">
      <c r="A549" s="1">
        <v>31960</v>
      </c>
      <c r="B549">
        <v>12.43</v>
      </c>
      <c r="C549">
        <v>8.36</v>
      </c>
      <c r="D549">
        <v>8.85</v>
      </c>
      <c r="E549">
        <v>5.66</v>
      </c>
    </row>
    <row r="550" spans="1:5" x14ac:dyDescent="0.3">
      <c r="A550" s="1">
        <v>31961</v>
      </c>
      <c r="B550">
        <v>12</v>
      </c>
      <c r="C550">
        <v>8.34</v>
      </c>
      <c r="D550">
        <v>8.8699999999999992</v>
      </c>
      <c r="E550">
        <v>0</v>
      </c>
    </row>
    <row r="551" spans="1:5" x14ac:dyDescent="0.3">
      <c r="A551" s="1">
        <v>31962</v>
      </c>
      <c r="B551" t="e">
        <v>#N/A</v>
      </c>
      <c r="C551" t="e">
        <v>#N/A</v>
      </c>
      <c r="D551" t="e">
        <v>#N/A</v>
      </c>
      <c r="E551" t="e">
        <v>#N/A</v>
      </c>
    </row>
    <row r="552" spans="1:5" x14ac:dyDescent="0.3">
      <c r="A552" s="1">
        <v>31963</v>
      </c>
      <c r="B552" t="e">
        <v>#N/A</v>
      </c>
      <c r="C552" t="e">
        <v>#N/A</v>
      </c>
      <c r="D552" t="e">
        <v>#N/A</v>
      </c>
      <c r="E552" t="e">
        <v>#N/A</v>
      </c>
    </row>
    <row r="553" spans="1:5" x14ac:dyDescent="0.3">
      <c r="A553" s="1">
        <v>31964</v>
      </c>
      <c r="B553">
        <v>12.23</v>
      </c>
      <c r="C553">
        <v>8.34</v>
      </c>
      <c r="D553">
        <v>8.86</v>
      </c>
      <c r="E553">
        <v>5.67</v>
      </c>
    </row>
    <row r="554" spans="1:5" x14ac:dyDescent="0.3">
      <c r="A554" s="1">
        <v>31965</v>
      </c>
      <c r="B554">
        <v>12.25</v>
      </c>
      <c r="C554">
        <v>8.34</v>
      </c>
      <c r="D554">
        <v>8.83</v>
      </c>
      <c r="E554">
        <v>5.6</v>
      </c>
    </row>
    <row r="555" spans="1:5" x14ac:dyDescent="0.3">
      <c r="A555" s="1">
        <v>31966</v>
      </c>
      <c r="B555">
        <v>12.63</v>
      </c>
      <c r="C555">
        <v>8.36</v>
      </c>
      <c r="D555">
        <v>8.81</v>
      </c>
      <c r="E555">
        <v>5.57</v>
      </c>
    </row>
    <row r="556" spans="1:5" x14ac:dyDescent="0.3">
      <c r="A556" s="1">
        <v>31967</v>
      </c>
      <c r="B556">
        <v>13.6</v>
      </c>
      <c r="C556">
        <v>8.43</v>
      </c>
      <c r="D556">
        <v>8.81</v>
      </c>
      <c r="E556">
        <v>5.61</v>
      </c>
    </row>
    <row r="557" spans="1:5" x14ac:dyDescent="0.3">
      <c r="A557" s="1">
        <v>31968</v>
      </c>
      <c r="B557">
        <v>14.13</v>
      </c>
      <c r="C557">
        <v>8.43</v>
      </c>
      <c r="D557">
        <v>8.81</v>
      </c>
      <c r="E557">
        <v>5.59</v>
      </c>
    </row>
    <row r="558" spans="1:5" x14ac:dyDescent="0.3">
      <c r="A558" s="1">
        <v>31969</v>
      </c>
      <c r="B558" t="e">
        <v>#N/A</v>
      </c>
      <c r="C558" t="e">
        <v>#N/A</v>
      </c>
      <c r="D558" t="e">
        <v>#N/A</v>
      </c>
      <c r="E558" t="e">
        <v>#N/A</v>
      </c>
    </row>
    <row r="559" spans="1:5" x14ac:dyDescent="0.3">
      <c r="A559" s="1">
        <v>31970</v>
      </c>
      <c r="B559" t="e">
        <v>#N/A</v>
      </c>
      <c r="C559" t="e">
        <v>#N/A</v>
      </c>
      <c r="D559" t="e">
        <v>#N/A</v>
      </c>
      <c r="E559" t="e">
        <v>#N/A</v>
      </c>
    </row>
    <row r="560" spans="1:5" x14ac:dyDescent="0.3">
      <c r="A560" s="1">
        <v>31971</v>
      </c>
      <c r="B560">
        <v>12.63</v>
      </c>
      <c r="C560">
        <v>8.4600000000000009</v>
      </c>
      <c r="D560">
        <v>8.81</v>
      </c>
      <c r="E560">
        <v>5.61</v>
      </c>
    </row>
    <row r="561" spans="1:5" x14ac:dyDescent="0.3">
      <c r="A561" s="1">
        <v>31972</v>
      </c>
      <c r="B561">
        <v>12.88</v>
      </c>
      <c r="C561">
        <v>8.44</v>
      </c>
      <c r="D561">
        <v>8.83</v>
      </c>
      <c r="E561">
        <v>5.55</v>
      </c>
    </row>
    <row r="562" spans="1:5" x14ac:dyDescent="0.3">
      <c r="A562" s="1">
        <v>31973</v>
      </c>
      <c r="B562">
        <v>12.13</v>
      </c>
      <c r="C562">
        <v>8.4499999999999993</v>
      </c>
      <c r="D562">
        <v>8.83</v>
      </c>
      <c r="E562">
        <v>5.58</v>
      </c>
    </row>
    <row r="563" spans="1:5" x14ac:dyDescent="0.3">
      <c r="A563" s="1">
        <v>31974</v>
      </c>
      <c r="B563">
        <v>12</v>
      </c>
      <c r="C563">
        <v>8.43</v>
      </c>
      <c r="D563">
        <v>8.83</v>
      </c>
      <c r="E563">
        <v>5.58</v>
      </c>
    </row>
    <row r="564" spans="1:5" x14ac:dyDescent="0.3">
      <c r="A564" s="1">
        <v>31975</v>
      </c>
      <c r="B564">
        <v>12.25</v>
      </c>
      <c r="C564">
        <v>8.3800000000000008</v>
      </c>
      <c r="D564">
        <v>8.82</v>
      </c>
      <c r="E564">
        <v>5.56</v>
      </c>
    </row>
    <row r="565" spans="1:5" x14ac:dyDescent="0.3">
      <c r="A565" s="1">
        <v>31976</v>
      </c>
      <c r="B565" t="e">
        <v>#N/A</v>
      </c>
      <c r="C565" t="e">
        <v>#N/A</v>
      </c>
      <c r="D565" t="e">
        <v>#N/A</v>
      </c>
      <c r="E565" t="e">
        <v>#N/A</v>
      </c>
    </row>
    <row r="566" spans="1:5" x14ac:dyDescent="0.3">
      <c r="A566" s="1">
        <v>31977</v>
      </c>
      <c r="B566" t="e">
        <v>#N/A</v>
      </c>
      <c r="C566" t="e">
        <v>#N/A</v>
      </c>
      <c r="D566" t="e">
        <v>#N/A</v>
      </c>
      <c r="E566" t="e">
        <v>#N/A</v>
      </c>
    </row>
    <row r="567" spans="1:5" x14ac:dyDescent="0.3">
      <c r="A567" s="1">
        <v>31978</v>
      </c>
      <c r="B567">
        <v>12.43</v>
      </c>
      <c r="C567">
        <v>8.4</v>
      </c>
      <c r="D567">
        <v>8.81</v>
      </c>
      <c r="E567">
        <v>5.55</v>
      </c>
    </row>
    <row r="568" spans="1:5" x14ac:dyDescent="0.3">
      <c r="A568" s="1">
        <v>31979</v>
      </c>
      <c r="B568">
        <v>12.6</v>
      </c>
      <c r="C568">
        <v>8.43</v>
      </c>
      <c r="D568">
        <v>8.86</v>
      </c>
      <c r="E568">
        <v>5.69</v>
      </c>
    </row>
    <row r="569" spans="1:5" x14ac:dyDescent="0.3">
      <c r="A569" s="1">
        <v>31980</v>
      </c>
      <c r="B569">
        <v>12.18</v>
      </c>
      <c r="C569">
        <v>8.4499999999999993</v>
      </c>
      <c r="D569">
        <v>8.89</v>
      </c>
      <c r="E569">
        <v>5.66</v>
      </c>
    </row>
    <row r="570" spans="1:5" x14ac:dyDescent="0.3">
      <c r="A570" s="1">
        <v>31981</v>
      </c>
      <c r="B570">
        <v>12.05</v>
      </c>
      <c r="C570">
        <v>8.51</v>
      </c>
      <c r="D570">
        <v>8.91</v>
      </c>
      <c r="E570">
        <v>5.67</v>
      </c>
    </row>
    <row r="571" spans="1:5" x14ac:dyDescent="0.3">
      <c r="A571" s="1">
        <v>31982</v>
      </c>
      <c r="B571">
        <v>11.93</v>
      </c>
      <c r="C571">
        <v>8.56</v>
      </c>
      <c r="D571">
        <v>8.89</v>
      </c>
      <c r="E571">
        <v>5.75</v>
      </c>
    </row>
    <row r="572" spans="1:5" x14ac:dyDescent="0.3">
      <c r="A572" s="1">
        <v>31983</v>
      </c>
      <c r="B572" t="e">
        <v>#N/A</v>
      </c>
      <c r="C572" t="e">
        <v>#N/A</v>
      </c>
      <c r="D572" t="e">
        <v>#N/A</v>
      </c>
      <c r="E572" t="e">
        <v>#N/A</v>
      </c>
    </row>
    <row r="573" spans="1:5" x14ac:dyDescent="0.3">
      <c r="A573" s="1">
        <v>31984</v>
      </c>
      <c r="B573" t="e">
        <v>#N/A</v>
      </c>
      <c r="C573" t="e">
        <v>#N/A</v>
      </c>
      <c r="D573" t="e">
        <v>#N/A</v>
      </c>
      <c r="E573" t="e">
        <v>#N/A</v>
      </c>
    </row>
    <row r="574" spans="1:5" x14ac:dyDescent="0.3">
      <c r="A574" s="1">
        <v>31985</v>
      </c>
      <c r="B574">
        <v>11.95</v>
      </c>
      <c r="C574">
        <v>8.67</v>
      </c>
      <c r="D574">
        <v>8.89</v>
      </c>
      <c r="E574">
        <v>5.81</v>
      </c>
    </row>
    <row r="575" spans="1:5" x14ac:dyDescent="0.3">
      <c r="A575" s="1">
        <v>31986</v>
      </c>
      <c r="B575">
        <v>11.85</v>
      </c>
      <c r="C575">
        <v>8.7799999999999994</v>
      </c>
      <c r="D575">
        <v>8.92</v>
      </c>
      <c r="E575">
        <v>5.86</v>
      </c>
    </row>
    <row r="576" spans="1:5" x14ac:dyDescent="0.3">
      <c r="A576" s="1">
        <v>31987</v>
      </c>
      <c r="B576">
        <v>12.05</v>
      </c>
      <c r="C576">
        <v>8.94</v>
      </c>
      <c r="D576">
        <v>8.9</v>
      </c>
      <c r="E576">
        <v>5.88</v>
      </c>
    </row>
    <row r="577" spans="1:5" x14ac:dyDescent="0.3">
      <c r="A577" s="1">
        <v>31988</v>
      </c>
      <c r="B577">
        <v>12.43</v>
      </c>
      <c r="C577">
        <v>9.08</v>
      </c>
      <c r="D577">
        <v>8.89</v>
      </c>
      <c r="E577">
        <v>6.07</v>
      </c>
    </row>
    <row r="578" spans="1:5" x14ac:dyDescent="0.3">
      <c r="A578" s="1">
        <v>31989</v>
      </c>
      <c r="B578">
        <v>12.5</v>
      </c>
      <c r="C578">
        <v>9.0500000000000007</v>
      </c>
      <c r="D578">
        <v>8.93</v>
      </c>
      <c r="E578">
        <v>6.07</v>
      </c>
    </row>
    <row r="579" spans="1:5" x14ac:dyDescent="0.3">
      <c r="A579" s="1">
        <v>31990</v>
      </c>
      <c r="B579" t="e">
        <v>#N/A</v>
      </c>
      <c r="C579" t="e">
        <v>#N/A</v>
      </c>
      <c r="D579" t="e">
        <v>#N/A</v>
      </c>
      <c r="E579" t="e">
        <v>#N/A</v>
      </c>
    </row>
    <row r="580" spans="1:5" x14ac:dyDescent="0.3">
      <c r="A580" s="1">
        <v>31991</v>
      </c>
      <c r="B580" t="e">
        <v>#N/A</v>
      </c>
      <c r="C580" t="e">
        <v>#N/A</v>
      </c>
      <c r="D580" t="e">
        <v>#N/A</v>
      </c>
      <c r="E580" t="e">
        <v>#N/A</v>
      </c>
    </row>
    <row r="581" spans="1:5" x14ac:dyDescent="0.3">
      <c r="A581" s="1">
        <v>31992</v>
      </c>
      <c r="B581">
        <v>12.65</v>
      </c>
      <c r="C581">
        <v>0</v>
      </c>
      <c r="D581">
        <v>9.2200000000000006</v>
      </c>
      <c r="E581">
        <v>6.05</v>
      </c>
    </row>
    <row r="582" spans="1:5" x14ac:dyDescent="0.3">
      <c r="A582" s="1">
        <v>31993</v>
      </c>
      <c r="B582">
        <v>12.5</v>
      </c>
      <c r="C582">
        <v>9.07</v>
      </c>
      <c r="D582">
        <v>9.2200000000000006</v>
      </c>
      <c r="E582">
        <v>5.85</v>
      </c>
    </row>
    <row r="583" spans="1:5" x14ac:dyDescent="0.3">
      <c r="A583" s="1">
        <v>31994</v>
      </c>
      <c r="B583">
        <v>12.2</v>
      </c>
      <c r="C583">
        <v>8.91</v>
      </c>
      <c r="D583">
        <v>9.06</v>
      </c>
      <c r="E583">
        <v>5.85</v>
      </c>
    </row>
    <row r="584" spans="1:5" x14ac:dyDescent="0.3">
      <c r="A584" s="1">
        <v>31995</v>
      </c>
      <c r="B584">
        <v>12</v>
      </c>
      <c r="C584">
        <v>8.9</v>
      </c>
      <c r="D584">
        <v>9.0500000000000007</v>
      </c>
      <c r="E584">
        <v>5.74</v>
      </c>
    </row>
    <row r="585" spans="1:5" x14ac:dyDescent="0.3">
      <c r="A585" s="1">
        <v>31996</v>
      </c>
      <c r="B585">
        <v>12</v>
      </c>
      <c r="C585">
        <v>8.8000000000000007</v>
      </c>
      <c r="D585">
        <v>9.85</v>
      </c>
      <c r="E585">
        <v>5.85</v>
      </c>
    </row>
    <row r="586" spans="1:5" x14ac:dyDescent="0.3">
      <c r="A586" s="1">
        <v>31997</v>
      </c>
      <c r="B586" t="e">
        <v>#N/A</v>
      </c>
      <c r="C586" t="e">
        <v>#N/A</v>
      </c>
      <c r="D586" t="e">
        <v>#N/A</v>
      </c>
      <c r="E586" t="e">
        <v>#N/A</v>
      </c>
    </row>
    <row r="587" spans="1:5" x14ac:dyDescent="0.3">
      <c r="A587" s="1">
        <v>31998</v>
      </c>
      <c r="B587" t="e">
        <v>#N/A</v>
      </c>
      <c r="C587" t="e">
        <v>#N/A</v>
      </c>
      <c r="D587" t="e">
        <v>#N/A</v>
      </c>
      <c r="E587" t="e">
        <v>#N/A</v>
      </c>
    </row>
    <row r="588" spans="1:5" x14ac:dyDescent="0.3">
      <c r="A588" s="1">
        <v>31999</v>
      </c>
      <c r="B588">
        <v>12.35</v>
      </c>
      <c r="C588">
        <v>8.83</v>
      </c>
      <c r="D588">
        <v>9.9</v>
      </c>
      <c r="E588">
        <v>5.91</v>
      </c>
    </row>
    <row r="589" spans="1:5" x14ac:dyDescent="0.3">
      <c r="A589" s="1">
        <v>32000</v>
      </c>
      <c r="B589">
        <v>12.55</v>
      </c>
      <c r="C589">
        <v>8.83</v>
      </c>
      <c r="D589">
        <v>9.85</v>
      </c>
      <c r="E589">
        <v>5.94</v>
      </c>
    </row>
    <row r="590" spans="1:5" x14ac:dyDescent="0.3">
      <c r="A590" s="1">
        <v>32001</v>
      </c>
      <c r="B590">
        <v>12.03</v>
      </c>
      <c r="C590">
        <v>8.84</v>
      </c>
      <c r="D590">
        <v>9.8000000000000007</v>
      </c>
      <c r="E590">
        <v>5.95</v>
      </c>
    </row>
    <row r="591" spans="1:5" x14ac:dyDescent="0.3">
      <c r="A591" s="1">
        <v>32002</v>
      </c>
      <c r="B591">
        <v>12</v>
      </c>
      <c r="C591">
        <v>8.8800000000000008</v>
      </c>
      <c r="D591">
        <v>9.7799999999999994</v>
      </c>
      <c r="E591">
        <v>5.96</v>
      </c>
    </row>
    <row r="592" spans="1:5" x14ac:dyDescent="0.3">
      <c r="A592" s="1">
        <v>32003</v>
      </c>
      <c r="B592">
        <v>11.6</v>
      </c>
      <c r="C592">
        <v>8.91</v>
      </c>
      <c r="D592">
        <v>9.7899999999999991</v>
      </c>
      <c r="E592">
        <v>5.96</v>
      </c>
    </row>
    <row r="593" spans="1:5" x14ac:dyDescent="0.3">
      <c r="A593" s="1">
        <v>32004</v>
      </c>
      <c r="B593" t="e">
        <v>#N/A</v>
      </c>
      <c r="C593" t="e">
        <v>#N/A</v>
      </c>
      <c r="D593" t="e">
        <v>#N/A</v>
      </c>
      <c r="E593" t="e">
        <v>#N/A</v>
      </c>
    </row>
    <row r="594" spans="1:5" x14ac:dyDescent="0.3">
      <c r="A594" s="1">
        <v>32005</v>
      </c>
      <c r="B594" t="e">
        <v>#N/A</v>
      </c>
      <c r="C594" t="e">
        <v>#N/A</v>
      </c>
      <c r="D594" t="e">
        <v>#N/A</v>
      </c>
      <c r="E594" t="e">
        <v>#N/A</v>
      </c>
    </row>
    <row r="595" spans="1:5" x14ac:dyDescent="0.3">
      <c r="A595" s="1">
        <v>32006</v>
      </c>
      <c r="B595">
        <v>11.78</v>
      </c>
      <c r="C595">
        <v>8.92</v>
      </c>
      <c r="D595">
        <v>9.73</v>
      </c>
      <c r="E595">
        <v>5.98</v>
      </c>
    </row>
    <row r="596" spans="1:5" x14ac:dyDescent="0.3">
      <c r="A596" s="1">
        <v>32007</v>
      </c>
      <c r="B596">
        <v>12.65</v>
      </c>
      <c r="C596">
        <v>9</v>
      </c>
      <c r="D596">
        <v>9.8000000000000007</v>
      </c>
      <c r="E596">
        <v>6.02</v>
      </c>
    </row>
    <row r="597" spans="1:5" x14ac:dyDescent="0.3">
      <c r="A597" s="1">
        <v>32008</v>
      </c>
      <c r="B597">
        <v>12.3</v>
      </c>
      <c r="C597">
        <v>9</v>
      </c>
      <c r="D597">
        <v>9.81</v>
      </c>
      <c r="E597">
        <v>6.04</v>
      </c>
    </row>
    <row r="598" spans="1:5" x14ac:dyDescent="0.3">
      <c r="A598" s="1">
        <v>32009</v>
      </c>
      <c r="B598">
        <v>12.2</v>
      </c>
      <c r="C598">
        <v>9</v>
      </c>
      <c r="D598">
        <v>9.81</v>
      </c>
      <c r="E598">
        <v>6.11</v>
      </c>
    </row>
    <row r="599" spans="1:5" x14ac:dyDescent="0.3">
      <c r="A599" s="1">
        <v>32010</v>
      </c>
      <c r="B599">
        <v>12.23</v>
      </c>
      <c r="C599">
        <v>8.99</v>
      </c>
      <c r="D599">
        <v>9.8699999999999992</v>
      </c>
      <c r="E599">
        <v>6.1</v>
      </c>
    </row>
    <row r="600" spans="1:5" x14ac:dyDescent="0.3">
      <c r="A600" s="1">
        <v>32011</v>
      </c>
      <c r="B600" t="e">
        <v>#N/A</v>
      </c>
      <c r="C600" t="e">
        <v>#N/A</v>
      </c>
      <c r="D600" t="e">
        <v>#N/A</v>
      </c>
      <c r="E600" t="e">
        <v>#N/A</v>
      </c>
    </row>
    <row r="601" spans="1:5" x14ac:dyDescent="0.3">
      <c r="A601" s="1">
        <v>32012</v>
      </c>
      <c r="B601" t="e">
        <v>#N/A</v>
      </c>
      <c r="C601" t="e">
        <v>#N/A</v>
      </c>
      <c r="D601" t="e">
        <v>#N/A</v>
      </c>
      <c r="E601" t="e">
        <v>#N/A</v>
      </c>
    </row>
    <row r="602" spans="1:5" x14ac:dyDescent="0.3">
      <c r="A602" s="1">
        <v>32013</v>
      </c>
      <c r="B602">
        <v>12.13</v>
      </c>
      <c r="C602">
        <v>8.99</v>
      </c>
      <c r="D602">
        <v>9.8800000000000008</v>
      </c>
      <c r="E602">
        <v>6.17</v>
      </c>
    </row>
    <row r="603" spans="1:5" x14ac:dyDescent="0.3">
      <c r="A603" s="1">
        <v>32014</v>
      </c>
      <c r="B603">
        <v>12.05</v>
      </c>
      <c r="C603">
        <v>8.9600000000000009</v>
      </c>
      <c r="D603">
        <v>9.9</v>
      </c>
      <c r="E603">
        <v>6.18</v>
      </c>
    </row>
    <row r="604" spans="1:5" x14ac:dyDescent="0.3">
      <c r="A604" s="1">
        <v>32015</v>
      </c>
      <c r="B604">
        <v>12</v>
      </c>
      <c r="C604">
        <v>8.98</v>
      </c>
      <c r="D604">
        <v>9.9600000000000009</v>
      </c>
      <c r="E604">
        <v>6.25</v>
      </c>
    </row>
    <row r="605" spans="1:5" x14ac:dyDescent="0.3">
      <c r="A605" s="1">
        <v>32016</v>
      </c>
      <c r="B605">
        <v>12.18</v>
      </c>
      <c r="C605">
        <v>9.02</v>
      </c>
      <c r="D605">
        <v>9.9700000000000006</v>
      </c>
      <c r="E605">
        <v>6.29</v>
      </c>
    </row>
    <row r="606" spans="1:5" x14ac:dyDescent="0.3">
      <c r="A606" s="1">
        <v>32017</v>
      </c>
      <c r="B606">
        <v>12</v>
      </c>
      <c r="C606">
        <v>9.06</v>
      </c>
      <c r="D606">
        <v>10.06</v>
      </c>
      <c r="E606">
        <v>6.31</v>
      </c>
    </row>
    <row r="607" spans="1:5" x14ac:dyDescent="0.3">
      <c r="A607" s="1">
        <v>32018</v>
      </c>
      <c r="B607" t="e">
        <v>#N/A</v>
      </c>
      <c r="C607" t="e">
        <v>#N/A</v>
      </c>
      <c r="D607" t="e">
        <v>#N/A</v>
      </c>
      <c r="E607" t="e">
        <v>#N/A</v>
      </c>
    </row>
    <row r="608" spans="1:5" x14ac:dyDescent="0.3">
      <c r="A608" s="1">
        <v>32019</v>
      </c>
      <c r="B608" t="e">
        <v>#N/A</v>
      </c>
      <c r="C608" t="e">
        <v>#N/A</v>
      </c>
      <c r="D608" t="e">
        <v>#N/A</v>
      </c>
      <c r="E608" t="e">
        <v>#N/A</v>
      </c>
    </row>
    <row r="609" spans="1:5" x14ac:dyDescent="0.3">
      <c r="A609" s="1">
        <v>32020</v>
      </c>
      <c r="B609">
        <v>12.05</v>
      </c>
      <c r="C609">
        <v>9.06</v>
      </c>
      <c r="D609">
        <v>10.06</v>
      </c>
      <c r="E609">
        <v>6.25</v>
      </c>
    </row>
    <row r="610" spans="1:5" x14ac:dyDescent="0.3">
      <c r="A610" s="1">
        <v>32021</v>
      </c>
      <c r="B610">
        <v>12.05</v>
      </c>
      <c r="C610">
        <v>9.0500000000000007</v>
      </c>
      <c r="D610">
        <v>9.99</v>
      </c>
      <c r="E610">
        <v>6.12</v>
      </c>
    </row>
    <row r="611" spans="1:5" x14ac:dyDescent="0.3">
      <c r="A611" s="1">
        <v>32022</v>
      </c>
      <c r="B611">
        <v>11.9</v>
      </c>
      <c r="C611">
        <v>9.06</v>
      </c>
      <c r="D611">
        <v>9.89</v>
      </c>
      <c r="E611">
        <v>6.09</v>
      </c>
    </row>
    <row r="612" spans="1:5" x14ac:dyDescent="0.3">
      <c r="A612" s="1">
        <v>32023</v>
      </c>
      <c r="B612">
        <v>11.8</v>
      </c>
      <c r="C612">
        <v>9.07</v>
      </c>
      <c r="D612">
        <v>9.86</v>
      </c>
      <c r="E612">
        <v>6.19</v>
      </c>
    </row>
    <row r="613" spans="1:5" x14ac:dyDescent="0.3">
      <c r="A613" s="1">
        <v>32024</v>
      </c>
      <c r="B613">
        <v>11.75</v>
      </c>
      <c r="C613">
        <v>9.0399999999999991</v>
      </c>
      <c r="D613">
        <v>9.86</v>
      </c>
      <c r="E613">
        <v>6.38</v>
      </c>
    </row>
    <row r="614" spans="1:5" x14ac:dyDescent="0.3">
      <c r="A614" s="1">
        <v>32025</v>
      </c>
      <c r="B614" t="e">
        <v>#N/A</v>
      </c>
      <c r="C614" t="e">
        <v>#N/A</v>
      </c>
      <c r="D614" t="e">
        <v>#N/A</v>
      </c>
      <c r="E614" t="e">
        <v>#N/A</v>
      </c>
    </row>
    <row r="615" spans="1:5" x14ac:dyDescent="0.3">
      <c r="A615" s="1">
        <v>32026</v>
      </c>
      <c r="B615" t="e">
        <v>#N/A</v>
      </c>
      <c r="C615" t="e">
        <v>#N/A</v>
      </c>
      <c r="D615" t="e">
        <v>#N/A</v>
      </c>
      <c r="E615" t="e">
        <v>#N/A</v>
      </c>
    </row>
    <row r="616" spans="1:5" x14ac:dyDescent="0.3">
      <c r="A616" s="1">
        <v>32027</v>
      </c>
      <c r="B616">
        <v>11.95</v>
      </c>
      <c r="C616">
        <v>0</v>
      </c>
      <c r="D616">
        <v>9.83</v>
      </c>
      <c r="E616">
        <v>0</v>
      </c>
    </row>
    <row r="617" spans="1:5" x14ac:dyDescent="0.3">
      <c r="A617" s="1">
        <v>32028</v>
      </c>
      <c r="B617">
        <v>12.1</v>
      </c>
      <c r="C617">
        <v>9.09</v>
      </c>
      <c r="D617">
        <v>9.81</v>
      </c>
      <c r="E617">
        <v>6.44</v>
      </c>
    </row>
    <row r="618" spans="1:5" x14ac:dyDescent="0.3">
      <c r="A618" s="1">
        <v>32029</v>
      </c>
      <c r="B618">
        <v>12.38</v>
      </c>
      <c r="C618">
        <v>9.14</v>
      </c>
      <c r="D618">
        <v>9.84</v>
      </c>
      <c r="E618">
        <v>6.43</v>
      </c>
    </row>
    <row r="619" spans="1:5" x14ac:dyDescent="0.3">
      <c r="A619" s="1">
        <v>32030</v>
      </c>
      <c r="B619">
        <v>12</v>
      </c>
      <c r="C619">
        <v>9.2100000000000009</v>
      </c>
      <c r="D619">
        <v>9.83</v>
      </c>
      <c r="E619">
        <v>6.33</v>
      </c>
    </row>
    <row r="620" spans="1:5" x14ac:dyDescent="0.3">
      <c r="A620" s="1">
        <v>32031</v>
      </c>
      <c r="B620">
        <v>11.95</v>
      </c>
      <c r="C620">
        <v>9.19</v>
      </c>
      <c r="D620">
        <v>9.82</v>
      </c>
      <c r="E620">
        <v>6.35</v>
      </c>
    </row>
    <row r="621" spans="1:5" x14ac:dyDescent="0.3">
      <c r="A621" s="1">
        <v>32032</v>
      </c>
      <c r="B621" t="e">
        <v>#N/A</v>
      </c>
      <c r="C621" t="e">
        <v>#N/A</v>
      </c>
      <c r="D621" t="e">
        <v>#N/A</v>
      </c>
      <c r="E621" t="e">
        <v>#N/A</v>
      </c>
    </row>
    <row r="622" spans="1:5" x14ac:dyDescent="0.3">
      <c r="A622" s="1">
        <v>32033</v>
      </c>
      <c r="B622" t="e">
        <v>#N/A</v>
      </c>
      <c r="C622" t="e">
        <v>#N/A</v>
      </c>
      <c r="D622" t="e">
        <v>#N/A</v>
      </c>
      <c r="E622" t="e">
        <v>#N/A</v>
      </c>
    </row>
    <row r="623" spans="1:5" x14ac:dyDescent="0.3">
      <c r="A623" s="1">
        <v>32034</v>
      </c>
      <c r="B623">
        <v>11.98</v>
      </c>
      <c r="C623">
        <v>9.15</v>
      </c>
      <c r="D623">
        <v>9.8000000000000007</v>
      </c>
      <c r="E623">
        <v>6.34</v>
      </c>
    </row>
    <row r="624" spans="1:5" x14ac:dyDescent="0.3">
      <c r="A624" s="1">
        <v>32035</v>
      </c>
      <c r="B624">
        <v>12.18</v>
      </c>
      <c r="C624">
        <v>9.16</v>
      </c>
      <c r="D624">
        <v>9.8000000000000007</v>
      </c>
      <c r="E624">
        <v>6.34</v>
      </c>
    </row>
    <row r="625" spans="1:5" x14ac:dyDescent="0.3">
      <c r="A625" s="1">
        <v>32036</v>
      </c>
      <c r="B625">
        <v>12.2</v>
      </c>
      <c r="C625">
        <v>9.19</v>
      </c>
      <c r="D625">
        <v>9.7799999999999994</v>
      </c>
      <c r="E625">
        <v>6.34</v>
      </c>
    </row>
    <row r="626" spans="1:5" x14ac:dyDescent="0.3">
      <c r="A626" s="1">
        <v>32037</v>
      </c>
      <c r="B626">
        <v>12.58</v>
      </c>
      <c r="C626">
        <v>9.17</v>
      </c>
      <c r="D626">
        <v>9.75</v>
      </c>
      <c r="E626">
        <v>6.38</v>
      </c>
    </row>
    <row r="627" spans="1:5" x14ac:dyDescent="0.3">
      <c r="A627" s="1">
        <v>32038</v>
      </c>
      <c r="B627">
        <v>11.5</v>
      </c>
      <c r="C627">
        <v>9.17</v>
      </c>
      <c r="D627">
        <v>9.74</v>
      </c>
      <c r="E627">
        <v>6.42</v>
      </c>
    </row>
    <row r="628" spans="1:5" x14ac:dyDescent="0.3">
      <c r="A628" s="1">
        <v>32039</v>
      </c>
      <c r="B628" t="e">
        <v>#N/A</v>
      </c>
      <c r="C628" t="e">
        <v>#N/A</v>
      </c>
      <c r="D628" t="e">
        <v>#N/A</v>
      </c>
      <c r="E628" t="e">
        <v>#N/A</v>
      </c>
    </row>
    <row r="629" spans="1:5" x14ac:dyDescent="0.3">
      <c r="A629" s="1">
        <v>32040</v>
      </c>
      <c r="B629" t="e">
        <v>#N/A</v>
      </c>
      <c r="C629" t="e">
        <v>#N/A</v>
      </c>
      <c r="D629" t="e">
        <v>#N/A</v>
      </c>
      <c r="E629" t="e">
        <v>#N/A</v>
      </c>
    </row>
    <row r="630" spans="1:5" x14ac:dyDescent="0.3">
      <c r="A630" s="1">
        <v>32041</v>
      </c>
      <c r="B630">
        <v>11.5</v>
      </c>
      <c r="C630">
        <v>9.2100000000000009</v>
      </c>
      <c r="D630">
        <v>9.7100000000000009</v>
      </c>
      <c r="E630">
        <v>6.51</v>
      </c>
    </row>
    <row r="631" spans="1:5" x14ac:dyDescent="0.3">
      <c r="A631" s="1">
        <v>32042</v>
      </c>
      <c r="B631">
        <v>11.55</v>
      </c>
      <c r="C631">
        <v>9.2200000000000006</v>
      </c>
      <c r="D631">
        <v>9.7200000000000006</v>
      </c>
      <c r="E631">
        <v>6.49</v>
      </c>
    </row>
    <row r="632" spans="1:5" x14ac:dyDescent="0.3">
      <c r="A632" s="1">
        <v>32043</v>
      </c>
      <c r="B632">
        <v>11.43</v>
      </c>
      <c r="C632">
        <v>9.2899999999999991</v>
      </c>
      <c r="D632">
        <v>9.76</v>
      </c>
      <c r="E632">
        <v>6.47</v>
      </c>
    </row>
    <row r="633" spans="1:5" x14ac:dyDescent="0.3">
      <c r="A633" s="1">
        <v>32044</v>
      </c>
      <c r="B633">
        <v>11.7</v>
      </c>
      <c r="C633">
        <v>9.35</v>
      </c>
      <c r="D633">
        <v>9.77</v>
      </c>
      <c r="E633">
        <v>6.41</v>
      </c>
    </row>
    <row r="634" spans="1:5" x14ac:dyDescent="0.3">
      <c r="A634" s="1">
        <v>32045</v>
      </c>
      <c r="B634">
        <v>11.1</v>
      </c>
      <c r="C634">
        <v>9.34</v>
      </c>
      <c r="D634">
        <v>9.83</v>
      </c>
      <c r="E634">
        <v>6.5</v>
      </c>
    </row>
    <row r="635" spans="1:5" x14ac:dyDescent="0.3">
      <c r="A635" s="1">
        <v>32046</v>
      </c>
      <c r="B635" t="e">
        <v>#N/A</v>
      </c>
      <c r="C635" t="e">
        <v>#N/A</v>
      </c>
      <c r="D635" t="e">
        <v>#N/A</v>
      </c>
      <c r="E635" t="e">
        <v>#N/A</v>
      </c>
    </row>
    <row r="636" spans="1:5" x14ac:dyDescent="0.3">
      <c r="A636" s="1">
        <v>32047</v>
      </c>
      <c r="B636" t="e">
        <v>#N/A</v>
      </c>
      <c r="C636" t="e">
        <v>#N/A</v>
      </c>
      <c r="D636" t="e">
        <v>#N/A</v>
      </c>
      <c r="E636" t="e">
        <v>#N/A</v>
      </c>
    </row>
    <row r="637" spans="1:5" x14ac:dyDescent="0.3">
      <c r="A637" s="1">
        <v>32048</v>
      </c>
      <c r="B637">
        <v>11.18</v>
      </c>
      <c r="C637">
        <v>9.34</v>
      </c>
      <c r="D637">
        <v>9.83</v>
      </c>
      <c r="E637">
        <v>6.53</v>
      </c>
    </row>
    <row r="638" spans="1:5" x14ac:dyDescent="0.3">
      <c r="A638" s="1">
        <v>32049</v>
      </c>
      <c r="B638">
        <v>11.28</v>
      </c>
      <c r="C638">
        <v>9.36</v>
      </c>
      <c r="D638">
        <v>9.84</v>
      </c>
      <c r="E638">
        <v>6.69</v>
      </c>
    </row>
    <row r="639" spans="1:5" x14ac:dyDescent="0.3">
      <c r="A639" s="1">
        <v>32050</v>
      </c>
      <c r="B639">
        <v>11.63</v>
      </c>
      <c r="C639">
        <v>9.39</v>
      </c>
      <c r="D639">
        <v>9.8699999999999992</v>
      </c>
      <c r="E639">
        <v>6.61</v>
      </c>
    </row>
    <row r="640" spans="1:5" x14ac:dyDescent="0.3">
      <c r="A640" s="1">
        <v>32051</v>
      </c>
      <c r="B640">
        <v>11.4</v>
      </c>
      <c r="C640">
        <v>9.3699999999999992</v>
      </c>
      <c r="D640">
        <v>9.84</v>
      </c>
      <c r="E640">
        <v>6.63</v>
      </c>
    </row>
    <row r="641" spans="1:5" x14ac:dyDescent="0.3">
      <c r="A641" s="1">
        <v>32052</v>
      </c>
      <c r="B641">
        <v>11.18</v>
      </c>
      <c r="C641">
        <v>9.36</v>
      </c>
      <c r="D641">
        <v>9.8699999999999992</v>
      </c>
      <c r="E641">
        <v>6.66</v>
      </c>
    </row>
    <row r="642" spans="1:5" x14ac:dyDescent="0.3">
      <c r="A642" s="1">
        <v>32053</v>
      </c>
      <c r="B642" t="e">
        <v>#N/A</v>
      </c>
      <c r="C642" t="e">
        <v>#N/A</v>
      </c>
      <c r="D642" t="e">
        <v>#N/A</v>
      </c>
      <c r="E642" t="e">
        <v>#N/A</v>
      </c>
    </row>
    <row r="643" spans="1:5" x14ac:dyDescent="0.3">
      <c r="A643" s="1">
        <v>32054</v>
      </c>
      <c r="B643" t="e">
        <v>#N/A</v>
      </c>
      <c r="C643" t="e">
        <v>#N/A</v>
      </c>
      <c r="D643" t="e">
        <v>#N/A</v>
      </c>
      <c r="E643" t="e">
        <v>#N/A</v>
      </c>
    </row>
    <row r="644" spans="1:5" x14ac:dyDescent="0.3">
      <c r="A644" s="1">
        <v>32055</v>
      </c>
      <c r="B644">
        <v>11.05</v>
      </c>
      <c r="C644">
        <v>9.34</v>
      </c>
      <c r="D644">
        <v>9.82</v>
      </c>
      <c r="E644">
        <v>6.68</v>
      </c>
    </row>
    <row r="645" spans="1:5" x14ac:dyDescent="0.3">
      <c r="A645" s="1">
        <v>32056</v>
      </c>
      <c r="B645">
        <v>10.98</v>
      </c>
      <c r="C645">
        <v>9.35</v>
      </c>
      <c r="D645">
        <v>9.81</v>
      </c>
      <c r="E645">
        <v>6.55</v>
      </c>
    </row>
    <row r="646" spans="1:5" x14ac:dyDescent="0.3">
      <c r="A646" s="1">
        <v>32057</v>
      </c>
      <c r="B646">
        <v>11.18</v>
      </c>
      <c r="C646">
        <v>9.35</v>
      </c>
      <c r="D646">
        <v>9.83</v>
      </c>
      <c r="E646">
        <v>6.56</v>
      </c>
    </row>
    <row r="647" spans="1:5" x14ac:dyDescent="0.3">
      <c r="A647" s="1">
        <v>32058</v>
      </c>
      <c r="B647">
        <v>11.28</v>
      </c>
      <c r="C647">
        <v>9.5299999999999994</v>
      </c>
      <c r="D647">
        <v>9.85</v>
      </c>
      <c r="E647">
        <v>6.69</v>
      </c>
    </row>
    <row r="648" spans="1:5" x14ac:dyDescent="0.3">
      <c r="A648" s="1">
        <v>32059</v>
      </c>
      <c r="B648">
        <v>11.4</v>
      </c>
      <c r="C648">
        <v>9.6</v>
      </c>
      <c r="D648">
        <v>9.86</v>
      </c>
      <c r="E648">
        <v>6.75</v>
      </c>
    </row>
    <row r="649" spans="1:5" x14ac:dyDescent="0.3">
      <c r="A649" s="1">
        <v>32060</v>
      </c>
      <c r="B649" t="e">
        <v>#N/A</v>
      </c>
      <c r="C649" t="e">
        <v>#N/A</v>
      </c>
      <c r="D649" t="e">
        <v>#N/A</v>
      </c>
      <c r="E649" t="e">
        <v>#N/A</v>
      </c>
    </row>
    <row r="650" spans="1:5" x14ac:dyDescent="0.3">
      <c r="A650" s="1">
        <v>32061</v>
      </c>
      <c r="B650" t="e">
        <v>#N/A</v>
      </c>
      <c r="C650" t="e">
        <v>#N/A</v>
      </c>
      <c r="D650" t="e">
        <v>#N/A</v>
      </c>
      <c r="E650" t="e">
        <v>#N/A</v>
      </c>
    </row>
    <row r="651" spans="1:5" x14ac:dyDescent="0.3">
      <c r="A651" s="1">
        <v>32062</v>
      </c>
      <c r="B651">
        <v>11.23</v>
      </c>
      <c r="C651">
        <v>0</v>
      </c>
      <c r="D651">
        <v>9.85</v>
      </c>
      <c r="E651">
        <v>0</v>
      </c>
    </row>
    <row r="652" spans="1:5" x14ac:dyDescent="0.3">
      <c r="A652" s="1">
        <v>32063</v>
      </c>
      <c r="B652">
        <v>11.15</v>
      </c>
      <c r="C652">
        <v>9.5500000000000007</v>
      </c>
      <c r="D652">
        <v>9.84</v>
      </c>
      <c r="E652">
        <v>6.74</v>
      </c>
    </row>
    <row r="653" spans="1:5" x14ac:dyDescent="0.3">
      <c r="A653" s="1">
        <v>32064</v>
      </c>
      <c r="B653">
        <v>10.98</v>
      </c>
      <c r="C653">
        <v>9.58</v>
      </c>
      <c r="D653">
        <v>9.81</v>
      </c>
      <c r="E653">
        <v>7.19</v>
      </c>
    </row>
    <row r="654" spans="1:5" x14ac:dyDescent="0.3">
      <c r="A654" s="1">
        <v>32065</v>
      </c>
      <c r="B654">
        <v>11.23</v>
      </c>
      <c r="C654">
        <v>9.67</v>
      </c>
      <c r="D654">
        <v>9.83</v>
      </c>
      <c r="E654">
        <v>7.07</v>
      </c>
    </row>
    <row r="655" spans="1:5" x14ac:dyDescent="0.3">
      <c r="A655" s="1">
        <v>32066</v>
      </c>
      <c r="B655">
        <v>11.13</v>
      </c>
      <c r="C655">
        <v>9.6</v>
      </c>
      <c r="D655">
        <v>9.84</v>
      </c>
      <c r="E655">
        <v>6.93</v>
      </c>
    </row>
    <row r="656" spans="1:5" x14ac:dyDescent="0.3">
      <c r="A656" s="1">
        <v>32067</v>
      </c>
      <c r="B656" t="e">
        <v>#N/A</v>
      </c>
      <c r="C656" t="e">
        <v>#N/A</v>
      </c>
      <c r="D656" t="e">
        <v>#N/A</v>
      </c>
      <c r="E656" t="e">
        <v>#N/A</v>
      </c>
    </row>
    <row r="657" spans="1:5" x14ac:dyDescent="0.3">
      <c r="A657" s="1">
        <v>32068</v>
      </c>
      <c r="B657" t="e">
        <v>#N/A</v>
      </c>
      <c r="C657" t="e">
        <v>#N/A</v>
      </c>
      <c r="D657" t="e">
        <v>#N/A</v>
      </c>
      <c r="E657" t="e">
        <v>#N/A</v>
      </c>
    </row>
    <row r="658" spans="1:5" x14ac:dyDescent="0.3">
      <c r="A658" s="1">
        <v>32069</v>
      </c>
      <c r="B658">
        <v>11.05</v>
      </c>
      <c r="C658">
        <v>9.42</v>
      </c>
      <c r="D658">
        <v>9.9</v>
      </c>
      <c r="E658">
        <v>6.39</v>
      </c>
    </row>
    <row r="659" spans="1:5" x14ac:dyDescent="0.3">
      <c r="A659" s="1">
        <v>32070</v>
      </c>
      <c r="B659">
        <v>12.63</v>
      </c>
      <c r="C659">
        <v>8.65</v>
      </c>
      <c r="D659">
        <v>9.89</v>
      </c>
      <c r="E659">
        <v>5.86</v>
      </c>
    </row>
    <row r="660" spans="1:5" x14ac:dyDescent="0.3">
      <c r="A660" s="1">
        <v>32071</v>
      </c>
      <c r="B660">
        <v>12.25</v>
      </c>
      <c r="C660">
        <v>8.14</v>
      </c>
      <c r="D660">
        <v>9.84</v>
      </c>
      <c r="E660">
        <v>5.6</v>
      </c>
    </row>
    <row r="661" spans="1:5" x14ac:dyDescent="0.3">
      <c r="A661" s="1">
        <v>32072</v>
      </c>
      <c r="B661">
        <v>11.63</v>
      </c>
      <c r="C661">
        <v>8.14</v>
      </c>
      <c r="D661">
        <v>9.8000000000000007</v>
      </c>
      <c r="E661">
        <v>5.36</v>
      </c>
    </row>
    <row r="662" spans="1:5" x14ac:dyDescent="0.3">
      <c r="A662" s="1">
        <v>32073</v>
      </c>
      <c r="B662">
        <v>11.48</v>
      </c>
      <c r="C662">
        <v>8.0299999999999994</v>
      </c>
      <c r="D662">
        <v>9.66</v>
      </c>
      <c r="E662">
        <v>5.29</v>
      </c>
    </row>
    <row r="663" spans="1:5" x14ac:dyDescent="0.3">
      <c r="A663" s="1">
        <v>32074</v>
      </c>
      <c r="B663" t="e">
        <v>#N/A</v>
      </c>
      <c r="C663" t="e">
        <v>#N/A</v>
      </c>
      <c r="D663" t="e">
        <v>#N/A</v>
      </c>
      <c r="E663" t="e">
        <v>#N/A</v>
      </c>
    </row>
    <row r="664" spans="1:5" x14ac:dyDescent="0.3">
      <c r="A664" s="1">
        <v>32075</v>
      </c>
      <c r="B664" t="e">
        <v>#N/A</v>
      </c>
      <c r="C664" t="e">
        <v>#N/A</v>
      </c>
      <c r="D664" t="e">
        <v>#N/A</v>
      </c>
      <c r="E664" t="e">
        <v>#N/A</v>
      </c>
    </row>
    <row r="665" spans="1:5" x14ac:dyDescent="0.3">
      <c r="A665" s="1">
        <v>32076</v>
      </c>
      <c r="B665">
        <v>10.75</v>
      </c>
      <c r="C665">
        <v>7.83</v>
      </c>
      <c r="D665">
        <v>8.7899999999999991</v>
      </c>
      <c r="E665">
        <v>5.22</v>
      </c>
    </row>
    <row r="666" spans="1:5" x14ac:dyDescent="0.3">
      <c r="A666" s="1">
        <v>32077</v>
      </c>
      <c r="B666">
        <v>8.5</v>
      </c>
      <c r="C666">
        <v>7.98</v>
      </c>
      <c r="D666">
        <v>9.09</v>
      </c>
      <c r="E666">
        <v>5.23</v>
      </c>
    </row>
    <row r="667" spans="1:5" x14ac:dyDescent="0.3">
      <c r="A667" s="1">
        <v>32078</v>
      </c>
      <c r="B667">
        <v>10.75</v>
      </c>
      <c r="C667">
        <v>8.0399999999999991</v>
      </c>
      <c r="D667">
        <v>8.8800000000000008</v>
      </c>
      <c r="E667">
        <v>5.0999999999999996</v>
      </c>
    </row>
    <row r="668" spans="1:5" x14ac:dyDescent="0.3">
      <c r="A668" s="1">
        <v>32079</v>
      </c>
      <c r="B668">
        <v>13.25</v>
      </c>
      <c r="C668">
        <v>7.81</v>
      </c>
      <c r="D668">
        <v>8.7799999999999994</v>
      </c>
      <c r="E668">
        <v>5.03</v>
      </c>
    </row>
    <row r="669" spans="1:5" x14ac:dyDescent="0.3">
      <c r="A669" s="1">
        <v>32080</v>
      </c>
      <c r="B669">
        <v>12.25</v>
      </c>
      <c r="C669">
        <v>7.73</v>
      </c>
      <c r="D669">
        <v>8.9700000000000006</v>
      </c>
      <c r="E669">
        <v>5.27</v>
      </c>
    </row>
    <row r="670" spans="1:5" x14ac:dyDescent="0.3">
      <c r="A670" s="1">
        <v>32081</v>
      </c>
      <c r="B670" t="e">
        <v>#N/A</v>
      </c>
      <c r="C670" t="e">
        <v>#N/A</v>
      </c>
      <c r="D670" t="e">
        <v>#N/A</v>
      </c>
      <c r="E670" t="e">
        <v>#N/A</v>
      </c>
    </row>
    <row r="671" spans="1:5" x14ac:dyDescent="0.3">
      <c r="A671" s="1">
        <v>32082</v>
      </c>
      <c r="B671" t="e">
        <v>#N/A</v>
      </c>
      <c r="C671" t="e">
        <v>#N/A</v>
      </c>
      <c r="D671" t="e">
        <v>#N/A</v>
      </c>
      <c r="E671" t="e">
        <v>#N/A</v>
      </c>
    </row>
    <row r="672" spans="1:5" x14ac:dyDescent="0.3">
      <c r="A672" s="1">
        <v>32083</v>
      </c>
      <c r="B672">
        <v>12.25</v>
      </c>
      <c r="C672">
        <v>7.9</v>
      </c>
      <c r="D672">
        <v>8.9700000000000006</v>
      </c>
      <c r="E672">
        <v>5.62</v>
      </c>
    </row>
    <row r="673" spans="1:5" x14ac:dyDescent="0.3">
      <c r="A673" s="1">
        <v>32084</v>
      </c>
      <c r="B673">
        <v>11.88</v>
      </c>
      <c r="C673">
        <v>8.09</v>
      </c>
      <c r="D673">
        <v>8.9700000000000006</v>
      </c>
      <c r="E673">
        <v>5.63</v>
      </c>
    </row>
    <row r="674" spans="1:5" x14ac:dyDescent="0.3">
      <c r="A674" s="1">
        <v>32085</v>
      </c>
      <c r="B674">
        <v>11.63</v>
      </c>
      <c r="C674">
        <v>8.0399999999999991</v>
      </c>
      <c r="D674">
        <v>8.94</v>
      </c>
      <c r="E674">
        <v>5.54</v>
      </c>
    </row>
    <row r="675" spans="1:5" x14ac:dyDescent="0.3">
      <c r="A675" s="1">
        <v>32086</v>
      </c>
      <c r="B675">
        <v>11.75</v>
      </c>
      <c r="C675">
        <v>8.1300000000000008</v>
      </c>
      <c r="D675">
        <v>8.5299999999999994</v>
      </c>
      <c r="E675">
        <v>5.58</v>
      </c>
    </row>
    <row r="676" spans="1:5" x14ac:dyDescent="0.3">
      <c r="A676" s="1">
        <v>32087</v>
      </c>
      <c r="B676">
        <v>11.75</v>
      </c>
      <c r="C676">
        <v>8.2799999999999994</v>
      </c>
      <c r="D676">
        <v>8.5299999999999994</v>
      </c>
      <c r="E676">
        <v>5.73</v>
      </c>
    </row>
    <row r="677" spans="1:5" x14ac:dyDescent="0.3">
      <c r="A677" s="1">
        <v>32088</v>
      </c>
      <c r="B677" t="e">
        <v>#N/A</v>
      </c>
      <c r="C677" t="e">
        <v>#N/A</v>
      </c>
      <c r="D677" t="e">
        <v>#N/A</v>
      </c>
      <c r="E677" t="e">
        <v>#N/A</v>
      </c>
    </row>
    <row r="678" spans="1:5" x14ac:dyDescent="0.3">
      <c r="A678" s="1">
        <v>32089</v>
      </c>
      <c r="B678" t="e">
        <v>#N/A</v>
      </c>
      <c r="C678" t="e">
        <v>#N/A</v>
      </c>
      <c r="D678" t="e">
        <v>#N/A</v>
      </c>
      <c r="E678" t="e">
        <v>#N/A</v>
      </c>
    </row>
    <row r="679" spans="1:5" x14ac:dyDescent="0.3">
      <c r="A679" s="1">
        <v>32090</v>
      </c>
      <c r="B679">
        <v>12.38</v>
      </c>
      <c r="C679">
        <v>8.36</v>
      </c>
      <c r="D679">
        <v>8.2799999999999994</v>
      </c>
      <c r="E679">
        <v>5.7</v>
      </c>
    </row>
    <row r="680" spans="1:5" x14ac:dyDescent="0.3">
      <c r="A680" s="1">
        <v>32091</v>
      </c>
      <c r="B680">
        <v>12.63</v>
      </c>
      <c r="C680">
        <v>8.32</v>
      </c>
      <c r="D680">
        <v>8.2200000000000006</v>
      </c>
      <c r="E680">
        <v>5.67</v>
      </c>
    </row>
    <row r="681" spans="1:5" x14ac:dyDescent="0.3">
      <c r="A681" s="1">
        <v>32092</v>
      </c>
      <c r="B681">
        <v>12.38</v>
      </c>
      <c r="C681">
        <v>0</v>
      </c>
      <c r="D681">
        <v>8.44</v>
      </c>
      <c r="E681">
        <v>0</v>
      </c>
    </row>
    <row r="682" spans="1:5" x14ac:dyDescent="0.3">
      <c r="A682" s="1">
        <v>32093</v>
      </c>
      <c r="B682">
        <v>11.38</v>
      </c>
      <c r="C682">
        <v>8.34</v>
      </c>
      <c r="D682">
        <v>8.61</v>
      </c>
      <c r="E682">
        <v>5.83</v>
      </c>
    </row>
    <row r="683" spans="1:5" x14ac:dyDescent="0.3">
      <c r="A683" s="1">
        <v>32094</v>
      </c>
      <c r="B683">
        <v>11.13</v>
      </c>
      <c r="C683">
        <v>8.31</v>
      </c>
      <c r="D683">
        <v>8.7100000000000009</v>
      </c>
      <c r="E683">
        <v>5.91</v>
      </c>
    </row>
    <row r="684" spans="1:5" x14ac:dyDescent="0.3">
      <c r="A684" s="1">
        <v>32095</v>
      </c>
      <c r="B684" t="e">
        <v>#N/A</v>
      </c>
      <c r="C684" t="e">
        <v>#N/A</v>
      </c>
      <c r="D684" t="e">
        <v>#N/A</v>
      </c>
      <c r="E684" t="e">
        <v>#N/A</v>
      </c>
    </row>
    <row r="685" spans="1:5" x14ac:dyDescent="0.3">
      <c r="A685" s="1">
        <v>32096</v>
      </c>
      <c r="B685" t="e">
        <v>#N/A</v>
      </c>
      <c r="C685" t="e">
        <v>#N/A</v>
      </c>
      <c r="D685" t="e">
        <v>#N/A</v>
      </c>
      <c r="E685" t="e">
        <v>#N/A</v>
      </c>
    </row>
    <row r="686" spans="1:5" x14ac:dyDescent="0.3">
      <c r="A686" s="1">
        <v>32097</v>
      </c>
      <c r="B686">
        <v>11.38</v>
      </c>
      <c r="C686">
        <v>8.3699999999999992</v>
      </c>
      <c r="D686">
        <v>8.65</v>
      </c>
      <c r="E686">
        <v>5.87</v>
      </c>
    </row>
    <row r="687" spans="1:5" x14ac:dyDescent="0.3">
      <c r="A687" s="1">
        <v>32098</v>
      </c>
      <c r="B687">
        <v>12.3</v>
      </c>
      <c r="C687">
        <v>8.33</v>
      </c>
      <c r="D687">
        <v>8.61</v>
      </c>
      <c r="E687">
        <v>5.88</v>
      </c>
    </row>
    <row r="688" spans="1:5" x14ac:dyDescent="0.3">
      <c r="A688" s="1">
        <v>32099</v>
      </c>
      <c r="B688">
        <v>11.25</v>
      </c>
      <c r="C688">
        <v>8.27</v>
      </c>
      <c r="D688">
        <v>8.58</v>
      </c>
      <c r="E688">
        <v>5.77</v>
      </c>
    </row>
    <row r="689" spans="1:5" x14ac:dyDescent="0.3">
      <c r="A689" s="1">
        <v>32100</v>
      </c>
      <c r="B689">
        <v>11.25</v>
      </c>
      <c r="C689">
        <v>8.2100000000000009</v>
      </c>
      <c r="D689">
        <v>8.58</v>
      </c>
      <c r="E689">
        <v>5.66</v>
      </c>
    </row>
    <row r="690" spans="1:5" x14ac:dyDescent="0.3">
      <c r="A690" s="1">
        <v>32101</v>
      </c>
      <c r="B690">
        <v>11.38</v>
      </c>
      <c r="C690">
        <v>8.24</v>
      </c>
      <c r="D690">
        <v>8.61</v>
      </c>
      <c r="E690">
        <v>5.72</v>
      </c>
    </row>
    <row r="691" spans="1:5" x14ac:dyDescent="0.3">
      <c r="A691" s="1">
        <v>32102</v>
      </c>
      <c r="B691" t="e">
        <v>#N/A</v>
      </c>
      <c r="C691" t="e">
        <v>#N/A</v>
      </c>
      <c r="D691" t="e">
        <v>#N/A</v>
      </c>
      <c r="E691" t="e">
        <v>#N/A</v>
      </c>
    </row>
    <row r="692" spans="1:5" x14ac:dyDescent="0.3">
      <c r="A692" s="1">
        <v>32103</v>
      </c>
      <c r="B692" t="e">
        <v>#N/A</v>
      </c>
      <c r="C692" t="e">
        <v>#N/A</v>
      </c>
      <c r="D692" t="e">
        <v>#N/A</v>
      </c>
      <c r="E692" t="e">
        <v>#N/A</v>
      </c>
    </row>
    <row r="693" spans="1:5" x14ac:dyDescent="0.3">
      <c r="A693" s="1">
        <v>32104</v>
      </c>
      <c r="B693">
        <v>11.48</v>
      </c>
      <c r="C693">
        <v>8.26</v>
      </c>
      <c r="D693">
        <v>8.61</v>
      </c>
      <c r="E693">
        <v>5.78</v>
      </c>
    </row>
    <row r="694" spans="1:5" x14ac:dyDescent="0.3">
      <c r="A694" s="1">
        <v>32105</v>
      </c>
      <c r="B694">
        <v>11.53</v>
      </c>
      <c r="C694">
        <v>8.27</v>
      </c>
      <c r="D694">
        <v>8.68</v>
      </c>
      <c r="E694">
        <v>5.77</v>
      </c>
    </row>
    <row r="695" spans="1:5" x14ac:dyDescent="0.3">
      <c r="A695" s="1">
        <v>32106</v>
      </c>
      <c r="B695">
        <v>11.25</v>
      </c>
      <c r="C695">
        <v>8.25</v>
      </c>
      <c r="D695">
        <v>8.7100000000000009</v>
      </c>
      <c r="E695">
        <v>5.7</v>
      </c>
    </row>
    <row r="696" spans="1:5" x14ac:dyDescent="0.3">
      <c r="A696" s="1">
        <v>32107</v>
      </c>
      <c r="B696">
        <v>11.3</v>
      </c>
      <c r="C696">
        <v>8.34</v>
      </c>
      <c r="D696">
        <v>8.6999999999999993</v>
      </c>
      <c r="E696">
        <v>0</v>
      </c>
    </row>
    <row r="697" spans="1:5" x14ac:dyDescent="0.3">
      <c r="A697" s="1">
        <v>32108</v>
      </c>
      <c r="B697">
        <v>11.55</v>
      </c>
      <c r="C697">
        <v>8.36</v>
      </c>
      <c r="D697">
        <v>8.68</v>
      </c>
      <c r="E697">
        <v>5.63</v>
      </c>
    </row>
    <row r="698" spans="1:5" x14ac:dyDescent="0.3">
      <c r="A698" s="1">
        <v>32109</v>
      </c>
      <c r="B698" t="e">
        <v>#N/A</v>
      </c>
      <c r="C698" t="e">
        <v>#N/A</v>
      </c>
      <c r="D698" t="e">
        <v>#N/A</v>
      </c>
      <c r="E698" t="e">
        <v>#N/A</v>
      </c>
    </row>
    <row r="699" spans="1:5" x14ac:dyDescent="0.3">
      <c r="A699" s="1">
        <v>32110</v>
      </c>
      <c r="B699" t="e">
        <v>#N/A</v>
      </c>
      <c r="C699" t="e">
        <v>#N/A</v>
      </c>
      <c r="D699" t="e">
        <v>#N/A</v>
      </c>
      <c r="E699" t="e">
        <v>#N/A</v>
      </c>
    </row>
    <row r="700" spans="1:5" x14ac:dyDescent="0.3">
      <c r="A700" s="1">
        <v>32111</v>
      </c>
      <c r="B700">
        <v>11.75</v>
      </c>
      <c r="C700">
        <v>8.34</v>
      </c>
      <c r="D700">
        <v>8.56</v>
      </c>
      <c r="E700">
        <v>5.21</v>
      </c>
    </row>
    <row r="701" spans="1:5" x14ac:dyDescent="0.3">
      <c r="A701" s="1">
        <v>32112</v>
      </c>
      <c r="B701">
        <v>12.13</v>
      </c>
      <c r="C701">
        <v>8.42</v>
      </c>
      <c r="D701">
        <v>8.56</v>
      </c>
      <c r="E701">
        <v>5.55</v>
      </c>
    </row>
    <row r="702" spans="1:5" x14ac:dyDescent="0.3">
      <c r="A702" s="1">
        <v>32113</v>
      </c>
      <c r="B702">
        <v>11.63</v>
      </c>
      <c r="C702">
        <v>8.44</v>
      </c>
      <c r="D702">
        <v>8.56</v>
      </c>
      <c r="E702">
        <v>5.49</v>
      </c>
    </row>
    <row r="703" spans="1:5" x14ac:dyDescent="0.3">
      <c r="A703" s="1">
        <v>32114</v>
      </c>
      <c r="B703">
        <v>11.18</v>
      </c>
      <c r="C703">
        <v>8.4700000000000006</v>
      </c>
      <c r="D703">
        <v>8.5</v>
      </c>
      <c r="E703">
        <v>5.36</v>
      </c>
    </row>
    <row r="704" spans="1:5" x14ac:dyDescent="0.3">
      <c r="A704" s="1">
        <v>32115</v>
      </c>
      <c r="B704">
        <v>10.88</v>
      </c>
      <c r="C704">
        <v>8.4499999999999993</v>
      </c>
      <c r="D704">
        <v>8.2200000000000006</v>
      </c>
      <c r="E704">
        <v>5.43</v>
      </c>
    </row>
    <row r="705" spans="1:5" x14ac:dyDescent="0.3">
      <c r="A705" s="1">
        <v>32116</v>
      </c>
      <c r="B705" t="e">
        <v>#N/A</v>
      </c>
      <c r="C705" t="e">
        <v>#N/A</v>
      </c>
      <c r="D705" t="e">
        <v>#N/A</v>
      </c>
      <c r="E705" t="e">
        <v>#N/A</v>
      </c>
    </row>
    <row r="706" spans="1:5" x14ac:dyDescent="0.3">
      <c r="A706" s="1">
        <v>32117</v>
      </c>
      <c r="B706" t="e">
        <v>#N/A</v>
      </c>
      <c r="C706" t="e">
        <v>#N/A</v>
      </c>
      <c r="D706" t="e">
        <v>#N/A</v>
      </c>
      <c r="E706" t="e">
        <v>#N/A</v>
      </c>
    </row>
    <row r="707" spans="1:5" x14ac:dyDescent="0.3">
      <c r="A707" s="1">
        <v>32118</v>
      </c>
      <c r="B707">
        <v>11.88</v>
      </c>
      <c r="C707">
        <v>8.5299999999999994</v>
      </c>
      <c r="D707">
        <v>8.2100000000000009</v>
      </c>
      <c r="E707">
        <v>5.82</v>
      </c>
    </row>
    <row r="708" spans="1:5" x14ac:dyDescent="0.3">
      <c r="A708" s="1">
        <v>32119</v>
      </c>
      <c r="B708">
        <v>12.35</v>
      </c>
      <c r="C708">
        <v>8.5500000000000007</v>
      </c>
      <c r="D708">
        <v>8.2200000000000006</v>
      </c>
      <c r="E708">
        <v>5.86</v>
      </c>
    </row>
    <row r="709" spans="1:5" x14ac:dyDescent="0.3">
      <c r="A709" s="1">
        <v>32120</v>
      </c>
      <c r="B709">
        <v>11.5</v>
      </c>
      <c r="C709">
        <v>8.44</v>
      </c>
      <c r="D709">
        <v>8.24</v>
      </c>
      <c r="E709">
        <v>5.83</v>
      </c>
    </row>
    <row r="710" spans="1:5" x14ac:dyDescent="0.3">
      <c r="A710" s="1">
        <v>32121</v>
      </c>
      <c r="B710">
        <v>11.65</v>
      </c>
      <c r="C710">
        <v>8.5299999999999994</v>
      </c>
      <c r="D710">
        <v>8.24</v>
      </c>
      <c r="E710">
        <v>5.92</v>
      </c>
    </row>
    <row r="711" spans="1:5" x14ac:dyDescent="0.3">
      <c r="A711" s="1">
        <v>32122</v>
      </c>
      <c r="B711">
        <v>11.88</v>
      </c>
      <c r="C711">
        <v>8.39</v>
      </c>
      <c r="D711">
        <v>8.24</v>
      </c>
      <c r="E711">
        <v>5.86</v>
      </c>
    </row>
    <row r="712" spans="1:5" x14ac:dyDescent="0.3">
      <c r="A712" s="1">
        <v>32123</v>
      </c>
      <c r="B712" t="e">
        <v>#N/A</v>
      </c>
      <c r="C712" t="e">
        <v>#N/A</v>
      </c>
      <c r="D712" t="e">
        <v>#N/A</v>
      </c>
      <c r="E712" t="e">
        <v>#N/A</v>
      </c>
    </row>
    <row r="713" spans="1:5" x14ac:dyDescent="0.3">
      <c r="A713" s="1">
        <v>32124</v>
      </c>
      <c r="B713" t="e">
        <v>#N/A</v>
      </c>
      <c r="C713" t="e">
        <v>#N/A</v>
      </c>
      <c r="D713" t="e">
        <v>#N/A</v>
      </c>
      <c r="E713" t="e">
        <v>#N/A</v>
      </c>
    </row>
    <row r="714" spans="1:5" x14ac:dyDescent="0.3">
      <c r="A714" s="1">
        <v>32125</v>
      </c>
      <c r="B714">
        <v>11.68</v>
      </c>
      <c r="C714">
        <v>8.34</v>
      </c>
      <c r="D714">
        <v>8.3000000000000007</v>
      </c>
      <c r="E714">
        <v>5.85</v>
      </c>
    </row>
    <row r="715" spans="1:5" x14ac:dyDescent="0.3">
      <c r="A715" s="1">
        <v>32126</v>
      </c>
      <c r="B715">
        <v>11.75</v>
      </c>
      <c r="C715">
        <v>8.34</v>
      </c>
      <c r="D715">
        <v>8.31</v>
      </c>
      <c r="E715">
        <v>5.93</v>
      </c>
    </row>
    <row r="716" spans="1:5" x14ac:dyDescent="0.3">
      <c r="A716" s="1">
        <v>32127</v>
      </c>
      <c r="B716">
        <v>11.13</v>
      </c>
      <c r="C716">
        <v>8.33</v>
      </c>
      <c r="D716">
        <v>8.39</v>
      </c>
      <c r="E716">
        <v>5.94</v>
      </c>
    </row>
    <row r="717" spans="1:5" x14ac:dyDescent="0.3">
      <c r="A717" s="1">
        <v>32128</v>
      </c>
      <c r="B717">
        <v>10.25</v>
      </c>
      <c r="C717">
        <v>8.4499999999999993</v>
      </c>
      <c r="D717">
        <v>8.3800000000000008</v>
      </c>
      <c r="E717">
        <v>5.93</v>
      </c>
    </row>
    <row r="718" spans="1:5" x14ac:dyDescent="0.3">
      <c r="A718" s="1">
        <v>32129</v>
      </c>
      <c r="B718">
        <v>10.25</v>
      </c>
      <c r="C718">
        <v>8.39</v>
      </c>
      <c r="D718">
        <v>8.41</v>
      </c>
      <c r="E718">
        <v>5.87</v>
      </c>
    </row>
    <row r="719" spans="1:5" x14ac:dyDescent="0.3">
      <c r="A719" s="1">
        <v>32130</v>
      </c>
      <c r="B719" t="e">
        <v>#N/A</v>
      </c>
      <c r="C719" t="e">
        <v>#N/A</v>
      </c>
      <c r="D719" t="e">
        <v>#N/A</v>
      </c>
      <c r="E719" t="e">
        <v>#N/A</v>
      </c>
    </row>
    <row r="720" spans="1:5" x14ac:dyDescent="0.3">
      <c r="A720" s="1">
        <v>32131</v>
      </c>
      <c r="B720" t="e">
        <v>#N/A</v>
      </c>
      <c r="C720" t="e">
        <v>#N/A</v>
      </c>
      <c r="D720" t="e">
        <v>#N/A</v>
      </c>
      <c r="E720" t="e">
        <v>#N/A</v>
      </c>
    </row>
    <row r="721" spans="1:5" x14ac:dyDescent="0.3">
      <c r="A721" s="1">
        <v>32132</v>
      </c>
      <c r="B721">
        <v>10.8</v>
      </c>
      <c r="C721">
        <v>8.41</v>
      </c>
      <c r="D721">
        <v>8.39</v>
      </c>
      <c r="E721">
        <v>5.87</v>
      </c>
    </row>
    <row r="722" spans="1:5" x14ac:dyDescent="0.3">
      <c r="A722" s="1">
        <v>32133</v>
      </c>
      <c r="B722">
        <v>11.88</v>
      </c>
      <c r="C722">
        <v>8.4</v>
      </c>
      <c r="D722">
        <v>8.39</v>
      </c>
      <c r="E722">
        <v>5.93</v>
      </c>
    </row>
    <row r="723" spans="1:5" x14ac:dyDescent="0.3">
      <c r="A723" s="1">
        <v>32134</v>
      </c>
      <c r="B723">
        <v>10.5</v>
      </c>
      <c r="C723">
        <v>8.42</v>
      </c>
      <c r="D723">
        <v>8.39</v>
      </c>
      <c r="E723">
        <v>5.78</v>
      </c>
    </row>
    <row r="724" spans="1:5" x14ac:dyDescent="0.3">
      <c r="A724" s="1">
        <v>32135</v>
      </c>
      <c r="B724">
        <v>10.83</v>
      </c>
      <c r="C724">
        <v>8.42</v>
      </c>
      <c r="D724">
        <v>8.39</v>
      </c>
      <c r="E724">
        <v>5.74</v>
      </c>
    </row>
    <row r="725" spans="1:5" x14ac:dyDescent="0.3">
      <c r="A725" s="1">
        <v>32136</v>
      </c>
      <c r="B725">
        <v>0</v>
      </c>
      <c r="C725">
        <v>0</v>
      </c>
      <c r="D725">
        <v>8.39</v>
      </c>
      <c r="E725">
        <v>0</v>
      </c>
    </row>
    <row r="726" spans="1:5" x14ac:dyDescent="0.3">
      <c r="A726" s="1">
        <v>32137</v>
      </c>
      <c r="B726" t="e">
        <v>#N/A</v>
      </c>
      <c r="C726" t="e">
        <v>#N/A</v>
      </c>
      <c r="D726" t="e">
        <v>#N/A</v>
      </c>
      <c r="E726" t="e">
        <v>#N/A</v>
      </c>
    </row>
    <row r="727" spans="1:5" x14ac:dyDescent="0.3">
      <c r="A727" s="1">
        <v>32138</v>
      </c>
      <c r="B727" t="e">
        <v>#N/A</v>
      </c>
      <c r="C727" t="e">
        <v>#N/A</v>
      </c>
      <c r="D727" t="e">
        <v>#N/A</v>
      </c>
      <c r="E727" t="e">
        <v>#N/A</v>
      </c>
    </row>
    <row r="728" spans="1:5" x14ac:dyDescent="0.3">
      <c r="A728" s="1">
        <v>32139</v>
      </c>
      <c r="B728">
        <v>0</v>
      </c>
      <c r="C728">
        <v>0</v>
      </c>
      <c r="D728">
        <v>8.39</v>
      </c>
      <c r="E728">
        <v>5.7</v>
      </c>
    </row>
    <row r="729" spans="1:5" x14ac:dyDescent="0.3">
      <c r="A729" s="1">
        <v>32140</v>
      </c>
      <c r="B729">
        <v>10.88</v>
      </c>
      <c r="C729">
        <v>8.43</v>
      </c>
      <c r="D729">
        <v>8.3699999999999992</v>
      </c>
      <c r="E729">
        <v>5.84</v>
      </c>
    </row>
    <row r="730" spans="1:5" x14ac:dyDescent="0.3">
      <c r="A730" s="1">
        <v>32141</v>
      </c>
      <c r="B730">
        <v>11.13</v>
      </c>
      <c r="C730">
        <v>8.41</v>
      </c>
      <c r="D730">
        <v>8.3699999999999992</v>
      </c>
      <c r="E730">
        <v>5.71</v>
      </c>
    </row>
    <row r="731" spans="1:5" x14ac:dyDescent="0.3">
      <c r="A731" s="1">
        <v>32142</v>
      </c>
      <c r="B731">
        <v>11.25</v>
      </c>
      <c r="C731">
        <v>8.42</v>
      </c>
      <c r="D731">
        <v>8.39</v>
      </c>
      <c r="E731">
        <v>5.68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8A5E-6151-492F-AAD7-9B66D975031F}">
  <dimension ref="A1"/>
  <sheetViews>
    <sheetView workbookViewId="0">
      <selection activeCell="E22" sqref="E22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D82D-CA9B-45A0-8E35-2923DAFE74C7}">
  <dimension ref="A1:E524"/>
  <sheetViews>
    <sheetView workbookViewId="0">
      <selection activeCell="B16" sqref="B16"/>
    </sheetView>
  </sheetViews>
  <sheetFormatPr defaultRowHeight="14.4" x14ac:dyDescent="0.3"/>
  <cols>
    <col min="1" max="1" width="10.33203125" bestFit="1" customWidth="1"/>
    <col min="2" max="2" width="12.33203125" customWidth="1"/>
    <col min="3" max="3" width="9.77734375" customWidth="1"/>
    <col min="4" max="5" width="10.5546875" customWidth="1"/>
  </cols>
  <sheetData>
    <row r="1" spans="1:5" x14ac:dyDescent="0.3">
      <c r="A1" t="s">
        <v>0</v>
      </c>
      <c r="B1" t="s">
        <v>35</v>
      </c>
      <c r="C1" t="s">
        <v>36</v>
      </c>
      <c r="D1" t="s">
        <v>38</v>
      </c>
      <c r="E1" t="s">
        <v>39</v>
      </c>
    </row>
    <row r="2" spans="1:5" x14ac:dyDescent="0.3">
      <c r="A2" s="1">
        <v>31412</v>
      </c>
      <c r="B2">
        <v>19</v>
      </c>
      <c r="C2" t="e">
        <v>#N/A</v>
      </c>
      <c r="D2" t="e">
        <v>#N/A</v>
      </c>
      <c r="E2" t="e">
        <v>#N/A</v>
      </c>
    </row>
    <row r="3" spans="1:5" x14ac:dyDescent="0.3">
      <c r="A3" s="1">
        <v>31413</v>
      </c>
      <c r="C3">
        <v>0</v>
      </c>
      <c r="D3">
        <v>11.23</v>
      </c>
      <c r="E3" t="e">
        <v>#N/A</v>
      </c>
    </row>
    <row r="4" spans="1:5" x14ac:dyDescent="0.3">
      <c r="A4" s="1">
        <v>31414</v>
      </c>
      <c r="B4">
        <v>18.75</v>
      </c>
      <c r="C4">
        <v>9.39</v>
      </c>
      <c r="D4">
        <v>11.21</v>
      </c>
      <c r="E4">
        <v>7.1</v>
      </c>
    </row>
    <row r="5" spans="1:5" x14ac:dyDescent="0.3">
      <c r="A5" s="1">
        <v>31415</v>
      </c>
      <c r="B5">
        <v>18.5</v>
      </c>
      <c r="C5">
        <v>9.68</v>
      </c>
      <c r="D5">
        <v>11.21</v>
      </c>
      <c r="E5">
        <v>7.07</v>
      </c>
    </row>
    <row r="6" spans="1:5" x14ac:dyDescent="0.3">
      <c r="A6" s="1">
        <v>31418</v>
      </c>
      <c r="B6">
        <v>19</v>
      </c>
      <c r="C6">
        <v>9.82</v>
      </c>
      <c r="D6">
        <v>11.25</v>
      </c>
      <c r="E6">
        <v>7.06</v>
      </c>
    </row>
    <row r="7" spans="1:5" x14ac:dyDescent="0.3">
      <c r="A7" s="1">
        <v>31419</v>
      </c>
      <c r="B7">
        <v>18.88</v>
      </c>
      <c r="C7">
        <v>9.7200000000000006</v>
      </c>
      <c r="D7">
        <v>11.5</v>
      </c>
      <c r="E7">
        <v>7.03</v>
      </c>
    </row>
    <row r="8" spans="1:5" x14ac:dyDescent="0.3">
      <c r="A8" s="1">
        <v>31420</v>
      </c>
      <c r="B8">
        <v>18.75</v>
      </c>
      <c r="C8">
        <v>9.91</v>
      </c>
      <c r="D8">
        <v>11.88</v>
      </c>
      <c r="E8">
        <v>7.17</v>
      </c>
    </row>
    <row r="9" spans="1:5" x14ac:dyDescent="0.3">
      <c r="A9" s="1">
        <v>31421</v>
      </c>
      <c r="B9">
        <v>19.13</v>
      </c>
      <c r="C9">
        <v>9.9600000000000009</v>
      </c>
      <c r="D9">
        <v>12.44</v>
      </c>
      <c r="E9">
        <v>7.18</v>
      </c>
    </row>
    <row r="10" spans="1:5" x14ac:dyDescent="0.3">
      <c r="A10" s="1">
        <v>31422</v>
      </c>
      <c r="B10">
        <v>19.25</v>
      </c>
      <c r="C10">
        <v>9.89</v>
      </c>
      <c r="D10">
        <v>12.25</v>
      </c>
      <c r="E10">
        <v>7.21</v>
      </c>
    </row>
    <row r="11" spans="1:5" x14ac:dyDescent="0.3">
      <c r="A11" s="1">
        <v>31425</v>
      </c>
      <c r="B11">
        <v>19.25</v>
      </c>
      <c r="C11">
        <v>10</v>
      </c>
      <c r="D11">
        <v>12.3</v>
      </c>
      <c r="E11">
        <v>7.24</v>
      </c>
    </row>
    <row r="12" spans="1:5" x14ac:dyDescent="0.3">
      <c r="A12" s="1">
        <v>31426</v>
      </c>
      <c r="B12">
        <v>19.38</v>
      </c>
      <c r="C12">
        <v>10.09</v>
      </c>
      <c r="D12">
        <v>12.3</v>
      </c>
      <c r="E12">
        <v>7.24</v>
      </c>
    </row>
    <row r="13" spans="1:5" x14ac:dyDescent="0.3">
      <c r="A13" s="1">
        <v>31427</v>
      </c>
      <c r="B13">
        <v>19.25</v>
      </c>
      <c r="C13">
        <v>10.130000000000001</v>
      </c>
      <c r="D13">
        <v>12.5</v>
      </c>
      <c r="E13">
        <v>7.19</v>
      </c>
    </row>
    <row r="14" spans="1:5" x14ac:dyDescent="0.3">
      <c r="A14" s="1">
        <v>31428</v>
      </c>
      <c r="B14">
        <v>19.25</v>
      </c>
      <c r="C14">
        <v>10.119999999999999</v>
      </c>
      <c r="D14">
        <v>12.22</v>
      </c>
      <c r="E14">
        <v>7.08</v>
      </c>
    </row>
    <row r="15" spans="1:5" x14ac:dyDescent="0.3">
      <c r="A15" s="1">
        <v>31429</v>
      </c>
      <c r="B15">
        <v>19</v>
      </c>
      <c r="C15">
        <v>10.09</v>
      </c>
      <c r="D15">
        <v>12.24</v>
      </c>
      <c r="E15">
        <v>7.11</v>
      </c>
    </row>
    <row r="16" spans="1:5" x14ac:dyDescent="0.3">
      <c r="A16" s="1">
        <v>31432</v>
      </c>
      <c r="B16">
        <v>19</v>
      </c>
      <c r="C16">
        <v>10.1</v>
      </c>
      <c r="D16">
        <v>12.36</v>
      </c>
      <c r="E16">
        <v>0</v>
      </c>
    </row>
    <row r="17" spans="1:5" x14ac:dyDescent="0.3">
      <c r="A17" s="1">
        <v>31433</v>
      </c>
      <c r="B17">
        <v>19</v>
      </c>
      <c r="C17">
        <v>10.220000000000001</v>
      </c>
      <c r="D17">
        <v>12.75</v>
      </c>
      <c r="E17">
        <v>7.02</v>
      </c>
    </row>
    <row r="18" spans="1:5" x14ac:dyDescent="0.3">
      <c r="A18" s="1">
        <v>31434</v>
      </c>
      <c r="B18">
        <v>18.88</v>
      </c>
      <c r="C18">
        <v>10.07</v>
      </c>
      <c r="D18">
        <v>13.13</v>
      </c>
      <c r="E18">
        <v>7</v>
      </c>
    </row>
    <row r="19" spans="1:5" x14ac:dyDescent="0.3">
      <c r="A19" s="1">
        <v>31435</v>
      </c>
      <c r="B19">
        <v>18.75</v>
      </c>
      <c r="C19">
        <v>10.09</v>
      </c>
      <c r="D19">
        <v>13.13</v>
      </c>
      <c r="E19">
        <v>6.97</v>
      </c>
    </row>
    <row r="20" spans="1:5" x14ac:dyDescent="0.3">
      <c r="A20" s="1">
        <v>31436</v>
      </c>
      <c r="B20">
        <v>18.75</v>
      </c>
      <c r="C20">
        <v>10.28</v>
      </c>
      <c r="D20">
        <v>12.82</v>
      </c>
      <c r="E20">
        <v>6.97</v>
      </c>
    </row>
    <row r="21" spans="1:5" x14ac:dyDescent="0.3">
      <c r="A21" s="1">
        <v>31439</v>
      </c>
      <c r="C21">
        <v>10.43</v>
      </c>
      <c r="D21">
        <v>12.72</v>
      </c>
      <c r="E21">
        <v>6.95</v>
      </c>
    </row>
    <row r="22" spans="1:5" x14ac:dyDescent="0.3">
      <c r="A22" s="1">
        <v>31440</v>
      </c>
      <c r="B22">
        <v>18.75</v>
      </c>
      <c r="C22">
        <v>10.5</v>
      </c>
      <c r="D22">
        <v>12.22</v>
      </c>
      <c r="E22">
        <v>6.92</v>
      </c>
    </row>
    <row r="23" spans="1:5" x14ac:dyDescent="0.3">
      <c r="A23" s="1">
        <v>31441</v>
      </c>
      <c r="B23">
        <v>18.5</v>
      </c>
      <c r="C23">
        <v>10.45</v>
      </c>
      <c r="D23">
        <v>12.28</v>
      </c>
      <c r="E23">
        <v>7.03</v>
      </c>
    </row>
    <row r="24" spans="1:5" x14ac:dyDescent="0.3">
      <c r="A24" s="1">
        <v>31442</v>
      </c>
      <c r="B24">
        <v>18.25</v>
      </c>
      <c r="C24">
        <v>10.7</v>
      </c>
      <c r="D24">
        <v>12.24</v>
      </c>
      <c r="E24">
        <v>7.04</v>
      </c>
    </row>
    <row r="25" spans="1:5" x14ac:dyDescent="0.3">
      <c r="A25" s="1">
        <v>31443</v>
      </c>
      <c r="B25">
        <v>18.75</v>
      </c>
      <c r="C25">
        <v>10.59</v>
      </c>
      <c r="D25">
        <v>12.24</v>
      </c>
      <c r="E25">
        <v>6.97</v>
      </c>
    </row>
    <row r="26" spans="1:5" x14ac:dyDescent="0.3">
      <c r="A26" s="1">
        <v>31446</v>
      </c>
      <c r="B26">
        <v>18.5</v>
      </c>
      <c r="C26">
        <v>10.74</v>
      </c>
      <c r="D26">
        <v>12.57</v>
      </c>
      <c r="E26">
        <v>7</v>
      </c>
    </row>
    <row r="27" spans="1:5" x14ac:dyDescent="0.3">
      <c r="A27" s="1">
        <v>31447</v>
      </c>
      <c r="B27">
        <v>18.5</v>
      </c>
      <c r="C27">
        <v>10.78</v>
      </c>
      <c r="D27">
        <v>12.69</v>
      </c>
      <c r="E27">
        <v>6.98</v>
      </c>
    </row>
    <row r="28" spans="1:5" x14ac:dyDescent="0.3">
      <c r="A28" s="1">
        <v>31448</v>
      </c>
      <c r="B28">
        <v>18.63</v>
      </c>
      <c r="C28">
        <v>11.08</v>
      </c>
      <c r="D28">
        <v>12.21</v>
      </c>
      <c r="E28">
        <v>7.01</v>
      </c>
    </row>
    <row r="29" spans="1:5" x14ac:dyDescent="0.3">
      <c r="A29" s="1">
        <v>31449</v>
      </c>
      <c r="B29">
        <v>18.5</v>
      </c>
      <c r="C29">
        <v>11.23</v>
      </c>
      <c r="D29">
        <v>12.2</v>
      </c>
      <c r="E29">
        <v>7.1</v>
      </c>
    </row>
    <row r="30" spans="1:5" x14ac:dyDescent="0.3">
      <c r="A30" s="1">
        <v>31450</v>
      </c>
      <c r="B30">
        <v>18.63</v>
      </c>
      <c r="C30">
        <v>11.33</v>
      </c>
      <c r="D30">
        <v>12.2</v>
      </c>
      <c r="E30">
        <v>7.21</v>
      </c>
    </row>
    <row r="31" spans="1:5" x14ac:dyDescent="0.3">
      <c r="A31" s="1">
        <v>31453</v>
      </c>
      <c r="B31">
        <v>18.75</v>
      </c>
      <c r="C31">
        <v>11.38</v>
      </c>
      <c r="D31">
        <v>12.2</v>
      </c>
      <c r="E31">
        <v>7.2</v>
      </c>
    </row>
    <row r="32" spans="1:5" x14ac:dyDescent="0.3">
      <c r="A32" s="1">
        <v>31454</v>
      </c>
      <c r="B32">
        <v>19.5</v>
      </c>
      <c r="C32">
        <v>11.4</v>
      </c>
      <c r="D32">
        <v>12.2</v>
      </c>
      <c r="E32">
        <v>7.11</v>
      </c>
    </row>
    <row r="33" spans="1:5" x14ac:dyDescent="0.3">
      <c r="A33" s="1">
        <v>31455</v>
      </c>
      <c r="B33">
        <v>19.25</v>
      </c>
      <c r="C33">
        <v>11.4</v>
      </c>
      <c r="D33">
        <v>12.27</v>
      </c>
      <c r="E33">
        <v>7.11</v>
      </c>
    </row>
    <row r="34" spans="1:5" x14ac:dyDescent="0.3">
      <c r="A34" s="1">
        <v>31456</v>
      </c>
      <c r="B34">
        <v>19.13</v>
      </c>
      <c r="C34">
        <v>11.9</v>
      </c>
      <c r="D34">
        <v>12.18</v>
      </c>
      <c r="E34">
        <v>7.1</v>
      </c>
    </row>
    <row r="35" spans="1:5" x14ac:dyDescent="0.3">
      <c r="A35" s="1">
        <v>31457</v>
      </c>
      <c r="B35">
        <v>18.63</v>
      </c>
      <c r="C35">
        <v>11.75</v>
      </c>
      <c r="D35">
        <v>12.18</v>
      </c>
      <c r="E35">
        <v>7.02</v>
      </c>
    </row>
    <row r="36" spans="1:5" x14ac:dyDescent="0.3">
      <c r="A36" s="1">
        <v>31460</v>
      </c>
      <c r="B36">
        <v>18.5</v>
      </c>
      <c r="C36">
        <v>11.72</v>
      </c>
      <c r="D36">
        <v>12.18</v>
      </c>
      <c r="E36">
        <v>0</v>
      </c>
    </row>
    <row r="37" spans="1:5" x14ac:dyDescent="0.3">
      <c r="A37" s="1">
        <v>31461</v>
      </c>
      <c r="B37">
        <v>18.88</v>
      </c>
      <c r="C37">
        <v>11.74</v>
      </c>
      <c r="D37">
        <v>12.17</v>
      </c>
      <c r="E37">
        <v>7.02</v>
      </c>
    </row>
    <row r="38" spans="1:5" x14ac:dyDescent="0.3">
      <c r="A38" s="1">
        <v>31462</v>
      </c>
      <c r="B38">
        <v>19.38</v>
      </c>
      <c r="C38">
        <v>11.74</v>
      </c>
      <c r="D38">
        <v>11.96</v>
      </c>
      <c r="E38">
        <v>7.08</v>
      </c>
    </row>
    <row r="39" spans="1:5" x14ac:dyDescent="0.3">
      <c r="A39" s="1">
        <v>31463</v>
      </c>
      <c r="B39">
        <v>19</v>
      </c>
      <c r="C39">
        <v>11.52</v>
      </c>
      <c r="D39">
        <v>12.05</v>
      </c>
      <c r="E39">
        <v>7.11</v>
      </c>
    </row>
    <row r="40" spans="1:5" x14ac:dyDescent="0.3">
      <c r="A40" s="1">
        <v>31464</v>
      </c>
      <c r="B40">
        <v>18.38</v>
      </c>
      <c r="C40">
        <v>11.45</v>
      </c>
      <c r="D40">
        <v>12.13</v>
      </c>
      <c r="E40">
        <v>6.98</v>
      </c>
    </row>
    <row r="41" spans="1:5" x14ac:dyDescent="0.3">
      <c r="A41" s="1">
        <v>31467</v>
      </c>
      <c r="B41">
        <v>18.5</v>
      </c>
      <c r="C41">
        <v>11.3</v>
      </c>
      <c r="D41">
        <v>11.93</v>
      </c>
      <c r="E41">
        <v>7.02</v>
      </c>
    </row>
    <row r="42" spans="1:5" x14ac:dyDescent="0.3">
      <c r="A42" s="1">
        <v>31468</v>
      </c>
      <c r="B42">
        <v>18.25</v>
      </c>
      <c r="C42">
        <v>11.38</v>
      </c>
      <c r="D42">
        <v>11.86</v>
      </c>
      <c r="E42">
        <v>7.05</v>
      </c>
    </row>
    <row r="43" spans="1:5" x14ac:dyDescent="0.3">
      <c r="A43" s="1">
        <v>31469</v>
      </c>
      <c r="B43">
        <v>18.25</v>
      </c>
      <c r="C43">
        <v>11.34</v>
      </c>
      <c r="D43">
        <v>11.91</v>
      </c>
      <c r="E43">
        <v>7.07</v>
      </c>
    </row>
    <row r="44" spans="1:5" x14ac:dyDescent="0.3">
      <c r="A44" s="1">
        <v>31470</v>
      </c>
      <c r="B44">
        <v>17.5</v>
      </c>
      <c r="C44">
        <v>11.59</v>
      </c>
      <c r="D44">
        <v>11.93</v>
      </c>
      <c r="E44">
        <v>7.03</v>
      </c>
    </row>
    <row r="45" spans="1:5" x14ac:dyDescent="0.3">
      <c r="A45" s="1">
        <v>31471</v>
      </c>
      <c r="B45">
        <v>17</v>
      </c>
      <c r="C45">
        <v>11.72</v>
      </c>
      <c r="D45">
        <v>11.96</v>
      </c>
      <c r="E45">
        <v>7.02</v>
      </c>
    </row>
    <row r="46" spans="1:5" x14ac:dyDescent="0.3">
      <c r="A46" s="1">
        <v>31474</v>
      </c>
      <c r="B46">
        <v>17</v>
      </c>
      <c r="C46">
        <v>11.77</v>
      </c>
      <c r="D46">
        <v>12.05</v>
      </c>
      <c r="E46">
        <v>6.97</v>
      </c>
    </row>
    <row r="47" spans="1:5" x14ac:dyDescent="0.3">
      <c r="A47" s="1">
        <v>31475</v>
      </c>
      <c r="B47">
        <v>16.5</v>
      </c>
      <c r="C47">
        <v>11.59</v>
      </c>
      <c r="D47">
        <v>12</v>
      </c>
      <c r="E47">
        <v>6.84</v>
      </c>
    </row>
    <row r="48" spans="1:5" x14ac:dyDescent="0.3">
      <c r="A48" s="1">
        <v>31476</v>
      </c>
      <c r="B48">
        <v>17.63</v>
      </c>
      <c r="C48">
        <v>11.63</v>
      </c>
      <c r="D48">
        <v>11.8</v>
      </c>
      <c r="E48">
        <v>6.85</v>
      </c>
    </row>
    <row r="49" spans="1:5" x14ac:dyDescent="0.3">
      <c r="A49" s="1">
        <v>31477</v>
      </c>
      <c r="B49">
        <v>17.63</v>
      </c>
      <c r="C49">
        <v>11.49</v>
      </c>
      <c r="D49">
        <v>11.78</v>
      </c>
      <c r="E49">
        <v>6.69</v>
      </c>
    </row>
    <row r="50" spans="1:5" x14ac:dyDescent="0.3">
      <c r="A50" s="1">
        <v>31478</v>
      </c>
      <c r="B50">
        <v>17.13</v>
      </c>
      <c r="C50">
        <v>11.18</v>
      </c>
      <c r="D50">
        <v>11.71</v>
      </c>
      <c r="E50">
        <v>6.61</v>
      </c>
    </row>
    <row r="51" spans="1:5" x14ac:dyDescent="0.3">
      <c r="A51" s="1">
        <v>31481</v>
      </c>
      <c r="B51">
        <v>17.25</v>
      </c>
      <c r="C51">
        <v>10.93</v>
      </c>
      <c r="D51">
        <v>11.47</v>
      </c>
      <c r="E51">
        <v>6.61</v>
      </c>
    </row>
    <row r="52" spans="1:5" x14ac:dyDescent="0.3">
      <c r="A52" s="1">
        <v>31482</v>
      </c>
      <c r="B52">
        <v>17.88</v>
      </c>
      <c r="C52">
        <v>10.92</v>
      </c>
      <c r="D52">
        <v>11.41</v>
      </c>
      <c r="E52">
        <v>6.57</v>
      </c>
    </row>
    <row r="53" spans="1:5" x14ac:dyDescent="0.3">
      <c r="A53" s="1">
        <v>31483</v>
      </c>
      <c r="B53">
        <v>18.25</v>
      </c>
      <c r="C53">
        <v>10.63</v>
      </c>
      <c r="D53">
        <v>11.28</v>
      </c>
      <c r="E53">
        <v>6.62</v>
      </c>
    </row>
    <row r="54" spans="1:5" x14ac:dyDescent="0.3">
      <c r="A54" s="1">
        <v>31484</v>
      </c>
      <c r="B54">
        <v>17.5</v>
      </c>
      <c r="C54">
        <v>10.34</v>
      </c>
      <c r="D54">
        <v>11.41</v>
      </c>
      <c r="E54">
        <v>6.59</v>
      </c>
    </row>
    <row r="55" spans="1:5" x14ac:dyDescent="0.3">
      <c r="A55" s="1">
        <v>31485</v>
      </c>
      <c r="B55">
        <v>17.13</v>
      </c>
      <c r="C55">
        <v>10.14</v>
      </c>
      <c r="D55">
        <v>11.36</v>
      </c>
      <c r="E55">
        <v>6.54</v>
      </c>
    </row>
    <row r="56" spans="1:5" x14ac:dyDescent="0.3">
      <c r="A56" s="1">
        <v>31488</v>
      </c>
      <c r="B56">
        <v>17.88</v>
      </c>
      <c r="C56">
        <v>10.09</v>
      </c>
      <c r="D56">
        <v>11.3</v>
      </c>
      <c r="E56">
        <v>6.56</v>
      </c>
    </row>
    <row r="57" spans="1:5" x14ac:dyDescent="0.3">
      <c r="A57" s="1">
        <v>31489</v>
      </c>
      <c r="B57">
        <v>18</v>
      </c>
      <c r="C57">
        <v>10.14</v>
      </c>
      <c r="D57">
        <v>11.3</v>
      </c>
      <c r="E57">
        <v>6.54</v>
      </c>
    </row>
    <row r="58" spans="1:5" x14ac:dyDescent="0.3">
      <c r="A58" s="1">
        <v>31490</v>
      </c>
      <c r="B58">
        <v>17.38</v>
      </c>
      <c r="C58">
        <v>10.1</v>
      </c>
      <c r="D58">
        <v>11.21</v>
      </c>
      <c r="E58">
        <v>6.49</v>
      </c>
    </row>
    <row r="59" spans="1:5" x14ac:dyDescent="0.3">
      <c r="A59" s="1">
        <v>31491</v>
      </c>
      <c r="B59">
        <v>17.38</v>
      </c>
      <c r="C59">
        <v>9.9</v>
      </c>
      <c r="D59">
        <v>10.91</v>
      </c>
      <c r="E59">
        <v>6.44</v>
      </c>
    </row>
    <row r="60" spans="1:5" x14ac:dyDescent="0.3">
      <c r="A60" s="1">
        <v>31492</v>
      </c>
      <c r="B60">
        <v>16</v>
      </c>
      <c r="C60">
        <v>9.98</v>
      </c>
      <c r="D60">
        <v>10.9</v>
      </c>
      <c r="E60">
        <v>6.41</v>
      </c>
    </row>
    <row r="61" spans="1:5" x14ac:dyDescent="0.3">
      <c r="A61" s="1">
        <v>31495</v>
      </c>
      <c r="B61">
        <v>16.88</v>
      </c>
      <c r="C61">
        <v>10.09</v>
      </c>
      <c r="D61">
        <v>10.93</v>
      </c>
      <c r="E61">
        <v>6.41</v>
      </c>
    </row>
    <row r="62" spans="1:5" x14ac:dyDescent="0.3">
      <c r="A62" s="1">
        <v>31496</v>
      </c>
      <c r="B62">
        <v>17</v>
      </c>
      <c r="C62">
        <v>10.27</v>
      </c>
      <c r="D62">
        <v>11.03</v>
      </c>
      <c r="E62">
        <v>6.38</v>
      </c>
    </row>
    <row r="63" spans="1:5" x14ac:dyDescent="0.3">
      <c r="A63" s="1">
        <v>31497</v>
      </c>
      <c r="B63">
        <v>17.38</v>
      </c>
      <c r="C63">
        <v>10.19</v>
      </c>
      <c r="D63">
        <v>11.05</v>
      </c>
      <c r="E63">
        <v>6.41</v>
      </c>
    </row>
    <row r="64" spans="1:5" x14ac:dyDescent="0.3">
      <c r="A64" s="1">
        <v>31498</v>
      </c>
      <c r="B64">
        <v>16.75</v>
      </c>
      <c r="C64">
        <v>10.01</v>
      </c>
      <c r="D64">
        <v>10.97</v>
      </c>
      <c r="E64">
        <v>6.34</v>
      </c>
    </row>
    <row r="65" spans="1:5" x14ac:dyDescent="0.3">
      <c r="A65" s="1">
        <v>31499</v>
      </c>
      <c r="C65">
        <v>0</v>
      </c>
      <c r="D65">
        <v>10.97</v>
      </c>
      <c r="E65">
        <v>0</v>
      </c>
    </row>
    <row r="66" spans="1:5" x14ac:dyDescent="0.3">
      <c r="A66" s="1">
        <v>31502</v>
      </c>
      <c r="C66">
        <v>10.1</v>
      </c>
      <c r="D66">
        <v>10.97</v>
      </c>
      <c r="E66">
        <v>6.34</v>
      </c>
    </row>
    <row r="67" spans="1:5" x14ac:dyDescent="0.3">
      <c r="A67" s="1">
        <v>31503</v>
      </c>
      <c r="B67">
        <v>17</v>
      </c>
      <c r="C67">
        <v>10.09</v>
      </c>
      <c r="D67">
        <v>10.9</v>
      </c>
      <c r="E67">
        <v>6.33</v>
      </c>
    </row>
    <row r="68" spans="1:5" x14ac:dyDescent="0.3">
      <c r="A68" s="1">
        <v>31504</v>
      </c>
      <c r="B68">
        <v>17</v>
      </c>
      <c r="C68">
        <v>10.08</v>
      </c>
      <c r="D68">
        <v>10.87</v>
      </c>
      <c r="E68">
        <v>6.34</v>
      </c>
    </row>
    <row r="69" spans="1:5" x14ac:dyDescent="0.3">
      <c r="A69" s="1">
        <v>31505</v>
      </c>
      <c r="B69">
        <v>17</v>
      </c>
      <c r="C69">
        <v>9.92</v>
      </c>
      <c r="D69">
        <v>10.82</v>
      </c>
      <c r="E69">
        <v>6.33</v>
      </c>
    </row>
    <row r="70" spans="1:5" x14ac:dyDescent="0.3">
      <c r="A70" s="1">
        <v>31506</v>
      </c>
      <c r="B70">
        <v>16.38</v>
      </c>
      <c r="C70">
        <v>9.7100000000000009</v>
      </c>
      <c r="D70">
        <v>10.85</v>
      </c>
      <c r="E70">
        <v>6.23</v>
      </c>
    </row>
    <row r="71" spans="1:5" x14ac:dyDescent="0.3">
      <c r="A71" s="1">
        <v>31509</v>
      </c>
      <c r="B71">
        <v>17.38</v>
      </c>
      <c r="C71">
        <v>9.5500000000000007</v>
      </c>
      <c r="D71">
        <v>10.65</v>
      </c>
      <c r="E71">
        <v>6.24</v>
      </c>
    </row>
    <row r="72" spans="1:5" x14ac:dyDescent="0.3">
      <c r="A72" s="1">
        <v>31510</v>
      </c>
      <c r="B72">
        <v>17.75</v>
      </c>
      <c r="C72">
        <v>9.3800000000000008</v>
      </c>
      <c r="D72">
        <v>10.46</v>
      </c>
      <c r="E72">
        <v>6.13</v>
      </c>
    </row>
    <row r="73" spans="1:5" x14ac:dyDescent="0.3">
      <c r="A73" s="1">
        <v>31511</v>
      </c>
      <c r="B73">
        <v>18</v>
      </c>
      <c r="C73">
        <v>9.23</v>
      </c>
      <c r="D73">
        <v>10.18</v>
      </c>
      <c r="E73">
        <v>6.01</v>
      </c>
    </row>
    <row r="74" spans="1:5" x14ac:dyDescent="0.3">
      <c r="A74" s="1">
        <v>31512</v>
      </c>
      <c r="B74">
        <v>18.75</v>
      </c>
      <c r="C74">
        <v>9.08</v>
      </c>
      <c r="D74">
        <v>10.130000000000001</v>
      </c>
      <c r="E74">
        <v>6.02</v>
      </c>
    </row>
    <row r="75" spans="1:5" x14ac:dyDescent="0.3">
      <c r="A75" s="1">
        <v>31513</v>
      </c>
      <c r="B75">
        <v>18.5</v>
      </c>
      <c r="C75">
        <v>9.18</v>
      </c>
      <c r="D75">
        <v>10.11</v>
      </c>
      <c r="E75">
        <v>5.96</v>
      </c>
    </row>
    <row r="76" spans="1:5" x14ac:dyDescent="0.3">
      <c r="A76" s="1">
        <v>31516</v>
      </c>
      <c r="B76">
        <v>18.88</v>
      </c>
      <c r="C76">
        <v>9.25</v>
      </c>
      <c r="D76">
        <v>9.94</v>
      </c>
      <c r="E76">
        <v>5.91</v>
      </c>
    </row>
    <row r="77" spans="1:5" x14ac:dyDescent="0.3">
      <c r="A77" s="1">
        <v>31517</v>
      </c>
      <c r="B77">
        <v>18.38</v>
      </c>
      <c r="C77">
        <v>9.17</v>
      </c>
      <c r="D77">
        <v>9.94</v>
      </c>
      <c r="E77">
        <v>5.81</v>
      </c>
    </row>
    <row r="78" spans="1:5" x14ac:dyDescent="0.3">
      <c r="A78" s="1">
        <v>31518</v>
      </c>
      <c r="B78">
        <v>16.63</v>
      </c>
      <c r="C78">
        <v>9.06</v>
      </c>
      <c r="D78">
        <v>9.9600000000000009</v>
      </c>
      <c r="E78">
        <v>5.77</v>
      </c>
    </row>
    <row r="79" spans="1:5" x14ac:dyDescent="0.3">
      <c r="A79" s="1">
        <v>31519</v>
      </c>
      <c r="B79">
        <v>16.13</v>
      </c>
      <c r="C79">
        <v>9.0399999999999991</v>
      </c>
      <c r="D79">
        <v>9.7200000000000006</v>
      </c>
      <c r="E79">
        <v>5.84</v>
      </c>
    </row>
    <row r="80" spans="1:5" x14ac:dyDescent="0.3">
      <c r="A80" s="1">
        <v>31520</v>
      </c>
      <c r="B80">
        <v>16.5</v>
      </c>
      <c r="C80">
        <v>9.0299999999999994</v>
      </c>
      <c r="D80">
        <v>9.75</v>
      </c>
      <c r="E80">
        <v>5.87</v>
      </c>
    </row>
    <row r="81" spans="1:5" x14ac:dyDescent="0.3">
      <c r="A81" s="1">
        <v>31523</v>
      </c>
      <c r="B81">
        <v>17</v>
      </c>
      <c r="C81">
        <v>9.07</v>
      </c>
      <c r="D81">
        <v>9.74</v>
      </c>
      <c r="E81">
        <v>5.87</v>
      </c>
    </row>
    <row r="82" spans="1:5" x14ac:dyDescent="0.3">
      <c r="A82" s="1">
        <v>31524</v>
      </c>
      <c r="B82">
        <v>16.88</v>
      </c>
      <c r="C82">
        <v>9.19</v>
      </c>
      <c r="D82">
        <v>9.93</v>
      </c>
      <c r="E82">
        <v>5.95</v>
      </c>
    </row>
    <row r="83" spans="1:5" x14ac:dyDescent="0.3">
      <c r="A83" s="1">
        <v>31525</v>
      </c>
      <c r="B83">
        <v>18.25</v>
      </c>
      <c r="C83">
        <v>9.18</v>
      </c>
      <c r="D83">
        <v>10</v>
      </c>
      <c r="E83">
        <v>6.09</v>
      </c>
    </row>
    <row r="84" spans="1:5" x14ac:dyDescent="0.3">
      <c r="A84" s="1">
        <v>31526</v>
      </c>
      <c r="B84">
        <v>16.13</v>
      </c>
      <c r="C84">
        <v>9.14</v>
      </c>
      <c r="D84">
        <v>10</v>
      </c>
      <c r="E84">
        <v>6.11</v>
      </c>
    </row>
    <row r="85" spans="1:5" x14ac:dyDescent="0.3">
      <c r="A85" s="1">
        <v>31527</v>
      </c>
      <c r="C85">
        <v>8.99</v>
      </c>
      <c r="D85">
        <v>10.039999999999999</v>
      </c>
      <c r="E85">
        <v>6.14</v>
      </c>
    </row>
    <row r="86" spans="1:5" x14ac:dyDescent="0.3">
      <c r="A86" s="1">
        <v>31530</v>
      </c>
      <c r="B86">
        <v>16.63</v>
      </c>
      <c r="C86">
        <v>8.85</v>
      </c>
      <c r="D86">
        <v>10.08</v>
      </c>
      <c r="E86">
        <v>6.1</v>
      </c>
    </row>
    <row r="87" spans="1:5" x14ac:dyDescent="0.3">
      <c r="A87" s="1">
        <v>31531</v>
      </c>
      <c r="B87">
        <v>15.63</v>
      </c>
      <c r="C87">
        <v>8.82</v>
      </c>
      <c r="D87">
        <v>10.050000000000001</v>
      </c>
      <c r="E87">
        <v>6.09</v>
      </c>
    </row>
    <row r="88" spans="1:5" x14ac:dyDescent="0.3">
      <c r="A88" s="1">
        <v>31532</v>
      </c>
      <c r="B88">
        <v>15.38</v>
      </c>
      <c r="C88">
        <v>8.81</v>
      </c>
      <c r="D88">
        <v>10.01</v>
      </c>
      <c r="E88">
        <v>6.1</v>
      </c>
    </row>
    <row r="89" spans="1:5" x14ac:dyDescent="0.3">
      <c r="A89" s="1">
        <v>31533</v>
      </c>
      <c r="B89">
        <v>14.5</v>
      </c>
      <c r="C89">
        <v>8.7100000000000009</v>
      </c>
      <c r="D89">
        <v>9.99</v>
      </c>
      <c r="E89">
        <v>6.11</v>
      </c>
    </row>
    <row r="90" spans="1:5" x14ac:dyDescent="0.3">
      <c r="A90" s="1">
        <v>31534</v>
      </c>
      <c r="B90">
        <v>14.25</v>
      </c>
      <c r="C90">
        <v>8.65</v>
      </c>
      <c r="D90">
        <v>10.050000000000001</v>
      </c>
      <c r="E90">
        <v>6.15</v>
      </c>
    </row>
    <row r="91" spans="1:5" x14ac:dyDescent="0.3">
      <c r="A91" s="1">
        <v>31537</v>
      </c>
      <c r="B91">
        <v>16.88</v>
      </c>
      <c r="C91">
        <v>8.56</v>
      </c>
      <c r="D91">
        <v>10.050000000000001</v>
      </c>
      <c r="E91">
        <v>6.06</v>
      </c>
    </row>
    <row r="92" spans="1:5" x14ac:dyDescent="0.3">
      <c r="A92" s="1">
        <v>31538</v>
      </c>
      <c r="B92">
        <v>16.13</v>
      </c>
      <c r="C92">
        <v>8.6</v>
      </c>
      <c r="D92">
        <v>9.98</v>
      </c>
      <c r="E92">
        <v>6.05</v>
      </c>
    </row>
    <row r="93" spans="1:5" x14ac:dyDescent="0.3">
      <c r="A93" s="1">
        <v>31539</v>
      </c>
      <c r="B93">
        <v>15.38</v>
      </c>
      <c r="C93">
        <v>8.6199999999999992</v>
      </c>
      <c r="D93">
        <v>10.029999999999999</v>
      </c>
      <c r="E93">
        <v>6.04</v>
      </c>
    </row>
    <row r="94" spans="1:5" x14ac:dyDescent="0.3">
      <c r="A94" s="1">
        <v>31540</v>
      </c>
      <c r="B94">
        <v>15.5</v>
      </c>
      <c r="C94">
        <v>8.4600000000000009</v>
      </c>
      <c r="D94">
        <v>10.050000000000001</v>
      </c>
      <c r="E94">
        <v>6.04</v>
      </c>
    </row>
    <row r="95" spans="1:5" x14ac:dyDescent="0.3">
      <c r="A95" s="1">
        <v>31541</v>
      </c>
      <c r="B95">
        <v>15.38</v>
      </c>
      <c r="C95">
        <v>8.48</v>
      </c>
      <c r="D95">
        <v>10.08</v>
      </c>
      <c r="E95">
        <v>6.05</v>
      </c>
    </row>
    <row r="96" spans="1:5" x14ac:dyDescent="0.3">
      <c r="A96" s="1">
        <v>31544</v>
      </c>
      <c r="B96">
        <v>15.75</v>
      </c>
      <c r="C96">
        <v>8.51</v>
      </c>
      <c r="D96">
        <v>10.02</v>
      </c>
      <c r="E96">
        <v>6.13</v>
      </c>
    </row>
    <row r="97" spans="1:5" x14ac:dyDescent="0.3">
      <c r="A97" s="1">
        <v>31545</v>
      </c>
      <c r="B97">
        <v>15.63</v>
      </c>
      <c r="C97">
        <v>8.5</v>
      </c>
      <c r="D97">
        <v>9.99</v>
      </c>
      <c r="E97">
        <v>6.09</v>
      </c>
    </row>
    <row r="98" spans="1:5" x14ac:dyDescent="0.3">
      <c r="A98" s="1">
        <v>31546</v>
      </c>
      <c r="B98">
        <v>14.63</v>
      </c>
      <c r="C98">
        <v>8.44</v>
      </c>
      <c r="D98">
        <v>9.74</v>
      </c>
      <c r="E98">
        <v>6.09</v>
      </c>
    </row>
    <row r="99" spans="1:5" x14ac:dyDescent="0.3">
      <c r="A99" s="1">
        <v>31547</v>
      </c>
      <c r="B99">
        <v>13.88</v>
      </c>
      <c r="C99">
        <v>8.36</v>
      </c>
      <c r="D99">
        <v>9.82</v>
      </c>
      <c r="E99">
        <v>6.17</v>
      </c>
    </row>
    <row r="100" spans="1:5" x14ac:dyDescent="0.3">
      <c r="A100" s="1">
        <v>31548</v>
      </c>
      <c r="B100">
        <v>14.38</v>
      </c>
      <c r="C100">
        <v>8.3800000000000008</v>
      </c>
      <c r="D100">
        <v>9.85</v>
      </c>
      <c r="E100">
        <v>6.21</v>
      </c>
    </row>
    <row r="101" spans="1:5" x14ac:dyDescent="0.3">
      <c r="A101" s="1">
        <v>31551</v>
      </c>
      <c r="B101">
        <v>14.63</v>
      </c>
      <c r="C101">
        <v>0</v>
      </c>
      <c r="D101">
        <v>9.9700000000000006</v>
      </c>
      <c r="E101">
        <v>6.2</v>
      </c>
    </row>
    <row r="102" spans="1:5" x14ac:dyDescent="0.3">
      <c r="A102" s="1">
        <v>31552</v>
      </c>
      <c r="B102">
        <v>14.88</v>
      </c>
      <c r="C102">
        <v>8.3800000000000008</v>
      </c>
      <c r="D102">
        <v>10.029999999999999</v>
      </c>
      <c r="E102">
        <v>6.23</v>
      </c>
    </row>
    <row r="103" spans="1:5" x14ac:dyDescent="0.3">
      <c r="A103" s="1">
        <v>31553</v>
      </c>
      <c r="B103">
        <v>15.13</v>
      </c>
      <c r="C103">
        <v>8.31</v>
      </c>
      <c r="D103">
        <v>9.93</v>
      </c>
      <c r="E103">
        <v>6.2</v>
      </c>
    </row>
    <row r="104" spans="1:5" x14ac:dyDescent="0.3">
      <c r="A104" s="1">
        <v>31554</v>
      </c>
      <c r="B104">
        <v>16.38</v>
      </c>
      <c r="C104">
        <v>8.2100000000000009</v>
      </c>
      <c r="D104">
        <v>9.74</v>
      </c>
      <c r="E104">
        <v>6.2</v>
      </c>
    </row>
    <row r="105" spans="1:5" x14ac:dyDescent="0.3">
      <c r="A105" s="1">
        <v>31555</v>
      </c>
      <c r="B105">
        <v>15.5</v>
      </c>
      <c r="C105">
        <v>8.2100000000000009</v>
      </c>
      <c r="D105">
        <v>9.68</v>
      </c>
      <c r="E105">
        <v>6.18</v>
      </c>
    </row>
    <row r="106" spans="1:5" x14ac:dyDescent="0.3">
      <c r="A106" s="1">
        <v>31558</v>
      </c>
      <c r="B106">
        <v>15.25</v>
      </c>
      <c r="C106">
        <v>8.25</v>
      </c>
      <c r="D106">
        <v>9.68</v>
      </c>
      <c r="E106">
        <v>0</v>
      </c>
    </row>
    <row r="107" spans="1:5" x14ac:dyDescent="0.3">
      <c r="A107" s="1">
        <v>31559</v>
      </c>
      <c r="B107">
        <v>14.63</v>
      </c>
      <c r="C107">
        <v>8.36</v>
      </c>
      <c r="D107">
        <v>9.58</v>
      </c>
      <c r="E107">
        <v>6.16</v>
      </c>
    </row>
    <row r="108" spans="1:5" x14ac:dyDescent="0.3">
      <c r="A108" s="1">
        <v>31560</v>
      </c>
      <c r="B108">
        <v>14.5</v>
      </c>
      <c r="C108">
        <v>8.34</v>
      </c>
      <c r="D108">
        <v>9.49</v>
      </c>
      <c r="E108">
        <v>6.19</v>
      </c>
    </row>
    <row r="109" spans="1:5" x14ac:dyDescent="0.3">
      <c r="A109" s="1">
        <v>31561</v>
      </c>
      <c r="B109">
        <v>14.5</v>
      </c>
      <c r="C109">
        <v>8.4499999999999993</v>
      </c>
      <c r="D109">
        <v>9.43</v>
      </c>
      <c r="E109">
        <v>6.3</v>
      </c>
    </row>
    <row r="110" spans="1:5" x14ac:dyDescent="0.3">
      <c r="A110" s="1">
        <v>31562</v>
      </c>
      <c r="B110">
        <v>14.75</v>
      </c>
      <c r="C110">
        <v>8.44</v>
      </c>
      <c r="D110">
        <v>9.48</v>
      </c>
      <c r="E110">
        <v>6.3</v>
      </c>
    </row>
    <row r="111" spans="1:5" x14ac:dyDescent="0.3">
      <c r="A111" s="1">
        <v>31565</v>
      </c>
      <c r="B111">
        <v>14.75</v>
      </c>
      <c r="C111">
        <v>8.7799999999999994</v>
      </c>
      <c r="D111">
        <v>9.43</v>
      </c>
      <c r="E111">
        <v>6.36</v>
      </c>
    </row>
    <row r="112" spans="1:5" x14ac:dyDescent="0.3">
      <c r="A112" s="1">
        <v>31566</v>
      </c>
      <c r="B112">
        <v>13.88</v>
      </c>
      <c r="C112">
        <v>8.6999999999999993</v>
      </c>
      <c r="D112">
        <v>9.4</v>
      </c>
      <c r="E112">
        <v>6.41</v>
      </c>
    </row>
    <row r="113" spans="1:5" x14ac:dyDescent="0.3">
      <c r="A113" s="1">
        <v>31567</v>
      </c>
      <c r="B113">
        <v>14.13</v>
      </c>
      <c r="C113">
        <v>8.65</v>
      </c>
      <c r="D113">
        <v>9.27</v>
      </c>
      <c r="E113">
        <v>6.52</v>
      </c>
    </row>
    <row r="114" spans="1:5" x14ac:dyDescent="0.3">
      <c r="A114" s="1">
        <v>31568</v>
      </c>
      <c r="B114">
        <v>15.13</v>
      </c>
      <c r="C114">
        <v>8.77</v>
      </c>
      <c r="D114">
        <v>9.31</v>
      </c>
      <c r="E114">
        <v>6.51</v>
      </c>
    </row>
    <row r="115" spans="1:5" x14ac:dyDescent="0.3">
      <c r="A115" s="1">
        <v>31569</v>
      </c>
      <c r="B115">
        <v>15.25</v>
      </c>
      <c r="C115">
        <v>8.6999999999999993</v>
      </c>
      <c r="D115">
        <v>9.2799999999999994</v>
      </c>
      <c r="E115">
        <v>6.32</v>
      </c>
    </row>
    <row r="116" spans="1:5" x14ac:dyDescent="0.3">
      <c r="A116" s="1">
        <v>31572</v>
      </c>
      <c r="B116">
        <v>15.25</v>
      </c>
      <c r="C116">
        <v>8.6300000000000008</v>
      </c>
      <c r="D116">
        <v>9.27</v>
      </c>
      <c r="E116">
        <v>6.36</v>
      </c>
    </row>
    <row r="117" spans="1:5" x14ac:dyDescent="0.3">
      <c r="A117" s="1">
        <v>31573</v>
      </c>
      <c r="B117">
        <v>15.38</v>
      </c>
      <c r="C117">
        <v>8.57</v>
      </c>
      <c r="D117">
        <v>9.35</v>
      </c>
      <c r="E117">
        <v>6.28</v>
      </c>
    </row>
    <row r="118" spans="1:5" x14ac:dyDescent="0.3">
      <c r="A118" s="1">
        <v>31574</v>
      </c>
      <c r="B118">
        <v>16.88</v>
      </c>
      <c r="C118">
        <v>8.57</v>
      </c>
      <c r="D118">
        <v>9.5299999999999994</v>
      </c>
      <c r="E118">
        <v>6.34</v>
      </c>
    </row>
    <row r="119" spans="1:5" x14ac:dyDescent="0.3">
      <c r="A119" s="1">
        <v>31575</v>
      </c>
      <c r="B119">
        <v>18.5</v>
      </c>
      <c r="C119">
        <v>8.5399999999999991</v>
      </c>
      <c r="D119">
        <v>9.5500000000000007</v>
      </c>
      <c r="E119">
        <v>6.28</v>
      </c>
    </row>
    <row r="120" spans="1:5" x14ac:dyDescent="0.3">
      <c r="A120" s="1">
        <v>31576</v>
      </c>
      <c r="B120">
        <v>15.88</v>
      </c>
      <c r="C120">
        <v>8.4700000000000006</v>
      </c>
      <c r="D120">
        <v>9.49</v>
      </c>
      <c r="E120">
        <v>6.17</v>
      </c>
    </row>
    <row r="121" spans="1:5" x14ac:dyDescent="0.3">
      <c r="A121" s="1">
        <v>31579</v>
      </c>
      <c r="B121">
        <v>16</v>
      </c>
      <c r="C121">
        <v>8.48</v>
      </c>
      <c r="D121">
        <v>9.4600000000000009</v>
      </c>
      <c r="E121">
        <v>6.12</v>
      </c>
    </row>
    <row r="122" spans="1:5" x14ac:dyDescent="0.3">
      <c r="A122" s="1">
        <v>31580</v>
      </c>
      <c r="B122">
        <v>14.88</v>
      </c>
      <c r="C122">
        <v>8.5</v>
      </c>
      <c r="D122">
        <v>9.44</v>
      </c>
      <c r="E122">
        <v>6.09</v>
      </c>
    </row>
    <row r="123" spans="1:5" x14ac:dyDescent="0.3">
      <c r="A123" s="1">
        <v>31581</v>
      </c>
      <c r="B123">
        <v>14.88</v>
      </c>
      <c r="C123">
        <v>8.5299999999999994</v>
      </c>
      <c r="D123">
        <v>9.4600000000000009</v>
      </c>
      <c r="E123">
        <v>6.09</v>
      </c>
    </row>
    <row r="124" spans="1:5" x14ac:dyDescent="0.3">
      <c r="A124" s="1">
        <v>31582</v>
      </c>
      <c r="B124">
        <v>14.75</v>
      </c>
      <c r="C124">
        <v>8.61</v>
      </c>
      <c r="D124">
        <v>9.44</v>
      </c>
      <c r="E124">
        <v>6.11</v>
      </c>
    </row>
    <row r="125" spans="1:5" x14ac:dyDescent="0.3">
      <c r="A125" s="1">
        <v>31583</v>
      </c>
      <c r="B125">
        <v>14.63</v>
      </c>
      <c r="C125">
        <v>8.58</v>
      </c>
      <c r="D125">
        <v>9.58</v>
      </c>
      <c r="E125">
        <v>6.1</v>
      </c>
    </row>
    <row r="126" spans="1:5" x14ac:dyDescent="0.3">
      <c r="A126" s="1">
        <v>31586</v>
      </c>
      <c r="B126">
        <v>14.75</v>
      </c>
      <c r="C126">
        <v>8.57</v>
      </c>
      <c r="D126">
        <v>9.58</v>
      </c>
      <c r="E126">
        <v>6.11</v>
      </c>
    </row>
    <row r="127" spans="1:5" x14ac:dyDescent="0.3">
      <c r="A127" s="1">
        <v>31587</v>
      </c>
      <c r="B127">
        <v>14.13</v>
      </c>
      <c r="C127">
        <v>8.59</v>
      </c>
      <c r="D127">
        <v>9.5500000000000007</v>
      </c>
      <c r="E127">
        <v>6.08</v>
      </c>
    </row>
    <row r="128" spans="1:5" x14ac:dyDescent="0.3">
      <c r="A128" s="1">
        <v>31588</v>
      </c>
      <c r="B128">
        <v>14.63</v>
      </c>
      <c r="C128">
        <v>8.56</v>
      </c>
      <c r="D128">
        <v>9.49</v>
      </c>
      <c r="E128">
        <v>6.08</v>
      </c>
    </row>
    <row r="129" spans="1:5" x14ac:dyDescent="0.3">
      <c r="A129" s="1">
        <v>31589</v>
      </c>
      <c r="B129">
        <v>15.5</v>
      </c>
      <c r="C129">
        <v>8.59</v>
      </c>
      <c r="D129">
        <v>9.4600000000000009</v>
      </c>
      <c r="E129">
        <v>6.08</v>
      </c>
    </row>
    <row r="130" spans="1:5" x14ac:dyDescent="0.3">
      <c r="A130" s="1">
        <v>31590</v>
      </c>
      <c r="B130">
        <v>16</v>
      </c>
      <c r="C130">
        <v>8.5</v>
      </c>
      <c r="D130">
        <v>9.4</v>
      </c>
      <c r="E130">
        <v>6.02</v>
      </c>
    </row>
    <row r="131" spans="1:5" x14ac:dyDescent="0.3">
      <c r="A131" s="1">
        <v>31593</v>
      </c>
      <c r="B131">
        <v>19</v>
      </c>
      <c r="C131">
        <v>8.49</v>
      </c>
      <c r="D131">
        <v>9.4</v>
      </c>
      <c r="E131">
        <v>5.96</v>
      </c>
    </row>
    <row r="132" spans="1:5" x14ac:dyDescent="0.3">
      <c r="A132" s="1">
        <v>31594</v>
      </c>
      <c r="B132">
        <v>15.88</v>
      </c>
      <c r="C132">
        <v>0</v>
      </c>
      <c r="D132">
        <v>9.41</v>
      </c>
      <c r="E132">
        <v>5.99</v>
      </c>
    </row>
    <row r="133" spans="1:5" x14ac:dyDescent="0.3">
      <c r="A133" s="1">
        <v>31595</v>
      </c>
      <c r="B133">
        <v>13.88</v>
      </c>
      <c r="C133">
        <v>8.4600000000000009</v>
      </c>
      <c r="D133">
        <v>9.42</v>
      </c>
      <c r="E133">
        <v>6</v>
      </c>
    </row>
    <row r="134" spans="1:5" x14ac:dyDescent="0.3">
      <c r="A134" s="1">
        <v>31596</v>
      </c>
      <c r="B134">
        <v>14.5</v>
      </c>
      <c r="C134">
        <v>8.41</v>
      </c>
      <c r="D134">
        <v>9.44</v>
      </c>
      <c r="E134">
        <v>5.91</v>
      </c>
    </row>
    <row r="135" spans="1:5" x14ac:dyDescent="0.3">
      <c r="A135" s="1">
        <v>31597</v>
      </c>
      <c r="B135">
        <v>14.5</v>
      </c>
      <c r="C135">
        <v>8.4</v>
      </c>
      <c r="D135">
        <v>9.49</v>
      </c>
      <c r="E135">
        <v>0</v>
      </c>
    </row>
    <row r="136" spans="1:5" x14ac:dyDescent="0.3">
      <c r="A136" s="1">
        <v>31600</v>
      </c>
      <c r="B136">
        <v>14</v>
      </c>
      <c r="C136">
        <v>8.42</v>
      </c>
      <c r="D136">
        <v>9.49</v>
      </c>
      <c r="E136">
        <v>5.87</v>
      </c>
    </row>
    <row r="137" spans="1:5" x14ac:dyDescent="0.3">
      <c r="A137" s="1">
        <v>31601</v>
      </c>
      <c r="B137">
        <v>15.25</v>
      </c>
      <c r="C137">
        <v>8.4600000000000009</v>
      </c>
      <c r="D137">
        <v>9.4600000000000009</v>
      </c>
      <c r="E137">
        <v>5.94</v>
      </c>
    </row>
    <row r="138" spans="1:5" x14ac:dyDescent="0.3">
      <c r="A138" s="1">
        <v>31602</v>
      </c>
      <c r="B138">
        <v>15.88</v>
      </c>
      <c r="C138">
        <v>8.4</v>
      </c>
      <c r="D138">
        <v>9.65</v>
      </c>
      <c r="E138">
        <v>5.88</v>
      </c>
    </row>
    <row r="139" spans="1:5" x14ac:dyDescent="0.3">
      <c r="A139" s="1">
        <v>31603</v>
      </c>
      <c r="B139">
        <v>15.88</v>
      </c>
      <c r="C139">
        <v>8.33</v>
      </c>
      <c r="D139">
        <v>9.56</v>
      </c>
      <c r="E139">
        <v>5.85</v>
      </c>
    </row>
    <row r="140" spans="1:5" x14ac:dyDescent="0.3">
      <c r="A140" s="1">
        <v>31604</v>
      </c>
      <c r="B140">
        <v>16</v>
      </c>
      <c r="C140">
        <v>8.25</v>
      </c>
      <c r="D140">
        <v>9.5500000000000007</v>
      </c>
      <c r="E140">
        <v>5.75</v>
      </c>
    </row>
    <row r="141" spans="1:5" x14ac:dyDescent="0.3">
      <c r="A141" s="1">
        <v>31607</v>
      </c>
      <c r="B141">
        <v>14.63</v>
      </c>
      <c r="C141">
        <v>8.1999999999999993</v>
      </c>
      <c r="D141">
        <v>9.6300000000000008</v>
      </c>
      <c r="E141">
        <v>5.77</v>
      </c>
    </row>
    <row r="142" spans="1:5" x14ac:dyDescent="0.3">
      <c r="A142" s="1">
        <v>31608</v>
      </c>
      <c r="B142">
        <v>14.25</v>
      </c>
      <c r="C142">
        <v>8.15</v>
      </c>
      <c r="D142">
        <v>9.69</v>
      </c>
      <c r="E142">
        <v>5.77</v>
      </c>
    </row>
    <row r="143" spans="1:5" x14ac:dyDescent="0.3">
      <c r="A143" s="1">
        <v>31609</v>
      </c>
      <c r="B143">
        <v>14.13</v>
      </c>
      <c r="C143">
        <v>8.15</v>
      </c>
      <c r="D143">
        <v>9.65</v>
      </c>
      <c r="E143">
        <v>5.77</v>
      </c>
    </row>
    <row r="144" spans="1:5" x14ac:dyDescent="0.3">
      <c r="A144" s="1">
        <v>31610</v>
      </c>
      <c r="B144">
        <v>14.75</v>
      </c>
      <c r="C144">
        <v>8.09</v>
      </c>
      <c r="D144">
        <v>9.61</v>
      </c>
      <c r="E144">
        <v>5.75</v>
      </c>
    </row>
    <row r="145" spans="1:5" x14ac:dyDescent="0.3">
      <c r="A145" s="1">
        <v>31611</v>
      </c>
      <c r="B145">
        <v>14.13</v>
      </c>
      <c r="C145">
        <v>8.09</v>
      </c>
      <c r="D145">
        <v>9.65</v>
      </c>
      <c r="E145">
        <v>5.71</v>
      </c>
    </row>
    <row r="146" spans="1:5" x14ac:dyDescent="0.3">
      <c r="A146" s="1">
        <v>31614</v>
      </c>
      <c r="B146">
        <v>14</v>
      </c>
      <c r="C146">
        <v>8.08</v>
      </c>
      <c r="D146">
        <v>9.68</v>
      </c>
      <c r="E146">
        <v>5.72</v>
      </c>
    </row>
    <row r="147" spans="1:5" x14ac:dyDescent="0.3">
      <c r="A147" s="1">
        <v>31615</v>
      </c>
      <c r="B147">
        <v>13.63</v>
      </c>
      <c r="C147">
        <v>8.1199999999999992</v>
      </c>
      <c r="D147">
        <v>9.69</v>
      </c>
      <c r="E147">
        <v>5.73</v>
      </c>
    </row>
    <row r="148" spans="1:5" x14ac:dyDescent="0.3">
      <c r="A148" s="1">
        <v>31616</v>
      </c>
      <c r="B148">
        <v>14.13</v>
      </c>
      <c r="C148">
        <v>8.23</v>
      </c>
      <c r="D148">
        <v>9.68</v>
      </c>
      <c r="E148">
        <v>5.81</v>
      </c>
    </row>
    <row r="149" spans="1:5" x14ac:dyDescent="0.3">
      <c r="A149" s="1">
        <v>31617</v>
      </c>
      <c r="B149">
        <v>14.63</v>
      </c>
      <c r="C149">
        <v>8.44</v>
      </c>
      <c r="D149">
        <v>9.65</v>
      </c>
      <c r="E149">
        <v>5.81</v>
      </c>
    </row>
    <row r="150" spans="1:5" x14ac:dyDescent="0.3">
      <c r="A150" s="1">
        <v>31618</v>
      </c>
      <c r="B150">
        <v>14.25</v>
      </c>
      <c r="C150">
        <v>8.49</v>
      </c>
      <c r="D150">
        <v>9.61</v>
      </c>
      <c r="E150">
        <v>5.81</v>
      </c>
    </row>
    <row r="151" spans="1:5" x14ac:dyDescent="0.3">
      <c r="A151" s="1">
        <v>31621</v>
      </c>
      <c r="B151">
        <v>14.88</v>
      </c>
      <c r="C151">
        <v>8.69</v>
      </c>
      <c r="D151">
        <v>9.68</v>
      </c>
      <c r="E151">
        <v>5.89</v>
      </c>
    </row>
    <row r="152" spans="1:5" x14ac:dyDescent="0.3">
      <c r="A152" s="1">
        <v>31622</v>
      </c>
      <c r="B152">
        <v>14.63</v>
      </c>
      <c r="C152">
        <v>8.52</v>
      </c>
      <c r="D152">
        <v>9.66</v>
      </c>
      <c r="E152">
        <v>5.86</v>
      </c>
    </row>
    <row r="153" spans="1:5" x14ac:dyDescent="0.3">
      <c r="A153" s="1">
        <v>31623</v>
      </c>
      <c r="B153">
        <v>15.38</v>
      </c>
      <c r="C153">
        <v>8.3800000000000008</v>
      </c>
      <c r="D153">
        <v>9.64</v>
      </c>
      <c r="E153">
        <v>5.85</v>
      </c>
    </row>
    <row r="154" spans="1:5" x14ac:dyDescent="0.3">
      <c r="A154" s="1">
        <v>31624</v>
      </c>
      <c r="B154">
        <v>15.25</v>
      </c>
      <c r="C154">
        <v>8.31</v>
      </c>
      <c r="D154">
        <v>9.61</v>
      </c>
      <c r="E154">
        <v>5.79</v>
      </c>
    </row>
    <row r="155" spans="1:5" x14ac:dyDescent="0.3">
      <c r="A155" s="1">
        <v>31625</v>
      </c>
      <c r="B155">
        <v>16.25</v>
      </c>
      <c r="C155">
        <v>8.3699999999999992</v>
      </c>
      <c r="D155">
        <v>9.61</v>
      </c>
      <c r="E155">
        <v>5.77</v>
      </c>
    </row>
    <row r="156" spans="1:5" x14ac:dyDescent="0.3">
      <c r="A156" s="1">
        <v>31628</v>
      </c>
      <c r="B156">
        <v>15.5</v>
      </c>
      <c r="C156">
        <v>0</v>
      </c>
      <c r="D156">
        <v>9.6199999999999992</v>
      </c>
      <c r="E156">
        <v>5.71</v>
      </c>
    </row>
    <row r="157" spans="1:5" x14ac:dyDescent="0.3">
      <c r="A157" s="1">
        <v>31629</v>
      </c>
      <c r="B157">
        <v>16.88</v>
      </c>
      <c r="C157">
        <v>8.3800000000000008</v>
      </c>
      <c r="D157">
        <v>9.61</v>
      </c>
      <c r="E157">
        <v>5.71</v>
      </c>
    </row>
    <row r="158" spans="1:5" x14ac:dyDescent="0.3">
      <c r="A158" s="1">
        <v>31630</v>
      </c>
      <c r="B158">
        <v>17.63</v>
      </c>
      <c r="C158">
        <v>8.4</v>
      </c>
      <c r="D158">
        <v>9.6199999999999992</v>
      </c>
      <c r="E158">
        <v>5.72</v>
      </c>
    </row>
    <row r="159" spans="1:5" x14ac:dyDescent="0.3">
      <c r="A159" s="1">
        <v>31631</v>
      </c>
      <c r="B159">
        <v>18.38</v>
      </c>
      <c r="C159">
        <v>8.3800000000000008</v>
      </c>
      <c r="D159">
        <v>9.6199999999999992</v>
      </c>
      <c r="E159">
        <v>5.72</v>
      </c>
    </row>
    <row r="160" spans="1:5" x14ac:dyDescent="0.3">
      <c r="A160" s="1">
        <v>31632</v>
      </c>
      <c r="B160">
        <v>17</v>
      </c>
      <c r="C160">
        <v>8.39</v>
      </c>
      <c r="D160">
        <v>9.6199999999999992</v>
      </c>
      <c r="E160">
        <v>5.7</v>
      </c>
    </row>
    <row r="161" spans="1:5" x14ac:dyDescent="0.3">
      <c r="A161" s="1">
        <v>31635</v>
      </c>
      <c r="B161">
        <v>18.25</v>
      </c>
      <c r="C161">
        <v>8.39</v>
      </c>
      <c r="D161">
        <v>9.6199999999999992</v>
      </c>
      <c r="E161">
        <v>5.67</v>
      </c>
    </row>
    <row r="162" spans="1:5" x14ac:dyDescent="0.3">
      <c r="A162" s="1">
        <v>31636</v>
      </c>
      <c r="B162">
        <v>17.25</v>
      </c>
      <c r="C162">
        <v>8.4600000000000009</v>
      </c>
      <c r="D162">
        <v>9.5299999999999994</v>
      </c>
      <c r="E162">
        <v>5.61</v>
      </c>
    </row>
    <row r="163" spans="1:5" x14ac:dyDescent="0.3">
      <c r="A163" s="1">
        <v>31637</v>
      </c>
      <c r="B163">
        <v>17</v>
      </c>
      <c r="C163">
        <v>8.3699999999999992</v>
      </c>
      <c r="D163">
        <v>9.5299999999999994</v>
      </c>
      <c r="E163">
        <v>5.57</v>
      </c>
    </row>
    <row r="164" spans="1:5" x14ac:dyDescent="0.3">
      <c r="A164" s="1">
        <v>31638</v>
      </c>
      <c r="B164">
        <v>18</v>
      </c>
      <c r="C164">
        <v>8.36</v>
      </c>
      <c r="D164">
        <v>9.49</v>
      </c>
      <c r="E164">
        <v>5.59</v>
      </c>
    </row>
    <row r="165" spans="1:5" x14ac:dyDescent="0.3">
      <c r="A165" s="1">
        <v>31639</v>
      </c>
      <c r="B165">
        <v>17.25</v>
      </c>
      <c r="C165">
        <v>8.36</v>
      </c>
      <c r="D165">
        <v>9.48</v>
      </c>
      <c r="E165">
        <v>5.56</v>
      </c>
    </row>
    <row r="166" spans="1:5" x14ac:dyDescent="0.3">
      <c r="A166" s="1">
        <v>31642</v>
      </c>
      <c r="B166">
        <v>18.63</v>
      </c>
      <c r="C166">
        <v>8.3699999999999992</v>
      </c>
      <c r="D166">
        <v>9.4600000000000009</v>
      </c>
      <c r="E166">
        <v>5.61</v>
      </c>
    </row>
    <row r="167" spans="1:5" x14ac:dyDescent="0.3">
      <c r="A167" s="1">
        <v>31643</v>
      </c>
      <c r="B167">
        <v>18.75</v>
      </c>
      <c r="C167">
        <v>8.39</v>
      </c>
      <c r="D167">
        <v>9.4600000000000009</v>
      </c>
      <c r="E167">
        <v>5.56</v>
      </c>
    </row>
    <row r="168" spans="1:5" x14ac:dyDescent="0.3">
      <c r="A168" s="1">
        <v>31644</v>
      </c>
      <c r="B168">
        <v>18.63</v>
      </c>
      <c r="C168">
        <v>8.41</v>
      </c>
      <c r="D168">
        <v>9.4</v>
      </c>
      <c r="E168">
        <v>5.5</v>
      </c>
    </row>
    <row r="169" spans="1:5" x14ac:dyDescent="0.3">
      <c r="A169" s="1">
        <v>31645</v>
      </c>
      <c r="B169">
        <v>19.13</v>
      </c>
      <c r="C169">
        <v>8.3699999999999992</v>
      </c>
      <c r="D169">
        <v>9.35</v>
      </c>
      <c r="E169">
        <v>5.37</v>
      </c>
    </row>
    <row r="170" spans="1:5" x14ac:dyDescent="0.3">
      <c r="A170" s="1">
        <v>31646</v>
      </c>
      <c r="B170">
        <v>17.38</v>
      </c>
      <c r="C170">
        <v>8.36</v>
      </c>
      <c r="D170">
        <v>9.41</v>
      </c>
      <c r="E170">
        <v>5.36</v>
      </c>
    </row>
    <row r="171" spans="1:5" x14ac:dyDescent="0.3">
      <c r="A171" s="1">
        <v>31649</v>
      </c>
      <c r="B171">
        <v>18.25</v>
      </c>
      <c r="C171">
        <v>8.39</v>
      </c>
      <c r="D171">
        <v>9.41</v>
      </c>
      <c r="E171">
        <v>5.27</v>
      </c>
    </row>
    <row r="172" spans="1:5" x14ac:dyDescent="0.3">
      <c r="A172" s="1">
        <v>31650</v>
      </c>
      <c r="B172">
        <v>18.13</v>
      </c>
      <c r="C172">
        <v>8.3699999999999992</v>
      </c>
      <c r="D172">
        <v>9.43</v>
      </c>
      <c r="E172">
        <v>5.29</v>
      </c>
    </row>
    <row r="173" spans="1:5" x14ac:dyDescent="0.3">
      <c r="A173" s="1">
        <v>31651</v>
      </c>
      <c r="B173">
        <v>18.63</v>
      </c>
      <c r="C173">
        <v>8.4</v>
      </c>
      <c r="D173">
        <v>9.3800000000000008</v>
      </c>
      <c r="E173">
        <v>5.32</v>
      </c>
    </row>
    <row r="174" spans="1:5" x14ac:dyDescent="0.3">
      <c r="A174" s="1">
        <v>31652</v>
      </c>
      <c r="B174">
        <v>18.38</v>
      </c>
      <c r="C174">
        <v>8.35</v>
      </c>
      <c r="D174">
        <v>9.4</v>
      </c>
      <c r="E174">
        <v>5.29</v>
      </c>
    </row>
    <row r="175" spans="1:5" x14ac:dyDescent="0.3">
      <c r="A175" s="1">
        <v>31653</v>
      </c>
      <c r="B175">
        <v>18.13</v>
      </c>
      <c r="C175">
        <v>8.24</v>
      </c>
      <c r="D175">
        <v>9.44</v>
      </c>
      <c r="E175">
        <v>5.17</v>
      </c>
    </row>
    <row r="176" spans="1:5" x14ac:dyDescent="0.3">
      <c r="A176" s="1">
        <v>31656</v>
      </c>
      <c r="B176">
        <v>18.38</v>
      </c>
      <c r="C176">
        <v>0</v>
      </c>
      <c r="D176">
        <v>9.49</v>
      </c>
      <c r="E176">
        <v>0</v>
      </c>
    </row>
    <row r="177" spans="1:5" x14ac:dyDescent="0.3">
      <c r="A177" s="1">
        <v>31657</v>
      </c>
      <c r="B177">
        <v>18.25</v>
      </c>
      <c r="C177">
        <v>8.17</v>
      </c>
      <c r="D177">
        <v>9.4600000000000009</v>
      </c>
      <c r="E177">
        <v>5.19</v>
      </c>
    </row>
    <row r="178" spans="1:5" x14ac:dyDescent="0.3">
      <c r="A178" s="1">
        <v>31658</v>
      </c>
      <c r="B178">
        <v>17.75</v>
      </c>
      <c r="C178">
        <v>8.1999999999999993</v>
      </c>
      <c r="D178">
        <v>9.5500000000000007</v>
      </c>
      <c r="E178">
        <v>5.24</v>
      </c>
    </row>
    <row r="179" spans="1:5" x14ac:dyDescent="0.3">
      <c r="A179" s="1">
        <v>31659</v>
      </c>
      <c r="B179">
        <v>17.75</v>
      </c>
      <c r="C179">
        <v>8.23</v>
      </c>
      <c r="D179">
        <v>9.5399999999999991</v>
      </c>
      <c r="E179">
        <v>5.19</v>
      </c>
    </row>
    <row r="180" spans="1:5" x14ac:dyDescent="0.3">
      <c r="A180" s="1">
        <v>31660</v>
      </c>
      <c r="B180">
        <v>17.5</v>
      </c>
      <c r="C180">
        <v>8.24</v>
      </c>
      <c r="D180">
        <v>9.5500000000000007</v>
      </c>
      <c r="E180">
        <v>5.23</v>
      </c>
    </row>
    <row r="181" spans="1:5" x14ac:dyDescent="0.3">
      <c r="A181" s="1">
        <v>31663</v>
      </c>
      <c r="B181">
        <v>17.63</v>
      </c>
      <c r="C181">
        <v>8.24</v>
      </c>
      <c r="D181">
        <v>9.6300000000000008</v>
      </c>
      <c r="E181">
        <v>5.24</v>
      </c>
    </row>
    <row r="182" spans="1:5" x14ac:dyDescent="0.3">
      <c r="A182" s="1">
        <v>31664</v>
      </c>
      <c r="B182">
        <v>18</v>
      </c>
      <c r="C182">
        <v>8.2100000000000009</v>
      </c>
      <c r="D182">
        <v>9.6300000000000008</v>
      </c>
      <c r="E182">
        <v>5.2</v>
      </c>
    </row>
    <row r="183" spans="1:5" x14ac:dyDescent="0.3">
      <c r="A183" s="1">
        <v>31665</v>
      </c>
      <c r="B183">
        <v>18.63</v>
      </c>
      <c r="C183">
        <v>8.25</v>
      </c>
      <c r="D183">
        <v>9.65</v>
      </c>
      <c r="E183">
        <v>5.16</v>
      </c>
    </row>
    <row r="184" spans="1:5" x14ac:dyDescent="0.3">
      <c r="A184" s="1">
        <v>31666</v>
      </c>
      <c r="B184">
        <v>18</v>
      </c>
      <c r="C184">
        <v>8.3699999999999992</v>
      </c>
      <c r="D184">
        <v>9.68</v>
      </c>
      <c r="E184">
        <v>5.21</v>
      </c>
    </row>
    <row r="185" spans="1:5" x14ac:dyDescent="0.3">
      <c r="A185" s="1">
        <v>31667</v>
      </c>
      <c r="B185">
        <v>17.63</v>
      </c>
      <c r="C185">
        <v>8.3000000000000007</v>
      </c>
      <c r="D185">
        <v>9.68</v>
      </c>
      <c r="E185">
        <v>5.17</v>
      </c>
    </row>
    <row r="186" spans="1:5" x14ac:dyDescent="0.3">
      <c r="A186" s="1">
        <v>31670</v>
      </c>
      <c r="B186">
        <v>17.63</v>
      </c>
      <c r="C186">
        <v>8.26</v>
      </c>
      <c r="D186">
        <v>9.65</v>
      </c>
      <c r="E186">
        <v>5.17</v>
      </c>
    </row>
    <row r="187" spans="1:5" x14ac:dyDescent="0.3">
      <c r="A187" s="1">
        <v>31671</v>
      </c>
      <c r="B187">
        <v>17.63</v>
      </c>
      <c r="C187">
        <v>8.32</v>
      </c>
      <c r="D187">
        <v>9.6199999999999992</v>
      </c>
      <c r="E187">
        <v>5.13</v>
      </c>
    </row>
    <row r="188" spans="1:5" x14ac:dyDescent="0.3">
      <c r="A188" s="1">
        <v>31672</v>
      </c>
      <c r="B188">
        <v>17.5</v>
      </c>
      <c r="C188">
        <v>8.39</v>
      </c>
      <c r="D188">
        <v>9.65</v>
      </c>
      <c r="E188">
        <v>5.12</v>
      </c>
    </row>
    <row r="189" spans="1:5" x14ac:dyDescent="0.3">
      <c r="A189" s="1">
        <v>31673</v>
      </c>
      <c r="B189">
        <v>17.38</v>
      </c>
      <c r="C189">
        <v>8.44</v>
      </c>
      <c r="D189">
        <v>9.68</v>
      </c>
      <c r="E189">
        <v>5.23</v>
      </c>
    </row>
    <row r="190" spans="1:5" x14ac:dyDescent="0.3">
      <c r="A190" s="1">
        <v>31674</v>
      </c>
      <c r="B190">
        <v>17.5</v>
      </c>
      <c r="C190">
        <v>8.41</v>
      </c>
      <c r="D190">
        <v>9.85</v>
      </c>
      <c r="E190">
        <v>5.25</v>
      </c>
    </row>
    <row r="191" spans="1:5" x14ac:dyDescent="0.3">
      <c r="A191" s="1">
        <v>31677</v>
      </c>
      <c r="B191">
        <v>17.43</v>
      </c>
      <c r="C191">
        <v>8.3800000000000008</v>
      </c>
      <c r="D191">
        <v>9.85</v>
      </c>
      <c r="E191">
        <v>5.25</v>
      </c>
    </row>
    <row r="192" spans="1:5" x14ac:dyDescent="0.3">
      <c r="A192" s="1">
        <v>31678</v>
      </c>
      <c r="B192">
        <v>17.38</v>
      </c>
      <c r="C192">
        <v>8.3699999999999992</v>
      </c>
      <c r="D192">
        <v>9.91</v>
      </c>
      <c r="E192">
        <v>5.25</v>
      </c>
    </row>
    <row r="193" spans="1:5" x14ac:dyDescent="0.3">
      <c r="A193" s="1">
        <v>31679</v>
      </c>
      <c r="B193">
        <v>17.5</v>
      </c>
      <c r="C193">
        <v>8.31</v>
      </c>
      <c r="D193">
        <v>9.7799999999999994</v>
      </c>
      <c r="E193">
        <v>5.24</v>
      </c>
    </row>
    <row r="194" spans="1:5" x14ac:dyDescent="0.3">
      <c r="A194" s="1">
        <v>31680</v>
      </c>
      <c r="B194">
        <v>17.38</v>
      </c>
      <c r="C194">
        <v>8.36</v>
      </c>
      <c r="D194">
        <v>9.91</v>
      </c>
      <c r="E194">
        <v>5.23</v>
      </c>
    </row>
    <row r="195" spans="1:5" x14ac:dyDescent="0.3">
      <c r="A195" s="1">
        <v>31681</v>
      </c>
      <c r="B195">
        <v>17.55</v>
      </c>
      <c r="C195">
        <v>8.36</v>
      </c>
      <c r="D195">
        <v>10.25</v>
      </c>
      <c r="E195">
        <v>5.24</v>
      </c>
    </row>
    <row r="196" spans="1:5" x14ac:dyDescent="0.3">
      <c r="A196" s="1">
        <v>31684</v>
      </c>
      <c r="B196">
        <v>17.38</v>
      </c>
      <c r="C196">
        <v>8.3800000000000008</v>
      </c>
      <c r="D196">
        <v>10.82</v>
      </c>
      <c r="E196">
        <v>5.26</v>
      </c>
    </row>
    <row r="197" spans="1:5" x14ac:dyDescent="0.3">
      <c r="A197" s="1">
        <v>31685</v>
      </c>
      <c r="B197">
        <v>17.63</v>
      </c>
      <c r="C197">
        <v>8.36</v>
      </c>
      <c r="D197">
        <v>10.220000000000001</v>
      </c>
      <c r="E197">
        <v>5.2</v>
      </c>
    </row>
    <row r="198" spans="1:5" x14ac:dyDescent="0.3">
      <c r="A198" s="1">
        <v>31686</v>
      </c>
      <c r="B198">
        <v>17.579999999999998</v>
      </c>
      <c r="C198">
        <v>8.3800000000000008</v>
      </c>
      <c r="D198">
        <v>10.18</v>
      </c>
      <c r="E198">
        <v>5.19</v>
      </c>
    </row>
    <row r="199" spans="1:5" x14ac:dyDescent="0.3">
      <c r="A199" s="1">
        <v>31687</v>
      </c>
      <c r="B199">
        <v>17.25</v>
      </c>
      <c r="C199">
        <v>8.36</v>
      </c>
      <c r="D199">
        <v>10.32</v>
      </c>
      <c r="E199">
        <v>5.19</v>
      </c>
    </row>
    <row r="200" spans="1:5" x14ac:dyDescent="0.3">
      <c r="A200" s="1">
        <v>31688</v>
      </c>
      <c r="B200">
        <v>17.25</v>
      </c>
      <c r="C200">
        <v>8.3000000000000007</v>
      </c>
      <c r="D200">
        <v>10.63</v>
      </c>
      <c r="E200">
        <v>5.09</v>
      </c>
    </row>
    <row r="201" spans="1:5" x14ac:dyDescent="0.3">
      <c r="A201" s="1">
        <v>31691</v>
      </c>
      <c r="B201">
        <v>17</v>
      </c>
      <c r="C201">
        <v>8.2899999999999991</v>
      </c>
      <c r="D201">
        <v>10.220000000000001</v>
      </c>
      <c r="E201">
        <v>5.05</v>
      </c>
    </row>
    <row r="202" spans="1:5" x14ac:dyDescent="0.3">
      <c r="A202" s="1">
        <v>31692</v>
      </c>
      <c r="B202">
        <v>17</v>
      </c>
      <c r="C202">
        <v>8.31</v>
      </c>
      <c r="D202">
        <v>10.28</v>
      </c>
      <c r="E202">
        <v>5.0599999999999996</v>
      </c>
    </row>
    <row r="203" spans="1:5" x14ac:dyDescent="0.3">
      <c r="A203" s="1">
        <v>31693</v>
      </c>
      <c r="B203">
        <v>17.13</v>
      </c>
      <c r="C203">
        <v>8.2799999999999994</v>
      </c>
      <c r="D203">
        <v>10.35</v>
      </c>
      <c r="E203">
        <v>5.04</v>
      </c>
    </row>
    <row r="204" spans="1:5" x14ac:dyDescent="0.3">
      <c r="A204" s="1">
        <v>31694</v>
      </c>
      <c r="B204">
        <v>17.25</v>
      </c>
      <c r="C204">
        <v>8.24</v>
      </c>
      <c r="D204">
        <v>10.51</v>
      </c>
      <c r="E204">
        <v>5.0599999999999996</v>
      </c>
    </row>
    <row r="205" spans="1:5" x14ac:dyDescent="0.3">
      <c r="A205" s="1">
        <v>31695</v>
      </c>
      <c r="B205">
        <v>17</v>
      </c>
      <c r="C205">
        <v>8.24</v>
      </c>
      <c r="D205">
        <v>10.16</v>
      </c>
      <c r="E205">
        <v>5.0599999999999996</v>
      </c>
    </row>
    <row r="206" spans="1:5" x14ac:dyDescent="0.3">
      <c r="A206" s="1">
        <v>31698</v>
      </c>
      <c r="B206">
        <v>17</v>
      </c>
      <c r="C206">
        <v>0</v>
      </c>
      <c r="D206">
        <v>10.220000000000001</v>
      </c>
      <c r="E206">
        <v>0</v>
      </c>
    </row>
    <row r="207" spans="1:5" x14ac:dyDescent="0.3">
      <c r="A207" s="1">
        <v>31699</v>
      </c>
      <c r="B207">
        <v>16.88</v>
      </c>
      <c r="C207">
        <v>8.27</v>
      </c>
      <c r="D207">
        <v>10.25</v>
      </c>
      <c r="E207">
        <v>5.14</v>
      </c>
    </row>
    <row r="208" spans="1:5" x14ac:dyDescent="0.3">
      <c r="A208" s="1">
        <v>31700</v>
      </c>
      <c r="B208">
        <v>16.88</v>
      </c>
      <c r="C208">
        <v>8.31</v>
      </c>
      <c r="D208">
        <v>10.75</v>
      </c>
      <c r="E208">
        <v>5.18</v>
      </c>
    </row>
    <row r="209" spans="1:5" x14ac:dyDescent="0.3">
      <c r="A209" s="1">
        <v>31701</v>
      </c>
      <c r="B209">
        <v>16.63</v>
      </c>
      <c r="C209">
        <v>8.36</v>
      </c>
      <c r="D209">
        <v>10.74</v>
      </c>
      <c r="E209">
        <v>5.2</v>
      </c>
    </row>
    <row r="210" spans="1:5" x14ac:dyDescent="0.3">
      <c r="A210" s="1">
        <v>31702</v>
      </c>
      <c r="B210">
        <v>16.5</v>
      </c>
      <c r="C210">
        <v>8.34</v>
      </c>
      <c r="D210">
        <v>10.94</v>
      </c>
      <c r="E210">
        <v>5.27</v>
      </c>
    </row>
    <row r="211" spans="1:5" x14ac:dyDescent="0.3">
      <c r="A211" s="1">
        <v>31705</v>
      </c>
      <c r="B211">
        <v>16.5</v>
      </c>
      <c r="C211">
        <v>8.4499999999999993</v>
      </c>
      <c r="D211">
        <v>11.22</v>
      </c>
      <c r="E211">
        <v>5.31</v>
      </c>
    </row>
    <row r="212" spans="1:5" x14ac:dyDescent="0.3">
      <c r="A212" s="1">
        <v>31706</v>
      </c>
      <c r="B212">
        <v>16</v>
      </c>
      <c r="C212">
        <v>8.43</v>
      </c>
      <c r="D212">
        <v>10.96</v>
      </c>
      <c r="E212">
        <v>5.31</v>
      </c>
    </row>
    <row r="213" spans="1:5" x14ac:dyDescent="0.3">
      <c r="A213" s="1">
        <v>31707</v>
      </c>
      <c r="B213">
        <v>16</v>
      </c>
      <c r="C213">
        <v>8.41</v>
      </c>
      <c r="D213">
        <v>10.74</v>
      </c>
      <c r="E213">
        <v>5.3</v>
      </c>
    </row>
    <row r="214" spans="1:5" x14ac:dyDescent="0.3">
      <c r="A214" s="1">
        <v>31708</v>
      </c>
      <c r="B214">
        <v>16.100000000000001</v>
      </c>
      <c r="C214">
        <v>8.39</v>
      </c>
      <c r="D214">
        <v>10.72</v>
      </c>
      <c r="E214">
        <v>5.26</v>
      </c>
    </row>
    <row r="215" spans="1:5" x14ac:dyDescent="0.3">
      <c r="A215" s="1">
        <v>31709</v>
      </c>
      <c r="B215">
        <v>16.100000000000001</v>
      </c>
      <c r="C215">
        <v>8.39</v>
      </c>
      <c r="D215">
        <v>10.7</v>
      </c>
      <c r="E215">
        <v>5.27</v>
      </c>
    </row>
    <row r="216" spans="1:5" x14ac:dyDescent="0.3">
      <c r="A216" s="1">
        <v>31712</v>
      </c>
      <c r="B216">
        <v>16.100000000000001</v>
      </c>
      <c r="C216">
        <v>8.39</v>
      </c>
      <c r="D216">
        <v>10.7</v>
      </c>
      <c r="E216">
        <v>5.19</v>
      </c>
    </row>
    <row r="217" spans="1:5" x14ac:dyDescent="0.3">
      <c r="A217" s="1">
        <v>31713</v>
      </c>
      <c r="B217">
        <v>16.25</v>
      </c>
      <c r="C217">
        <v>8.39</v>
      </c>
      <c r="D217">
        <v>10.68</v>
      </c>
      <c r="E217">
        <v>5.2</v>
      </c>
    </row>
    <row r="218" spans="1:5" x14ac:dyDescent="0.3">
      <c r="A218" s="1">
        <v>31714</v>
      </c>
      <c r="B218">
        <v>16.28</v>
      </c>
      <c r="C218">
        <v>8.4</v>
      </c>
      <c r="D218">
        <v>10.68</v>
      </c>
      <c r="E218">
        <v>5.2</v>
      </c>
    </row>
    <row r="219" spans="1:5" x14ac:dyDescent="0.3">
      <c r="A219" s="1">
        <v>31715</v>
      </c>
      <c r="B219">
        <v>16.13</v>
      </c>
      <c r="C219">
        <v>8.34</v>
      </c>
      <c r="D219">
        <v>10.68</v>
      </c>
      <c r="E219">
        <v>5.18</v>
      </c>
    </row>
    <row r="220" spans="1:5" x14ac:dyDescent="0.3">
      <c r="A220" s="1">
        <v>31716</v>
      </c>
      <c r="B220">
        <v>16</v>
      </c>
      <c r="C220">
        <v>8.36</v>
      </c>
      <c r="D220">
        <v>10.68</v>
      </c>
      <c r="E220">
        <v>5.2</v>
      </c>
    </row>
    <row r="221" spans="1:5" x14ac:dyDescent="0.3">
      <c r="A221" s="1">
        <v>31719</v>
      </c>
      <c r="B221">
        <v>16.2</v>
      </c>
      <c r="C221">
        <v>8.36</v>
      </c>
      <c r="D221">
        <v>10.65</v>
      </c>
      <c r="E221">
        <v>5.21</v>
      </c>
    </row>
    <row r="222" spans="1:5" x14ac:dyDescent="0.3">
      <c r="A222" s="1">
        <v>31720</v>
      </c>
      <c r="B222">
        <v>16.149999999999999</v>
      </c>
      <c r="C222">
        <v>8.3699999999999992</v>
      </c>
      <c r="D222">
        <v>10.65</v>
      </c>
      <c r="E222">
        <v>5.25</v>
      </c>
    </row>
    <row r="223" spans="1:5" x14ac:dyDescent="0.3">
      <c r="A223" s="1">
        <v>31721</v>
      </c>
      <c r="B223">
        <v>16</v>
      </c>
      <c r="C223">
        <v>8.36</v>
      </c>
      <c r="D223">
        <v>10.66</v>
      </c>
      <c r="E223">
        <v>5.26</v>
      </c>
    </row>
    <row r="224" spans="1:5" x14ac:dyDescent="0.3">
      <c r="A224" s="1">
        <v>31722</v>
      </c>
      <c r="B224">
        <v>16.079999999999998</v>
      </c>
      <c r="C224">
        <v>8.36</v>
      </c>
      <c r="D224">
        <v>10.64</v>
      </c>
      <c r="E224">
        <v>5.26</v>
      </c>
    </row>
    <row r="225" spans="1:5" x14ac:dyDescent="0.3">
      <c r="A225" s="1">
        <v>31723</v>
      </c>
      <c r="B225">
        <v>16.079999999999998</v>
      </c>
      <c r="C225">
        <v>8.36</v>
      </c>
      <c r="D225">
        <v>10.64</v>
      </c>
      <c r="E225">
        <v>5.32</v>
      </c>
    </row>
    <row r="226" spans="1:5" x14ac:dyDescent="0.3">
      <c r="A226" s="1">
        <v>31726</v>
      </c>
      <c r="B226">
        <v>16.5</v>
      </c>
      <c r="C226">
        <v>8.36</v>
      </c>
      <c r="D226">
        <v>10.68</v>
      </c>
      <c r="E226">
        <v>5.42</v>
      </c>
    </row>
    <row r="227" spans="1:5" x14ac:dyDescent="0.3">
      <c r="A227" s="1">
        <v>31727</v>
      </c>
      <c r="B227">
        <v>16.88</v>
      </c>
      <c r="C227">
        <v>0</v>
      </c>
      <c r="D227">
        <v>10.68</v>
      </c>
      <c r="E227">
        <v>0</v>
      </c>
    </row>
    <row r="228" spans="1:5" x14ac:dyDescent="0.3">
      <c r="A228" s="1">
        <v>31728</v>
      </c>
      <c r="B228">
        <v>16.5</v>
      </c>
      <c r="C228">
        <v>8.34</v>
      </c>
      <c r="D228">
        <v>10.68</v>
      </c>
      <c r="E228">
        <v>5.4</v>
      </c>
    </row>
    <row r="229" spans="1:5" x14ac:dyDescent="0.3">
      <c r="A229" s="1">
        <v>31729</v>
      </c>
      <c r="B229">
        <v>16.5</v>
      </c>
      <c r="C229">
        <v>8.31</v>
      </c>
      <c r="D229">
        <v>10.71</v>
      </c>
      <c r="E229">
        <v>5.4</v>
      </c>
    </row>
    <row r="230" spans="1:5" x14ac:dyDescent="0.3">
      <c r="A230" s="1">
        <v>31730</v>
      </c>
      <c r="B230">
        <v>16.38</v>
      </c>
      <c r="C230">
        <v>8.2799999999999994</v>
      </c>
      <c r="D230">
        <v>10.71</v>
      </c>
      <c r="E230">
        <v>5.4</v>
      </c>
    </row>
    <row r="231" spans="1:5" x14ac:dyDescent="0.3">
      <c r="A231" s="1">
        <v>31733</v>
      </c>
      <c r="B231">
        <v>16.5</v>
      </c>
      <c r="C231">
        <v>8.25</v>
      </c>
      <c r="D231">
        <v>10.68</v>
      </c>
      <c r="E231">
        <v>5.4</v>
      </c>
    </row>
    <row r="232" spans="1:5" x14ac:dyDescent="0.3">
      <c r="A232" s="1">
        <v>31734</v>
      </c>
      <c r="B232">
        <v>17.13</v>
      </c>
      <c r="C232">
        <v>8.23</v>
      </c>
      <c r="D232">
        <v>10.7</v>
      </c>
      <c r="E232">
        <v>5.35</v>
      </c>
    </row>
    <row r="233" spans="1:5" x14ac:dyDescent="0.3">
      <c r="A233" s="1">
        <v>31735</v>
      </c>
      <c r="B233">
        <v>16.78</v>
      </c>
      <c r="C233">
        <v>8.2200000000000006</v>
      </c>
      <c r="D233">
        <v>10.68</v>
      </c>
      <c r="E233">
        <v>5.33</v>
      </c>
    </row>
    <row r="234" spans="1:5" x14ac:dyDescent="0.3">
      <c r="A234" s="1">
        <v>31736</v>
      </c>
      <c r="B234">
        <v>16.5</v>
      </c>
      <c r="C234">
        <v>8.25</v>
      </c>
      <c r="D234">
        <v>10.72</v>
      </c>
      <c r="E234">
        <v>5.38</v>
      </c>
    </row>
    <row r="235" spans="1:5" x14ac:dyDescent="0.3">
      <c r="A235" s="1">
        <v>31737</v>
      </c>
      <c r="B235">
        <v>16.3</v>
      </c>
      <c r="C235">
        <v>8.25</v>
      </c>
      <c r="D235">
        <v>10.71</v>
      </c>
      <c r="E235">
        <v>5.36</v>
      </c>
    </row>
    <row r="236" spans="1:5" x14ac:dyDescent="0.3">
      <c r="A236" s="1">
        <v>31740</v>
      </c>
      <c r="B236">
        <v>16.18</v>
      </c>
      <c r="C236">
        <v>8.23</v>
      </c>
      <c r="D236">
        <v>10.71</v>
      </c>
      <c r="E236">
        <v>5.38</v>
      </c>
    </row>
    <row r="237" spans="1:5" x14ac:dyDescent="0.3">
      <c r="A237" s="1">
        <v>31741</v>
      </c>
      <c r="B237">
        <v>16.25</v>
      </c>
      <c r="C237">
        <v>8.24</v>
      </c>
      <c r="D237">
        <v>10.72</v>
      </c>
      <c r="E237">
        <v>5.39</v>
      </c>
    </row>
    <row r="238" spans="1:5" x14ac:dyDescent="0.3">
      <c r="A238" s="1">
        <v>31742</v>
      </c>
      <c r="B238">
        <v>16.149999999999999</v>
      </c>
      <c r="C238">
        <v>8.25</v>
      </c>
      <c r="D238">
        <v>10.7</v>
      </c>
      <c r="E238">
        <v>5.39</v>
      </c>
    </row>
    <row r="239" spans="1:5" x14ac:dyDescent="0.3">
      <c r="A239" s="1">
        <v>31743</v>
      </c>
      <c r="B239">
        <v>16</v>
      </c>
      <c r="C239">
        <v>8.23</v>
      </c>
      <c r="D239">
        <v>10.7</v>
      </c>
      <c r="E239">
        <v>0</v>
      </c>
    </row>
    <row r="240" spans="1:5" x14ac:dyDescent="0.3">
      <c r="A240" s="1">
        <v>31744</v>
      </c>
      <c r="B240">
        <v>16</v>
      </c>
      <c r="C240">
        <v>8.23</v>
      </c>
      <c r="D240">
        <v>10.71</v>
      </c>
      <c r="E240">
        <v>5.39</v>
      </c>
    </row>
    <row r="241" spans="1:5" x14ac:dyDescent="0.3">
      <c r="A241" s="1">
        <v>31747</v>
      </c>
      <c r="B241">
        <v>15.9</v>
      </c>
      <c r="C241">
        <v>8.2200000000000006</v>
      </c>
      <c r="D241">
        <v>10.72</v>
      </c>
      <c r="E241">
        <v>5.42</v>
      </c>
    </row>
    <row r="242" spans="1:5" x14ac:dyDescent="0.3">
      <c r="A242" s="1">
        <v>31748</v>
      </c>
      <c r="B242">
        <v>15.88</v>
      </c>
      <c r="C242">
        <v>8.23</v>
      </c>
      <c r="D242">
        <v>10.75</v>
      </c>
      <c r="E242">
        <v>5.41</v>
      </c>
    </row>
    <row r="243" spans="1:5" x14ac:dyDescent="0.3">
      <c r="A243" s="1">
        <v>31749</v>
      </c>
      <c r="B243">
        <v>15.9</v>
      </c>
      <c r="C243">
        <v>8.23</v>
      </c>
      <c r="D243">
        <v>10.74</v>
      </c>
      <c r="E243">
        <v>5.41</v>
      </c>
    </row>
    <row r="244" spans="1:5" x14ac:dyDescent="0.3">
      <c r="A244" s="1">
        <v>31750</v>
      </c>
      <c r="B244">
        <v>15.93</v>
      </c>
      <c r="C244">
        <v>8.1999999999999993</v>
      </c>
      <c r="D244">
        <v>10.73</v>
      </c>
      <c r="E244">
        <v>5.4</v>
      </c>
    </row>
    <row r="245" spans="1:5" x14ac:dyDescent="0.3">
      <c r="A245" s="1">
        <v>31751</v>
      </c>
      <c r="B245">
        <v>15.95</v>
      </c>
      <c r="C245">
        <v>8.2100000000000009</v>
      </c>
      <c r="D245">
        <v>10.71</v>
      </c>
      <c r="E245">
        <v>5.44</v>
      </c>
    </row>
    <row r="246" spans="1:5" x14ac:dyDescent="0.3">
      <c r="A246" s="1">
        <v>31754</v>
      </c>
      <c r="B246">
        <v>16</v>
      </c>
      <c r="C246">
        <v>8.24</v>
      </c>
      <c r="D246">
        <v>10.72</v>
      </c>
      <c r="E246">
        <v>5.51</v>
      </c>
    </row>
    <row r="247" spans="1:5" x14ac:dyDescent="0.3">
      <c r="A247" s="1">
        <v>31755</v>
      </c>
      <c r="B247">
        <v>16.25</v>
      </c>
      <c r="C247">
        <v>8.24</v>
      </c>
      <c r="D247">
        <v>10.7</v>
      </c>
      <c r="E247">
        <v>5.48</v>
      </c>
    </row>
    <row r="248" spans="1:5" x14ac:dyDescent="0.3">
      <c r="A248" s="1">
        <v>31756</v>
      </c>
      <c r="B248">
        <v>16.350000000000001</v>
      </c>
      <c r="C248">
        <v>8.23</v>
      </c>
      <c r="D248">
        <v>10.7</v>
      </c>
      <c r="E248">
        <v>5.49</v>
      </c>
    </row>
    <row r="249" spans="1:5" x14ac:dyDescent="0.3">
      <c r="A249" s="1">
        <v>31757</v>
      </c>
      <c r="B249">
        <v>16.23</v>
      </c>
      <c r="C249">
        <v>8.25</v>
      </c>
      <c r="D249">
        <v>10.7</v>
      </c>
      <c r="E249">
        <v>5.49</v>
      </c>
    </row>
    <row r="250" spans="1:5" x14ac:dyDescent="0.3">
      <c r="A250" s="1">
        <v>31758</v>
      </c>
      <c r="B250">
        <v>16</v>
      </c>
      <c r="C250">
        <v>8.25</v>
      </c>
      <c r="D250">
        <v>10.7</v>
      </c>
      <c r="E250">
        <v>5.49</v>
      </c>
    </row>
    <row r="251" spans="1:5" x14ac:dyDescent="0.3">
      <c r="A251" s="1">
        <v>31761</v>
      </c>
      <c r="B251">
        <v>15.88</v>
      </c>
      <c r="C251">
        <v>8.27</v>
      </c>
      <c r="D251">
        <v>10.68</v>
      </c>
      <c r="E251">
        <v>5.5</v>
      </c>
    </row>
    <row r="252" spans="1:5" x14ac:dyDescent="0.3">
      <c r="A252" s="1">
        <v>31762</v>
      </c>
      <c r="B252">
        <v>15.73</v>
      </c>
      <c r="C252">
        <v>8.2799999999999994</v>
      </c>
      <c r="D252">
        <v>10.68</v>
      </c>
      <c r="E252">
        <v>5.58</v>
      </c>
    </row>
    <row r="253" spans="1:5" x14ac:dyDescent="0.3">
      <c r="A253" s="1">
        <v>31763</v>
      </c>
      <c r="B253">
        <v>15.1</v>
      </c>
      <c r="C253">
        <v>8.27</v>
      </c>
      <c r="D253">
        <v>10.7</v>
      </c>
      <c r="E253">
        <v>5.64</v>
      </c>
    </row>
    <row r="254" spans="1:5" x14ac:dyDescent="0.3">
      <c r="A254" s="1">
        <v>31764</v>
      </c>
      <c r="B254">
        <v>15.23</v>
      </c>
      <c r="C254">
        <v>8.23</v>
      </c>
      <c r="D254">
        <v>10.7</v>
      </c>
      <c r="E254">
        <v>5.6</v>
      </c>
    </row>
    <row r="255" spans="1:5" x14ac:dyDescent="0.3">
      <c r="A255" s="1">
        <v>31765</v>
      </c>
      <c r="B255">
        <v>14.88</v>
      </c>
      <c r="C255">
        <v>8.24</v>
      </c>
      <c r="D255">
        <v>10.7</v>
      </c>
      <c r="E255">
        <v>5.51</v>
      </c>
    </row>
    <row r="256" spans="1:5" x14ac:dyDescent="0.3">
      <c r="A256" s="1">
        <v>31768</v>
      </c>
      <c r="B256">
        <v>15</v>
      </c>
      <c r="C256">
        <v>8.24</v>
      </c>
      <c r="D256">
        <v>10.68</v>
      </c>
      <c r="E256">
        <v>5.53</v>
      </c>
    </row>
    <row r="257" spans="1:5" x14ac:dyDescent="0.3">
      <c r="A257" s="1">
        <v>31769</v>
      </c>
      <c r="B257">
        <v>14.65</v>
      </c>
      <c r="C257">
        <v>8.23</v>
      </c>
      <c r="D257">
        <v>10.68</v>
      </c>
      <c r="E257">
        <v>5.55</v>
      </c>
    </row>
    <row r="258" spans="1:5" x14ac:dyDescent="0.3">
      <c r="A258" s="1">
        <v>31770</v>
      </c>
      <c r="B258">
        <v>14.65</v>
      </c>
      <c r="C258">
        <v>8.23</v>
      </c>
      <c r="D258">
        <v>10.68</v>
      </c>
      <c r="E258">
        <v>5.57</v>
      </c>
    </row>
    <row r="259" spans="1:5" x14ac:dyDescent="0.3">
      <c r="A259" s="1">
        <v>31771</v>
      </c>
      <c r="C259">
        <v>0</v>
      </c>
      <c r="D259">
        <v>10.68</v>
      </c>
      <c r="E259">
        <v>0</v>
      </c>
    </row>
    <row r="260" spans="1:5" x14ac:dyDescent="0.3">
      <c r="A260" s="1">
        <v>31772</v>
      </c>
      <c r="C260">
        <v>0</v>
      </c>
      <c r="D260">
        <v>10.68</v>
      </c>
      <c r="E260">
        <v>5.57</v>
      </c>
    </row>
    <row r="261" spans="1:5" x14ac:dyDescent="0.3">
      <c r="A261" s="1">
        <v>31775</v>
      </c>
      <c r="B261">
        <v>14.6</v>
      </c>
      <c r="C261">
        <v>8.25</v>
      </c>
      <c r="D261">
        <v>10.66</v>
      </c>
      <c r="E261">
        <v>5.67</v>
      </c>
    </row>
    <row r="262" spans="1:5" x14ac:dyDescent="0.3">
      <c r="A262" s="1">
        <v>31776</v>
      </c>
      <c r="B262">
        <v>14.7</v>
      </c>
      <c r="C262">
        <v>8.26</v>
      </c>
      <c r="D262">
        <v>10.68</v>
      </c>
      <c r="E262">
        <v>5.69</v>
      </c>
    </row>
    <row r="263" spans="1:5" x14ac:dyDescent="0.3">
      <c r="A263" s="1">
        <v>31777</v>
      </c>
      <c r="B263">
        <v>14.75</v>
      </c>
      <c r="C263">
        <v>8.25</v>
      </c>
      <c r="D263">
        <v>10.68</v>
      </c>
      <c r="E263">
        <v>5.67</v>
      </c>
    </row>
    <row r="264" spans="1:5" x14ac:dyDescent="0.3">
      <c r="A264" s="1">
        <v>31778</v>
      </c>
      <c r="C264">
        <v>0</v>
      </c>
      <c r="D264">
        <v>10.68</v>
      </c>
      <c r="E264">
        <v>0</v>
      </c>
    </row>
    <row r="265" spans="1:5" x14ac:dyDescent="0.3">
      <c r="A265" s="1">
        <v>31779</v>
      </c>
      <c r="B265">
        <v>14.73</v>
      </c>
      <c r="C265">
        <v>8.25</v>
      </c>
      <c r="D265">
        <v>10.68</v>
      </c>
      <c r="E265">
        <v>5.55</v>
      </c>
    </row>
    <row r="266" spans="1:5" x14ac:dyDescent="0.3">
      <c r="A266" s="1">
        <v>31782</v>
      </c>
      <c r="B266">
        <v>14.7</v>
      </c>
      <c r="C266">
        <v>8.23</v>
      </c>
      <c r="D266">
        <v>10.63</v>
      </c>
      <c r="E266">
        <v>5.55</v>
      </c>
    </row>
    <row r="267" spans="1:5" x14ac:dyDescent="0.3">
      <c r="A267" s="1">
        <v>31783</v>
      </c>
      <c r="B267">
        <v>14.78</v>
      </c>
      <c r="C267">
        <v>8.1999999999999993</v>
      </c>
      <c r="D267">
        <v>10.68</v>
      </c>
      <c r="E267">
        <v>5.51</v>
      </c>
    </row>
    <row r="268" spans="1:5" x14ac:dyDescent="0.3">
      <c r="A268" s="1">
        <v>31784</v>
      </c>
      <c r="B268">
        <v>14.95</v>
      </c>
      <c r="C268">
        <v>8.15</v>
      </c>
      <c r="D268">
        <v>10.68</v>
      </c>
      <c r="E268">
        <v>5.43</v>
      </c>
    </row>
    <row r="269" spans="1:5" x14ac:dyDescent="0.3">
      <c r="A269" s="1">
        <v>31785</v>
      </c>
      <c r="B269">
        <v>15.45</v>
      </c>
      <c r="C269">
        <v>8.1</v>
      </c>
      <c r="D269">
        <v>10.67</v>
      </c>
      <c r="E269">
        <v>5.43</v>
      </c>
    </row>
    <row r="270" spans="1:5" x14ac:dyDescent="0.3">
      <c r="A270" s="1">
        <v>31786</v>
      </c>
      <c r="B270">
        <v>15.88</v>
      </c>
      <c r="C270">
        <v>8.09</v>
      </c>
      <c r="D270">
        <v>10.64</v>
      </c>
      <c r="E270">
        <v>5.38</v>
      </c>
    </row>
    <row r="271" spans="1:5" x14ac:dyDescent="0.3">
      <c r="A271" s="1">
        <v>31789</v>
      </c>
      <c r="B271">
        <v>15.75</v>
      </c>
      <c r="C271">
        <v>8.0500000000000007</v>
      </c>
      <c r="D271">
        <v>10.64</v>
      </c>
      <c r="E271">
        <v>5.37</v>
      </c>
    </row>
    <row r="272" spans="1:5" x14ac:dyDescent="0.3">
      <c r="A272" s="1">
        <v>31790</v>
      </c>
      <c r="B272">
        <v>15.63</v>
      </c>
      <c r="C272">
        <v>8.02</v>
      </c>
      <c r="D272">
        <v>10.64</v>
      </c>
      <c r="E272">
        <v>5.36</v>
      </c>
    </row>
    <row r="273" spans="1:5" x14ac:dyDescent="0.3">
      <c r="A273" s="1">
        <v>31791</v>
      </c>
      <c r="B273">
        <v>16.75</v>
      </c>
      <c r="C273">
        <v>8.02</v>
      </c>
      <c r="D273">
        <v>10.68</v>
      </c>
      <c r="E273">
        <v>5.35</v>
      </c>
    </row>
    <row r="274" spans="1:5" x14ac:dyDescent="0.3">
      <c r="A274" s="1">
        <v>31792</v>
      </c>
      <c r="B274">
        <v>23</v>
      </c>
      <c r="C274">
        <v>7.93</v>
      </c>
      <c r="D274">
        <v>10.67</v>
      </c>
      <c r="E274">
        <v>5.36</v>
      </c>
    </row>
    <row r="275" spans="1:5" x14ac:dyDescent="0.3">
      <c r="A275" s="1">
        <v>31793</v>
      </c>
      <c r="B275">
        <v>17.63</v>
      </c>
      <c r="C275">
        <v>7.88</v>
      </c>
      <c r="D275">
        <v>10.64</v>
      </c>
      <c r="E275">
        <v>5.33</v>
      </c>
    </row>
    <row r="276" spans="1:5" x14ac:dyDescent="0.3">
      <c r="A276" s="1">
        <v>31796</v>
      </c>
      <c r="B276">
        <v>17.75</v>
      </c>
      <c r="C276">
        <v>7.82</v>
      </c>
      <c r="D276">
        <v>10.6</v>
      </c>
      <c r="E276">
        <v>0</v>
      </c>
    </row>
    <row r="277" spans="1:5" x14ac:dyDescent="0.3">
      <c r="A277" s="1">
        <v>31797</v>
      </c>
      <c r="B277">
        <v>18</v>
      </c>
      <c r="C277">
        <v>7.82</v>
      </c>
      <c r="D277">
        <v>10.61</v>
      </c>
      <c r="E277">
        <v>5.3</v>
      </c>
    </row>
    <row r="278" spans="1:5" x14ac:dyDescent="0.3">
      <c r="A278" s="1">
        <v>31798</v>
      </c>
      <c r="B278">
        <v>17</v>
      </c>
      <c r="C278">
        <v>7.64</v>
      </c>
      <c r="D278">
        <v>10.62</v>
      </c>
      <c r="E278">
        <v>5.31</v>
      </c>
    </row>
    <row r="279" spans="1:5" x14ac:dyDescent="0.3">
      <c r="A279" s="1">
        <v>31799</v>
      </c>
      <c r="B279">
        <v>16.75</v>
      </c>
      <c r="C279">
        <v>7.5</v>
      </c>
      <c r="D279">
        <v>10.57</v>
      </c>
      <c r="E279">
        <v>5.38</v>
      </c>
    </row>
    <row r="280" spans="1:5" x14ac:dyDescent="0.3">
      <c r="A280" s="1">
        <v>31800</v>
      </c>
      <c r="B280">
        <v>16.5</v>
      </c>
      <c r="C280">
        <v>7.51</v>
      </c>
      <c r="D280">
        <v>10.58</v>
      </c>
      <c r="E280">
        <v>5.4</v>
      </c>
    </row>
    <row r="281" spans="1:5" x14ac:dyDescent="0.3">
      <c r="A281" s="1">
        <v>31803</v>
      </c>
      <c r="C281">
        <v>7.53</v>
      </c>
      <c r="D281">
        <v>10.6</v>
      </c>
      <c r="E281">
        <v>5.49</v>
      </c>
    </row>
    <row r="282" spans="1:5" x14ac:dyDescent="0.3">
      <c r="A282" s="1">
        <v>31804</v>
      </c>
      <c r="B282">
        <v>16.8</v>
      </c>
      <c r="C282">
        <v>7.44</v>
      </c>
      <c r="D282">
        <v>10.61</v>
      </c>
      <c r="E282">
        <v>5.49</v>
      </c>
    </row>
    <row r="283" spans="1:5" x14ac:dyDescent="0.3">
      <c r="A283" s="1">
        <v>31805</v>
      </c>
      <c r="B283">
        <v>16.829999999999998</v>
      </c>
      <c r="C283">
        <v>7.32</v>
      </c>
      <c r="D283">
        <v>10.62</v>
      </c>
      <c r="E283">
        <v>5.47</v>
      </c>
    </row>
    <row r="284" spans="1:5" x14ac:dyDescent="0.3">
      <c r="A284" s="1">
        <v>31806</v>
      </c>
      <c r="B284">
        <v>16.850000000000001</v>
      </c>
      <c r="C284">
        <v>7.27</v>
      </c>
      <c r="D284">
        <v>10.64</v>
      </c>
      <c r="E284">
        <v>5.48</v>
      </c>
    </row>
    <row r="285" spans="1:5" x14ac:dyDescent="0.3">
      <c r="A285" s="1">
        <v>31807</v>
      </c>
      <c r="B285">
        <v>16.7</v>
      </c>
      <c r="C285">
        <v>7.28</v>
      </c>
      <c r="D285">
        <v>10.65</v>
      </c>
      <c r="E285">
        <v>5.6</v>
      </c>
    </row>
    <row r="286" spans="1:5" x14ac:dyDescent="0.3">
      <c r="A286" s="1">
        <v>31810</v>
      </c>
      <c r="B286">
        <v>16.75</v>
      </c>
      <c r="C286">
        <v>7.3</v>
      </c>
      <c r="D286">
        <v>10.65</v>
      </c>
      <c r="E286">
        <v>5.61</v>
      </c>
    </row>
    <row r="287" spans="1:5" x14ac:dyDescent="0.3">
      <c r="A287" s="1">
        <v>31811</v>
      </c>
      <c r="B287">
        <v>16.850000000000001</v>
      </c>
      <c r="C287">
        <v>7.35</v>
      </c>
      <c r="D287">
        <v>10.64</v>
      </c>
      <c r="E287">
        <v>5.59</v>
      </c>
    </row>
    <row r="288" spans="1:5" x14ac:dyDescent="0.3">
      <c r="A288" s="1">
        <v>31812</v>
      </c>
      <c r="B288">
        <v>16.829999999999998</v>
      </c>
      <c r="C288">
        <v>7.28</v>
      </c>
      <c r="D288">
        <v>10.62</v>
      </c>
      <c r="E288">
        <v>5.63</v>
      </c>
    </row>
    <row r="289" spans="1:5" x14ac:dyDescent="0.3">
      <c r="A289" s="1">
        <v>31813</v>
      </c>
      <c r="B289">
        <v>16.579999999999998</v>
      </c>
      <c r="C289">
        <v>7.29</v>
      </c>
      <c r="D289">
        <v>10.6</v>
      </c>
      <c r="E289">
        <v>5.59</v>
      </c>
    </row>
    <row r="290" spans="1:5" x14ac:dyDescent="0.3">
      <c r="A290" s="1">
        <v>31814</v>
      </c>
      <c r="B290">
        <v>16.38</v>
      </c>
      <c r="C290">
        <v>7.29</v>
      </c>
      <c r="D290">
        <v>10.5</v>
      </c>
      <c r="E290">
        <v>5.66</v>
      </c>
    </row>
    <row r="291" spans="1:5" x14ac:dyDescent="0.3">
      <c r="A291" s="1">
        <v>31817</v>
      </c>
      <c r="B291">
        <v>16.8</v>
      </c>
      <c r="C291">
        <v>7.32</v>
      </c>
      <c r="D291">
        <v>10.56</v>
      </c>
      <c r="E291">
        <v>5.72</v>
      </c>
    </row>
    <row r="292" spans="1:5" x14ac:dyDescent="0.3">
      <c r="A292" s="1">
        <v>31818</v>
      </c>
      <c r="B292">
        <v>16.850000000000001</v>
      </c>
      <c r="C292">
        <v>7.36</v>
      </c>
      <c r="D292">
        <v>10.58</v>
      </c>
      <c r="E292">
        <v>5.82</v>
      </c>
    </row>
    <row r="293" spans="1:5" x14ac:dyDescent="0.3">
      <c r="A293" s="1">
        <v>31819</v>
      </c>
      <c r="B293">
        <v>16.350000000000001</v>
      </c>
      <c r="C293">
        <v>7.37</v>
      </c>
      <c r="D293">
        <v>10.58</v>
      </c>
      <c r="E293">
        <v>5.86</v>
      </c>
    </row>
    <row r="294" spans="1:5" x14ac:dyDescent="0.3">
      <c r="A294" s="1">
        <v>31820</v>
      </c>
      <c r="B294">
        <v>16.13</v>
      </c>
      <c r="C294">
        <v>7.52</v>
      </c>
      <c r="D294">
        <v>10.59</v>
      </c>
      <c r="E294">
        <v>5.72</v>
      </c>
    </row>
    <row r="295" spans="1:5" x14ac:dyDescent="0.3">
      <c r="A295" s="1">
        <v>31821</v>
      </c>
      <c r="B295">
        <v>15.85</v>
      </c>
      <c r="C295">
        <v>7.42</v>
      </c>
      <c r="D295">
        <v>10.59</v>
      </c>
      <c r="E295">
        <v>5.65</v>
      </c>
    </row>
    <row r="296" spans="1:5" x14ac:dyDescent="0.3">
      <c r="A296" s="1">
        <v>31824</v>
      </c>
      <c r="B296">
        <v>16.149999999999999</v>
      </c>
      <c r="C296">
        <v>7.44</v>
      </c>
      <c r="D296">
        <v>10.55</v>
      </c>
      <c r="E296">
        <v>0</v>
      </c>
    </row>
    <row r="297" spans="1:5" x14ac:dyDescent="0.3">
      <c r="A297" s="1">
        <v>31825</v>
      </c>
      <c r="B297">
        <v>16.75</v>
      </c>
      <c r="C297">
        <v>7.39</v>
      </c>
      <c r="D297">
        <v>10.56</v>
      </c>
      <c r="E297">
        <v>5.72</v>
      </c>
    </row>
    <row r="298" spans="1:5" x14ac:dyDescent="0.3">
      <c r="A298" s="1">
        <v>31826</v>
      </c>
      <c r="B298">
        <v>16.8</v>
      </c>
      <c r="C298">
        <v>7.37</v>
      </c>
      <c r="D298">
        <v>10.31</v>
      </c>
      <c r="E298">
        <v>5.6</v>
      </c>
    </row>
    <row r="299" spans="1:5" x14ac:dyDescent="0.3">
      <c r="A299" s="1">
        <v>31827</v>
      </c>
      <c r="B299">
        <v>16.3</v>
      </c>
      <c r="C299">
        <v>7.36</v>
      </c>
      <c r="D299">
        <v>10.130000000000001</v>
      </c>
      <c r="E299">
        <v>5.45</v>
      </c>
    </row>
    <row r="300" spans="1:5" x14ac:dyDescent="0.3">
      <c r="A300" s="1">
        <v>31828</v>
      </c>
      <c r="B300">
        <v>16.25</v>
      </c>
      <c r="C300">
        <v>7.31</v>
      </c>
      <c r="D300">
        <v>10.28</v>
      </c>
      <c r="E300">
        <v>5.43</v>
      </c>
    </row>
    <row r="301" spans="1:5" x14ac:dyDescent="0.3">
      <c r="A301" s="1">
        <v>31831</v>
      </c>
      <c r="B301">
        <v>16.23</v>
      </c>
      <c r="C301">
        <v>7.32</v>
      </c>
      <c r="D301">
        <v>10.3</v>
      </c>
      <c r="E301">
        <v>5.44</v>
      </c>
    </row>
    <row r="302" spans="1:5" x14ac:dyDescent="0.3">
      <c r="A302" s="1">
        <v>31832</v>
      </c>
      <c r="B302">
        <v>16.100000000000001</v>
      </c>
      <c r="C302">
        <v>7.32</v>
      </c>
      <c r="D302">
        <v>10.25</v>
      </c>
      <c r="E302">
        <v>5.44</v>
      </c>
    </row>
    <row r="303" spans="1:5" x14ac:dyDescent="0.3">
      <c r="A303" s="1">
        <v>31833</v>
      </c>
      <c r="B303">
        <v>16.05</v>
      </c>
      <c r="C303">
        <v>7.29</v>
      </c>
      <c r="D303">
        <v>10.31</v>
      </c>
      <c r="E303">
        <v>5.45</v>
      </c>
    </row>
    <row r="304" spans="1:5" x14ac:dyDescent="0.3">
      <c r="A304" s="1">
        <v>31834</v>
      </c>
      <c r="B304">
        <v>16.23</v>
      </c>
      <c r="C304">
        <v>7.3</v>
      </c>
      <c r="D304">
        <v>10.35</v>
      </c>
      <c r="E304">
        <v>5.45</v>
      </c>
    </row>
    <row r="305" spans="1:5" x14ac:dyDescent="0.3">
      <c r="A305" s="1">
        <v>31835</v>
      </c>
      <c r="B305">
        <v>16.43</v>
      </c>
      <c r="C305">
        <v>7.32</v>
      </c>
      <c r="D305">
        <v>10.34</v>
      </c>
      <c r="E305">
        <v>5.45</v>
      </c>
    </row>
    <row r="306" spans="1:5" x14ac:dyDescent="0.3">
      <c r="A306" s="1">
        <v>31838</v>
      </c>
      <c r="B306">
        <v>16.38</v>
      </c>
      <c r="C306">
        <v>7.31</v>
      </c>
      <c r="D306">
        <v>10.210000000000001</v>
      </c>
      <c r="E306">
        <v>5.48</v>
      </c>
    </row>
    <row r="307" spans="1:5" x14ac:dyDescent="0.3">
      <c r="A307" s="1">
        <v>31839</v>
      </c>
      <c r="B307">
        <v>16.329999999999998</v>
      </c>
      <c r="C307">
        <v>7.33</v>
      </c>
      <c r="D307">
        <v>10.14</v>
      </c>
      <c r="E307">
        <v>5.54</v>
      </c>
    </row>
    <row r="308" spans="1:5" x14ac:dyDescent="0.3">
      <c r="A308" s="1">
        <v>31840</v>
      </c>
      <c r="B308">
        <v>16.38</v>
      </c>
      <c r="C308">
        <v>7.3</v>
      </c>
      <c r="D308">
        <v>10.050000000000001</v>
      </c>
      <c r="E308">
        <v>5.51</v>
      </c>
    </row>
    <row r="309" spans="1:5" x14ac:dyDescent="0.3">
      <c r="A309" s="1">
        <v>31841</v>
      </c>
      <c r="B309">
        <v>16.3</v>
      </c>
      <c r="C309">
        <v>7.3</v>
      </c>
      <c r="D309">
        <v>9.91</v>
      </c>
      <c r="E309">
        <v>5.52</v>
      </c>
    </row>
    <row r="310" spans="1:5" x14ac:dyDescent="0.3">
      <c r="A310" s="1">
        <v>31842</v>
      </c>
      <c r="B310">
        <v>16.25</v>
      </c>
      <c r="C310">
        <v>7.29</v>
      </c>
      <c r="D310">
        <v>10</v>
      </c>
      <c r="E310">
        <v>5.64</v>
      </c>
    </row>
    <row r="311" spans="1:5" x14ac:dyDescent="0.3">
      <c r="A311" s="1">
        <v>31845</v>
      </c>
      <c r="B311">
        <v>16.38</v>
      </c>
      <c r="C311">
        <v>7.31</v>
      </c>
      <c r="D311">
        <v>9.86</v>
      </c>
      <c r="E311">
        <v>5.64</v>
      </c>
    </row>
    <row r="312" spans="1:5" x14ac:dyDescent="0.3">
      <c r="A312" s="1">
        <v>31846</v>
      </c>
      <c r="B312">
        <v>16.88</v>
      </c>
      <c r="C312">
        <v>7.28</v>
      </c>
      <c r="D312">
        <v>9.77</v>
      </c>
      <c r="E312">
        <v>5.68</v>
      </c>
    </row>
    <row r="313" spans="1:5" x14ac:dyDescent="0.3">
      <c r="A313" s="1">
        <v>31847</v>
      </c>
      <c r="B313">
        <v>16.5</v>
      </c>
      <c r="C313">
        <v>7.23</v>
      </c>
      <c r="D313">
        <v>9.59</v>
      </c>
      <c r="E313">
        <v>5.69</v>
      </c>
    </row>
    <row r="314" spans="1:5" x14ac:dyDescent="0.3">
      <c r="A314" s="1">
        <v>31848</v>
      </c>
      <c r="B314">
        <v>16.25</v>
      </c>
      <c r="C314">
        <v>6.99</v>
      </c>
      <c r="D314">
        <v>9.5500000000000007</v>
      </c>
      <c r="E314">
        <v>5.67</v>
      </c>
    </row>
    <row r="315" spans="1:5" x14ac:dyDescent="0.3">
      <c r="A315" s="1">
        <v>31849</v>
      </c>
      <c r="B315">
        <v>16.05</v>
      </c>
      <c r="C315">
        <v>7.02</v>
      </c>
      <c r="D315">
        <v>9.58</v>
      </c>
      <c r="E315">
        <v>5.62</v>
      </c>
    </row>
    <row r="316" spans="1:5" x14ac:dyDescent="0.3">
      <c r="A316" s="1">
        <v>31852</v>
      </c>
      <c r="B316">
        <v>16.38</v>
      </c>
      <c r="C316">
        <v>6.91</v>
      </c>
      <c r="D316">
        <v>9.4</v>
      </c>
      <c r="E316">
        <v>5.65</v>
      </c>
    </row>
    <row r="317" spans="1:5" x14ac:dyDescent="0.3">
      <c r="A317" s="1">
        <v>31853</v>
      </c>
      <c r="B317">
        <v>16.28</v>
      </c>
      <c r="C317">
        <v>6.91</v>
      </c>
      <c r="D317">
        <v>9.33</v>
      </c>
      <c r="E317">
        <v>5.57</v>
      </c>
    </row>
    <row r="318" spans="1:5" x14ac:dyDescent="0.3">
      <c r="A318" s="1">
        <v>31854</v>
      </c>
      <c r="B318">
        <v>16.149999999999999</v>
      </c>
      <c r="C318">
        <v>6.96</v>
      </c>
      <c r="D318">
        <v>9.3800000000000008</v>
      </c>
      <c r="E318">
        <v>5.52</v>
      </c>
    </row>
    <row r="319" spans="1:5" x14ac:dyDescent="0.3">
      <c r="A319" s="1">
        <v>31855</v>
      </c>
      <c r="B319">
        <v>16.079999999999998</v>
      </c>
      <c r="C319">
        <v>6.91</v>
      </c>
      <c r="D319">
        <v>9.2799999999999994</v>
      </c>
      <c r="E319">
        <v>5.5</v>
      </c>
    </row>
    <row r="320" spans="1:5" x14ac:dyDescent="0.3">
      <c r="A320" s="1">
        <v>31856</v>
      </c>
      <c r="B320">
        <v>16.100000000000001</v>
      </c>
      <c r="C320">
        <v>6.85</v>
      </c>
      <c r="D320">
        <v>9.3000000000000007</v>
      </c>
      <c r="E320">
        <v>5.52</v>
      </c>
    </row>
    <row r="321" spans="1:5" x14ac:dyDescent="0.3">
      <c r="A321" s="1">
        <v>31859</v>
      </c>
      <c r="B321">
        <v>16.25</v>
      </c>
      <c r="C321">
        <v>6.78</v>
      </c>
      <c r="D321">
        <v>9.27</v>
      </c>
      <c r="E321">
        <v>5.62</v>
      </c>
    </row>
    <row r="322" spans="1:5" x14ac:dyDescent="0.3">
      <c r="A322" s="1">
        <v>31860</v>
      </c>
      <c r="B322">
        <v>16.329999999999998</v>
      </c>
      <c r="C322">
        <v>6.8</v>
      </c>
      <c r="D322">
        <v>9.3000000000000007</v>
      </c>
      <c r="E322">
        <v>5.61</v>
      </c>
    </row>
    <row r="323" spans="1:5" x14ac:dyDescent="0.3">
      <c r="A323" s="1">
        <v>31861</v>
      </c>
      <c r="B323">
        <v>16.079999999999998</v>
      </c>
      <c r="C323">
        <v>6.83</v>
      </c>
      <c r="D323">
        <v>9.3000000000000007</v>
      </c>
      <c r="E323">
        <v>5.57</v>
      </c>
    </row>
    <row r="324" spans="1:5" x14ac:dyDescent="0.3">
      <c r="A324" s="1">
        <v>31862</v>
      </c>
      <c r="B324">
        <v>15.95</v>
      </c>
      <c r="C324">
        <v>6.81</v>
      </c>
      <c r="D324">
        <v>9.41</v>
      </c>
      <c r="E324">
        <v>5.57</v>
      </c>
    </row>
    <row r="325" spans="1:5" x14ac:dyDescent="0.3">
      <c r="A325" s="1">
        <v>31863</v>
      </c>
      <c r="B325">
        <v>15.85</v>
      </c>
      <c r="C325">
        <v>6.82</v>
      </c>
      <c r="D325">
        <v>9.4700000000000006</v>
      </c>
      <c r="E325">
        <v>5.63</v>
      </c>
    </row>
    <row r="326" spans="1:5" x14ac:dyDescent="0.3">
      <c r="A326" s="1">
        <v>31866</v>
      </c>
      <c r="B326">
        <v>15.93</v>
      </c>
      <c r="C326">
        <v>6.95</v>
      </c>
      <c r="D326">
        <v>9.56</v>
      </c>
      <c r="E326">
        <v>5.66</v>
      </c>
    </row>
    <row r="327" spans="1:5" x14ac:dyDescent="0.3">
      <c r="A327" s="1">
        <v>31867</v>
      </c>
      <c r="B327">
        <v>15.95</v>
      </c>
      <c r="C327">
        <v>6.94</v>
      </c>
      <c r="D327">
        <v>9.5500000000000007</v>
      </c>
      <c r="E327">
        <v>5.61</v>
      </c>
    </row>
    <row r="328" spans="1:5" x14ac:dyDescent="0.3">
      <c r="A328" s="1">
        <v>31868</v>
      </c>
      <c r="B328">
        <v>15.8</v>
      </c>
      <c r="C328">
        <v>7.01</v>
      </c>
      <c r="D328">
        <v>9.5299999999999994</v>
      </c>
      <c r="E328">
        <v>5.54</v>
      </c>
    </row>
    <row r="329" spans="1:5" x14ac:dyDescent="0.3">
      <c r="A329" s="1">
        <v>31869</v>
      </c>
      <c r="B329">
        <v>15</v>
      </c>
      <c r="C329">
        <v>6.95</v>
      </c>
      <c r="D329">
        <v>9.61</v>
      </c>
      <c r="E329">
        <v>5.51</v>
      </c>
    </row>
    <row r="330" spans="1:5" x14ac:dyDescent="0.3">
      <c r="A330" s="1">
        <v>31870</v>
      </c>
      <c r="B330">
        <v>14.75</v>
      </c>
      <c r="C330">
        <v>6.96</v>
      </c>
      <c r="D330">
        <v>9.6</v>
      </c>
      <c r="E330">
        <v>5.5</v>
      </c>
    </row>
    <row r="331" spans="1:5" x14ac:dyDescent="0.3">
      <c r="A331" s="1">
        <v>31873</v>
      </c>
      <c r="B331">
        <v>15.13</v>
      </c>
      <c r="C331">
        <v>6.97</v>
      </c>
      <c r="D331">
        <v>9.4700000000000006</v>
      </c>
      <c r="E331">
        <v>5.47</v>
      </c>
    </row>
    <row r="332" spans="1:5" x14ac:dyDescent="0.3">
      <c r="A332" s="1">
        <v>31874</v>
      </c>
      <c r="B332">
        <v>15.5</v>
      </c>
      <c r="C332">
        <v>6.94</v>
      </c>
      <c r="D332">
        <v>9.49</v>
      </c>
      <c r="E332">
        <v>5.51</v>
      </c>
    </row>
    <row r="333" spans="1:5" x14ac:dyDescent="0.3">
      <c r="A333" s="1">
        <v>31875</v>
      </c>
      <c r="B333">
        <v>15.25</v>
      </c>
      <c r="C333">
        <v>6.96</v>
      </c>
      <c r="D333">
        <v>9.52</v>
      </c>
      <c r="E333">
        <v>5.5</v>
      </c>
    </row>
    <row r="334" spans="1:5" x14ac:dyDescent="0.3">
      <c r="A334" s="1">
        <v>31876</v>
      </c>
      <c r="B334">
        <v>15.63</v>
      </c>
      <c r="C334">
        <v>7.01</v>
      </c>
      <c r="D334">
        <v>9.52</v>
      </c>
      <c r="E334">
        <v>5.75</v>
      </c>
    </row>
    <row r="335" spans="1:5" x14ac:dyDescent="0.3">
      <c r="A335" s="1">
        <v>31877</v>
      </c>
      <c r="B335">
        <v>15.25</v>
      </c>
      <c r="C335">
        <v>7.03</v>
      </c>
      <c r="D335">
        <v>9.56</v>
      </c>
      <c r="E335">
        <v>5.85</v>
      </c>
    </row>
    <row r="336" spans="1:5" x14ac:dyDescent="0.3">
      <c r="A336" s="1">
        <v>31880</v>
      </c>
      <c r="B336">
        <v>15.13</v>
      </c>
      <c r="C336">
        <v>7.02</v>
      </c>
      <c r="D336">
        <v>9.61</v>
      </c>
      <c r="E336">
        <v>6.02</v>
      </c>
    </row>
    <row r="337" spans="1:5" x14ac:dyDescent="0.3">
      <c r="A337" s="1">
        <v>31881</v>
      </c>
      <c r="B337">
        <v>15.1</v>
      </c>
      <c r="C337">
        <v>7.34</v>
      </c>
      <c r="D337">
        <v>9.61</v>
      </c>
      <c r="E337">
        <v>5.92</v>
      </c>
    </row>
    <row r="338" spans="1:5" x14ac:dyDescent="0.3">
      <c r="A338" s="1">
        <v>31882</v>
      </c>
      <c r="B338">
        <v>14.88</v>
      </c>
      <c r="C338">
        <v>7.72</v>
      </c>
      <c r="D338">
        <v>9.56</v>
      </c>
      <c r="E338">
        <v>5.68</v>
      </c>
    </row>
    <row r="339" spans="1:5" x14ac:dyDescent="0.3">
      <c r="A339" s="1">
        <v>31883</v>
      </c>
      <c r="B339">
        <v>14.6</v>
      </c>
      <c r="C339">
        <v>7.59</v>
      </c>
      <c r="D339">
        <v>9.5299999999999994</v>
      </c>
      <c r="E339">
        <v>5.56</v>
      </c>
    </row>
    <row r="340" spans="1:5" x14ac:dyDescent="0.3">
      <c r="A340" s="1">
        <v>31884</v>
      </c>
      <c r="C340">
        <v>0</v>
      </c>
      <c r="D340">
        <v>9.5299999999999994</v>
      </c>
      <c r="E340">
        <v>0</v>
      </c>
    </row>
    <row r="341" spans="1:5" x14ac:dyDescent="0.3">
      <c r="A341" s="1">
        <v>31887</v>
      </c>
      <c r="C341">
        <v>7.56</v>
      </c>
      <c r="D341">
        <v>9.5299999999999994</v>
      </c>
      <c r="E341">
        <v>5.54</v>
      </c>
    </row>
    <row r="342" spans="1:5" x14ac:dyDescent="0.3">
      <c r="A342" s="1">
        <v>31888</v>
      </c>
      <c r="B342">
        <v>14.5</v>
      </c>
      <c r="C342">
        <v>7.73</v>
      </c>
      <c r="D342">
        <v>9.5500000000000007</v>
      </c>
      <c r="E342">
        <v>5.5</v>
      </c>
    </row>
    <row r="343" spans="1:5" x14ac:dyDescent="0.3">
      <c r="A343" s="1">
        <v>31889</v>
      </c>
      <c r="B343">
        <v>14.35</v>
      </c>
      <c r="C343">
        <v>7.98</v>
      </c>
      <c r="D343">
        <v>9.56</v>
      </c>
      <c r="E343">
        <v>5.42</v>
      </c>
    </row>
    <row r="344" spans="1:5" x14ac:dyDescent="0.3">
      <c r="A344" s="1">
        <v>31890</v>
      </c>
      <c r="B344">
        <v>14.33</v>
      </c>
      <c r="C344">
        <v>8.09</v>
      </c>
      <c r="D344">
        <v>9.5299999999999994</v>
      </c>
      <c r="E344">
        <v>5.49</v>
      </c>
    </row>
    <row r="345" spans="1:5" x14ac:dyDescent="0.3">
      <c r="A345" s="1">
        <v>31891</v>
      </c>
      <c r="B345">
        <v>14.05</v>
      </c>
      <c r="C345">
        <v>8.3000000000000007</v>
      </c>
      <c r="D345">
        <v>9.36</v>
      </c>
      <c r="E345">
        <v>5.76</v>
      </c>
    </row>
    <row r="346" spans="1:5" x14ac:dyDescent="0.3">
      <c r="A346" s="1">
        <v>31894</v>
      </c>
      <c r="B346">
        <v>14.15</v>
      </c>
      <c r="C346">
        <v>8.25</v>
      </c>
      <c r="D346">
        <v>9.2200000000000006</v>
      </c>
      <c r="E346">
        <v>5.78</v>
      </c>
    </row>
    <row r="347" spans="1:5" x14ac:dyDescent="0.3">
      <c r="A347" s="1">
        <v>31895</v>
      </c>
      <c r="B347">
        <v>14.28</v>
      </c>
      <c r="C347">
        <v>8.1300000000000008</v>
      </c>
      <c r="D347">
        <v>9.2799999999999994</v>
      </c>
      <c r="E347">
        <v>5.82</v>
      </c>
    </row>
    <row r="348" spans="1:5" x14ac:dyDescent="0.3">
      <c r="A348" s="1">
        <v>31896</v>
      </c>
      <c r="B348">
        <v>14.15</v>
      </c>
      <c r="C348">
        <v>8.0299999999999994</v>
      </c>
      <c r="D348">
        <v>9.09</v>
      </c>
      <c r="E348">
        <v>5.71</v>
      </c>
    </row>
    <row r="349" spans="1:5" x14ac:dyDescent="0.3">
      <c r="A349" s="1">
        <v>31897</v>
      </c>
      <c r="B349">
        <v>14.2</v>
      </c>
      <c r="C349">
        <v>8.0399999999999991</v>
      </c>
      <c r="D349">
        <v>8.99</v>
      </c>
      <c r="E349">
        <v>5.53</v>
      </c>
    </row>
    <row r="350" spans="1:5" x14ac:dyDescent="0.3">
      <c r="A350" s="1">
        <v>31898</v>
      </c>
      <c r="B350">
        <v>14.25</v>
      </c>
      <c r="C350">
        <v>8.09</v>
      </c>
      <c r="D350">
        <v>8.81</v>
      </c>
      <c r="E350">
        <v>5.6</v>
      </c>
    </row>
    <row r="351" spans="1:5" x14ac:dyDescent="0.3">
      <c r="A351" s="1">
        <v>31901</v>
      </c>
      <c r="B351">
        <v>14.5</v>
      </c>
      <c r="C351">
        <v>8.2899999999999991</v>
      </c>
      <c r="D351">
        <v>8.81</v>
      </c>
      <c r="E351">
        <v>5.67</v>
      </c>
    </row>
    <row r="352" spans="1:5" x14ac:dyDescent="0.3">
      <c r="A352" s="1">
        <v>31902</v>
      </c>
      <c r="B352">
        <v>15.13</v>
      </c>
      <c r="C352">
        <v>8.1300000000000008</v>
      </c>
      <c r="D352">
        <v>8.7100000000000009</v>
      </c>
      <c r="E352">
        <v>5.81</v>
      </c>
    </row>
    <row r="353" spans="1:5" x14ac:dyDescent="0.3">
      <c r="A353" s="1">
        <v>31903</v>
      </c>
      <c r="B353">
        <v>15.88</v>
      </c>
      <c r="C353">
        <v>8</v>
      </c>
      <c r="D353">
        <v>8.6</v>
      </c>
      <c r="E353">
        <v>5.5</v>
      </c>
    </row>
    <row r="354" spans="1:5" x14ac:dyDescent="0.3">
      <c r="A354" s="1">
        <v>31904</v>
      </c>
      <c r="B354">
        <v>14.88</v>
      </c>
      <c r="C354">
        <v>7.88</v>
      </c>
      <c r="D354">
        <v>8.7100000000000009</v>
      </c>
      <c r="E354">
        <v>5.53</v>
      </c>
    </row>
    <row r="355" spans="1:5" x14ac:dyDescent="0.3">
      <c r="A355" s="1">
        <v>31905</v>
      </c>
      <c r="B355">
        <v>14.98</v>
      </c>
      <c r="C355">
        <v>7.85</v>
      </c>
      <c r="D355">
        <v>8.6</v>
      </c>
      <c r="E355">
        <v>5.53</v>
      </c>
    </row>
    <row r="356" spans="1:5" x14ac:dyDescent="0.3">
      <c r="A356" s="1">
        <v>31908</v>
      </c>
      <c r="B356">
        <v>16</v>
      </c>
      <c r="C356">
        <v>7.84</v>
      </c>
      <c r="D356">
        <v>8.5500000000000007</v>
      </c>
      <c r="E356">
        <v>5.65</v>
      </c>
    </row>
    <row r="357" spans="1:5" x14ac:dyDescent="0.3">
      <c r="A357" s="1">
        <v>31909</v>
      </c>
      <c r="B357">
        <v>14.83</v>
      </c>
      <c r="C357">
        <v>7.84</v>
      </c>
      <c r="D357">
        <v>8.61</v>
      </c>
      <c r="E357">
        <v>5.6</v>
      </c>
    </row>
    <row r="358" spans="1:5" x14ac:dyDescent="0.3">
      <c r="A358" s="1">
        <v>31910</v>
      </c>
      <c r="B358">
        <v>14.4</v>
      </c>
      <c r="C358">
        <v>7.86</v>
      </c>
      <c r="D358">
        <v>8.58</v>
      </c>
      <c r="E358">
        <v>5.53</v>
      </c>
    </row>
    <row r="359" spans="1:5" x14ac:dyDescent="0.3">
      <c r="A359" s="1">
        <v>31911</v>
      </c>
      <c r="B359">
        <v>14.2</v>
      </c>
      <c r="C359">
        <v>7.81</v>
      </c>
      <c r="D359">
        <v>8.5299999999999994</v>
      </c>
      <c r="E359">
        <v>5.73</v>
      </c>
    </row>
    <row r="360" spans="1:5" x14ac:dyDescent="0.3">
      <c r="A360" s="1">
        <v>31912</v>
      </c>
      <c r="B360">
        <v>13.25</v>
      </c>
      <c r="C360">
        <v>7.98</v>
      </c>
      <c r="D360">
        <v>8.36</v>
      </c>
      <c r="E360">
        <v>5.95</v>
      </c>
    </row>
    <row r="361" spans="1:5" x14ac:dyDescent="0.3">
      <c r="A361" s="1">
        <v>31915</v>
      </c>
      <c r="B361">
        <v>13.75</v>
      </c>
      <c r="C361">
        <v>0</v>
      </c>
      <c r="D361">
        <v>8.4600000000000009</v>
      </c>
      <c r="E361">
        <v>5.87</v>
      </c>
    </row>
    <row r="362" spans="1:5" x14ac:dyDescent="0.3">
      <c r="A362" s="1">
        <v>31916</v>
      </c>
      <c r="B362">
        <v>14.25</v>
      </c>
      <c r="C362">
        <v>8.08</v>
      </c>
      <c r="D362">
        <v>8.44</v>
      </c>
      <c r="E362">
        <v>5.78</v>
      </c>
    </row>
    <row r="363" spans="1:5" x14ac:dyDescent="0.3">
      <c r="A363" s="1">
        <v>31917</v>
      </c>
      <c r="B363">
        <v>13.75</v>
      </c>
      <c r="C363">
        <v>8.35</v>
      </c>
      <c r="D363">
        <v>8.4600000000000009</v>
      </c>
      <c r="E363">
        <v>5.69</v>
      </c>
    </row>
    <row r="364" spans="1:5" x14ac:dyDescent="0.3">
      <c r="A364" s="1">
        <v>31918</v>
      </c>
      <c r="B364">
        <v>14.13</v>
      </c>
      <c r="C364">
        <v>8.3000000000000007</v>
      </c>
      <c r="D364">
        <v>8.49</v>
      </c>
      <c r="E364">
        <v>5.53</v>
      </c>
    </row>
    <row r="365" spans="1:5" x14ac:dyDescent="0.3">
      <c r="A365" s="1">
        <v>31919</v>
      </c>
      <c r="B365">
        <v>13.5</v>
      </c>
      <c r="C365">
        <v>8.2799999999999994</v>
      </c>
      <c r="D365">
        <v>8.4600000000000009</v>
      </c>
      <c r="E365">
        <v>5.55</v>
      </c>
    </row>
    <row r="366" spans="1:5" x14ac:dyDescent="0.3">
      <c r="A366" s="1">
        <v>31922</v>
      </c>
      <c r="B366">
        <v>13.5</v>
      </c>
      <c r="C366">
        <v>8.2100000000000009</v>
      </c>
      <c r="D366">
        <v>8.4600000000000009</v>
      </c>
      <c r="E366">
        <v>0</v>
      </c>
    </row>
    <row r="367" spans="1:5" x14ac:dyDescent="0.3">
      <c r="A367" s="1">
        <v>31923</v>
      </c>
      <c r="B367">
        <v>13.5</v>
      </c>
      <c r="C367">
        <v>8.09</v>
      </c>
      <c r="D367">
        <v>8.5500000000000007</v>
      </c>
      <c r="E367">
        <v>5.61</v>
      </c>
    </row>
    <row r="368" spans="1:5" x14ac:dyDescent="0.3">
      <c r="A368" s="1">
        <v>31924</v>
      </c>
      <c r="B368">
        <v>14</v>
      </c>
      <c r="C368">
        <v>8.1300000000000008</v>
      </c>
      <c r="D368">
        <v>8.66</v>
      </c>
      <c r="E368">
        <v>5.76</v>
      </c>
    </row>
    <row r="369" spans="1:5" x14ac:dyDescent="0.3">
      <c r="A369" s="1">
        <v>31925</v>
      </c>
      <c r="B369">
        <v>13.5</v>
      </c>
      <c r="C369">
        <v>8.1999999999999993</v>
      </c>
      <c r="D369">
        <v>8.61</v>
      </c>
      <c r="E369">
        <v>5.63</v>
      </c>
    </row>
    <row r="370" spans="1:5" x14ac:dyDescent="0.3">
      <c r="A370" s="1">
        <v>31926</v>
      </c>
      <c r="B370">
        <v>13.38</v>
      </c>
      <c r="C370">
        <v>8.1300000000000008</v>
      </c>
      <c r="D370">
        <v>8.56</v>
      </c>
      <c r="E370">
        <v>5.68</v>
      </c>
    </row>
    <row r="371" spans="1:5" x14ac:dyDescent="0.3">
      <c r="A371" s="1">
        <v>31929</v>
      </c>
      <c r="B371">
        <v>13.7</v>
      </c>
      <c r="C371">
        <v>8.19</v>
      </c>
      <c r="D371">
        <v>8.5500000000000007</v>
      </c>
      <c r="E371">
        <v>5.7</v>
      </c>
    </row>
    <row r="372" spans="1:5" x14ac:dyDescent="0.3">
      <c r="A372" s="1">
        <v>31930</v>
      </c>
      <c r="B372">
        <v>13.7</v>
      </c>
      <c r="C372">
        <v>8.4499999999999993</v>
      </c>
      <c r="D372">
        <v>8.51</v>
      </c>
      <c r="E372">
        <v>5.76</v>
      </c>
    </row>
    <row r="373" spans="1:5" x14ac:dyDescent="0.3">
      <c r="A373" s="1">
        <v>31931</v>
      </c>
      <c r="B373">
        <v>13.6</v>
      </c>
      <c r="C373">
        <v>8.26</v>
      </c>
      <c r="D373">
        <v>8.51</v>
      </c>
      <c r="E373">
        <v>5.69</v>
      </c>
    </row>
    <row r="374" spans="1:5" x14ac:dyDescent="0.3">
      <c r="A374" s="1">
        <v>31932</v>
      </c>
      <c r="B374">
        <v>13.5</v>
      </c>
      <c r="C374">
        <v>8.27</v>
      </c>
      <c r="D374">
        <v>8.5299999999999994</v>
      </c>
      <c r="E374">
        <v>5.66</v>
      </c>
    </row>
    <row r="375" spans="1:5" x14ac:dyDescent="0.3">
      <c r="A375" s="1">
        <v>31933</v>
      </c>
      <c r="B375">
        <v>13.73</v>
      </c>
      <c r="C375">
        <v>8.27</v>
      </c>
      <c r="D375">
        <v>8.5399999999999991</v>
      </c>
      <c r="E375">
        <v>5.68</v>
      </c>
    </row>
    <row r="376" spans="1:5" x14ac:dyDescent="0.3">
      <c r="A376" s="1">
        <v>31936</v>
      </c>
      <c r="C376">
        <v>8.3000000000000007</v>
      </c>
      <c r="D376">
        <v>8.52</v>
      </c>
      <c r="E376">
        <v>5.66</v>
      </c>
    </row>
    <row r="377" spans="1:5" x14ac:dyDescent="0.3">
      <c r="A377" s="1">
        <v>31937</v>
      </c>
      <c r="B377">
        <v>14.78</v>
      </c>
      <c r="C377">
        <v>8.35</v>
      </c>
      <c r="D377">
        <v>8.4600000000000009</v>
      </c>
      <c r="E377">
        <v>5.51</v>
      </c>
    </row>
    <row r="378" spans="1:5" x14ac:dyDescent="0.3">
      <c r="A378" s="1">
        <v>31938</v>
      </c>
      <c r="B378">
        <v>14.38</v>
      </c>
      <c r="C378">
        <v>8.32</v>
      </c>
      <c r="D378">
        <v>8.3699999999999992</v>
      </c>
      <c r="E378">
        <v>5.48</v>
      </c>
    </row>
    <row r="379" spans="1:5" x14ac:dyDescent="0.3">
      <c r="A379" s="1">
        <v>31939</v>
      </c>
      <c r="B379">
        <v>13.55</v>
      </c>
      <c r="C379">
        <v>8.34</v>
      </c>
      <c r="D379">
        <v>8.4</v>
      </c>
      <c r="E379">
        <v>5.54</v>
      </c>
    </row>
    <row r="380" spans="1:5" x14ac:dyDescent="0.3">
      <c r="A380" s="1">
        <v>31940</v>
      </c>
      <c r="B380">
        <v>13.13</v>
      </c>
      <c r="C380">
        <v>8.31</v>
      </c>
      <c r="D380">
        <v>8.44</v>
      </c>
      <c r="E380">
        <v>5.55</v>
      </c>
    </row>
    <row r="381" spans="1:5" x14ac:dyDescent="0.3">
      <c r="A381" s="1">
        <v>31943</v>
      </c>
      <c r="B381">
        <v>13.13</v>
      </c>
      <c r="C381">
        <v>8.31</v>
      </c>
      <c r="D381">
        <v>8.4600000000000009</v>
      </c>
      <c r="E381">
        <v>5.65</v>
      </c>
    </row>
    <row r="382" spans="1:5" x14ac:dyDescent="0.3">
      <c r="A382" s="1">
        <v>31944</v>
      </c>
      <c r="B382">
        <v>13.13</v>
      </c>
      <c r="C382">
        <v>8.32</v>
      </c>
      <c r="D382">
        <v>8.6</v>
      </c>
      <c r="E382">
        <v>5.63</v>
      </c>
    </row>
    <row r="383" spans="1:5" x14ac:dyDescent="0.3">
      <c r="A383" s="1">
        <v>31945</v>
      </c>
      <c r="B383">
        <v>12.7</v>
      </c>
      <c r="C383">
        <v>8.3000000000000007</v>
      </c>
      <c r="D383">
        <v>8.61</v>
      </c>
      <c r="E383">
        <v>5.65</v>
      </c>
    </row>
    <row r="384" spans="1:5" x14ac:dyDescent="0.3">
      <c r="A384" s="1">
        <v>31946</v>
      </c>
      <c r="B384">
        <v>12.88</v>
      </c>
      <c r="C384">
        <v>8.33</v>
      </c>
      <c r="D384">
        <v>8.59</v>
      </c>
      <c r="E384">
        <v>5.65</v>
      </c>
    </row>
    <row r="385" spans="1:5" x14ac:dyDescent="0.3">
      <c r="A385" s="1">
        <v>31947</v>
      </c>
      <c r="B385">
        <v>12.38</v>
      </c>
      <c r="C385">
        <v>8.34</v>
      </c>
      <c r="D385">
        <v>8.69</v>
      </c>
      <c r="E385">
        <v>5.66</v>
      </c>
    </row>
    <row r="386" spans="1:5" x14ac:dyDescent="0.3">
      <c r="A386" s="1">
        <v>31950</v>
      </c>
      <c r="B386">
        <v>12.38</v>
      </c>
      <c r="C386">
        <v>8.2799999999999994</v>
      </c>
      <c r="D386">
        <v>8.82</v>
      </c>
      <c r="E386">
        <v>5.66</v>
      </c>
    </row>
    <row r="387" spans="1:5" x14ac:dyDescent="0.3">
      <c r="A387" s="1">
        <v>31951</v>
      </c>
      <c r="B387">
        <v>12.25</v>
      </c>
      <c r="C387">
        <v>8.31</v>
      </c>
      <c r="D387">
        <v>8.86</v>
      </c>
      <c r="E387">
        <v>5.72</v>
      </c>
    </row>
    <row r="388" spans="1:5" x14ac:dyDescent="0.3">
      <c r="A388" s="1">
        <v>31952</v>
      </c>
      <c r="B388">
        <v>12</v>
      </c>
      <c r="C388">
        <v>8.33</v>
      </c>
      <c r="D388">
        <v>8.82</v>
      </c>
      <c r="E388">
        <v>5.83</v>
      </c>
    </row>
    <row r="389" spans="1:5" x14ac:dyDescent="0.3">
      <c r="A389" s="1">
        <v>31953</v>
      </c>
      <c r="B389">
        <v>12.38</v>
      </c>
      <c r="C389">
        <v>8.2899999999999991</v>
      </c>
      <c r="D389">
        <v>8.82</v>
      </c>
      <c r="E389">
        <v>5.84</v>
      </c>
    </row>
    <row r="390" spans="1:5" x14ac:dyDescent="0.3">
      <c r="A390" s="1">
        <v>31954</v>
      </c>
      <c r="B390">
        <v>12.63</v>
      </c>
      <c r="C390">
        <v>8.32</v>
      </c>
      <c r="D390">
        <v>8.82</v>
      </c>
      <c r="E390">
        <v>5.78</v>
      </c>
    </row>
    <row r="391" spans="1:5" x14ac:dyDescent="0.3">
      <c r="A391" s="1">
        <v>31957</v>
      </c>
      <c r="B391">
        <v>12.75</v>
      </c>
      <c r="C391">
        <v>8.36</v>
      </c>
      <c r="D391">
        <v>8.86</v>
      </c>
      <c r="E391">
        <v>5.67</v>
      </c>
    </row>
    <row r="392" spans="1:5" x14ac:dyDescent="0.3">
      <c r="A392" s="1">
        <v>31958</v>
      </c>
      <c r="B392">
        <v>14.25</v>
      </c>
      <c r="C392">
        <v>8.35</v>
      </c>
      <c r="D392">
        <v>8.8699999999999992</v>
      </c>
      <c r="E392">
        <v>5.73</v>
      </c>
    </row>
    <row r="393" spans="1:5" x14ac:dyDescent="0.3">
      <c r="A393" s="1">
        <v>31959</v>
      </c>
      <c r="B393">
        <v>12.75</v>
      </c>
      <c r="C393">
        <v>0</v>
      </c>
      <c r="D393">
        <v>8.84</v>
      </c>
      <c r="E393">
        <v>5.64</v>
      </c>
    </row>
    <row r="394" spans="1:5" x14ac:dyDescent="0.3">
      <c r="A394" s="1">
        <v>31960</v>
      </c>
      <c r="B394">
        <v>12.43</v>
      </c>
      <c r="C394">
        <v>8.36</v>
      </c>
      <c r="D394">
        <v>8.85</v>
      </c>
      <c r="E394">
        <v>5.66</v>
      </c>
    </row>
    <row r="395" spans="1:5" x14ac:dyDescent="0.3">
      <c r="A395" s="1">
        <v>31961</v>
      </c>
      <c r="B395">
        <v>12</v>
      </c>
      <c r="C395">
        <v>8.34</v>
      </c>
      <c r="D395">
        <v>8.8699999999999992</v>
      </c>
      <c r="E395">
        <v>0</v>
      </c>
    </row>
    <row r="396" spans="1:5" x14ac:dyDescent="0.3">
      <c r="A396" s="1">
        <v>31964</v>
      </c>
      <c r="B396">
        <v>12.23</v>
      </c>
      <c r="C396">
        <v>8.34</v>
      </c>
      <c r="D396">
        <v>8.86</v>
      </c>
      <c r="E396">
        <v>5.67</v>
      </c>
    </row>
    <row r="397" spans="1:5" x14ac:dyDescent="0.3">
      <c r="A397" s="1">
        <v>31965</v>
      </c>
      <c r="B397">
        <v>12.25</v>
      </c>
      <c r="C397">
        <v>8.34</v>
      </c>
      <c r="D397">
        <v>8.83</v>
      </c>
      <c r="E397">
        <v>5.6</v>
      </c>
    </row>
    <row r="398" spans="1:5" x14ac:dyDescent="0.3">
      <c r="A398" s="1">
        <v>31966</v>
      </c>
      <c r="B398">
        <v>12.63</v>
      </c>
      <c r="C398">
        <v>8.36</v>
      </c>
      <c r="D398">
        <v>8.81</v>
      </c>
      <c r="E398">
        <v>5.57</v>
      </c>
    </row>
    <row r="399" spans="1:5" x14ac:dyDescent="0.3">
      <c r="A399" s="1">
        <v>31967</v>
      </c>
      <c r="B399">
        <v>13.6</v>
      </c>
      <c r="C399">
        <v>8.43</v>
      </c>
      <c r="D399">
        <v>8.81</v>
      </c>
      <c r="E399">
        <v>5.61</v>
      </c>
    </row>
    <row r="400" spans="1:5" x14ac:dyDescent="0.3">
      <c r="A400" s="1">
        <v>31968</v>
      </c>
      <c r="B400">
        <v>14.13</v>
      </c>
      <c r="C400">
        <v>8.43</v>
      </c>
      <c r="D400">
        <v>8.81</v>
      </c>
      <c r="E400">
        <v>5.59</v>
      </c>
    </row>
    <row r="401" spans="1:5" x14ac:dyDescent="0.3">
      <c r="A401" s="1">
        <v>31971</v>
      </c>
      <c r="B401">
        <v>12.63</v>
      </c>
      <c r="C401">
        <v>8.4600000000000009</v>
      </c>
      <c r="D401">
        <v>8.81</v>
      </c>
      <c r="E401">
        <v>5.61</v>
      </c>
    </row>
    <row r="402" spans="1:5" x14ac:dyDescent="0.3">
      <c r="A402" s="1">
        <v>31972</v>
      </c>
      <c r="B402">
        <v>12.88</v>
      </c>
      <c r="C402">
        <v>8.44</v>
      </c>
      <c r="D402">
        <v>8.83</v>
      </c>
      <c r="E402">
        <v>5.55</v>
      </c>
    </row>
    <row r="403" spans="1:5" x14ac:dyDescent="0.3">
      <c r="A403" s="1">
        <v>31973</v>
      </c>
      <c r="B403">
        <v>12.13</v>
      </c>
      <c r="C403">
        <v>8.4499999999999993</v>
      </c>
      <c r="D403">
        <v>8.83</v>
      </c>
      <c r="E403">
        <v>5.58</v>
      </c>
    </row>
    <row r="404" spans="1:5" x14ac:dyDescent="0.3">
      <c r="A404" s="1">
        <v>31974</v>
      </c>
      <c r="B404">
        <v>12</v>
      </c>
      <c r="C404">
        <v>8.43</v>
      </c>
      <c r="D404">
        <v>8.83</v>
      </c>
      <c r="E404">
        <v>5.58</v>
      </c>
    </row>
    <row r="405" spans="1:5" x14ac:dyDescent="0.3">
      <c r="A405" s="1">
        <v>31975</v>
      </c>
      <c r="B405">
        <v>12.25</v>
      </c>
      <c r="C405">
        <v>8.3800000000000008</v>
      </c>
      <c r="D405">
        <v>8.82</v>
      </c>
      <c r="E405">
        <v>5.56</v>
      </c>
    </row>
    <row r="406" spans="1:5" x14ac:dyDescent="0.3">
      <c r="A406" s="1">
        <v>31978</v>
      </c>
      <c r="B406">
        <v>12.43</v>
      </c>
      <c r="C406">
        <v>8.4</v>
      </c>
      <c r="D406">
        <v>8.81</v>
      </c>
      <c r="E406">
        <v>5.55</v>
      </c>
    </row>
    <row r="407" spans="1:5" x14ac:dyDescent="0.3">
      <c r="A407" s="1">
        <v>31979</v>
      </c>
      <c r="B407">
        <v>12.6</v>
      </c>
      <c r="C407">
        <v>8.43</v>
      </c>
      <c r="D407">
        <v>8.86</v>
      </c>
      <c r="E407">
        <v>5.69</v>
      </c>
    </row>
    <row r="408" spans="1:5" x14ac:dyDescent="0.3">
      <c r="A408" s="1">
        <v>31980</v>
      </c>
      <c r="B408">
        <v>12.18</v>
      </c>
      <c r="C408">
        <v>8.4499999999999993</v>
      </c>
      <c r="D408">
        <v>8.89</v>
      </c>
      <c r="E408">
        <v>5.66</v>
      </c>
    </row>
    <row r="409" spans="1:5" x14ac:dyDescent="0.3">
      <c r="A409" s="1">
        <v>31981</v>
      </c>
      <c r="B409">
        <v>12.05</v>
      </c>
      <c r="C409">
        <v>8.51</v>
      </c>
      <c r="D409">
        <v>8.91</v>
      </c>
      <c r="E409">
        <v>5.67</v>
      </c>
    </row>
    <row r="410" spans="1:5" x14ac:dyDescent="0.3">
      <c r="A410" s="1">
        <v>31982</v>
      </c>
      <c r="B410">
        <v>11.93</v>
      </c>
      <c r="C410">
        <v>8.56</v>
      </c>
      <c r="D410">
        <v>8.89</v>
      </c>
      <c r="E410">
        <v>5.75</v>
      </c>
    </row>
    <row r="411" spans="1:5" x14ac:dyDescent="0.3">
      <c r="A411" s="1">
        <v>31985</v>
      </c>
      <c r="B411">
        <v>11.95</v>
      </c>
      <c r="C411">
        <v>8.67</v>
      </c>
      <c r="D411">
        <v>8.89</v>
      </c>
      <c r="E411">
        <v>5.81</v>
      </c>
    </row>
    <row r="412" spans="1:5" x14ac:dyDescent="0.3">
      <c r="A412" s="1">
        <v>31986</v>
      </c>
      <c r="B412">
        <v>11.85</v>
      </c>
      <c r="C412">
        <v>8.7799999999999994</v>
      </c>
      <c r="D412">
        <v>8.92</v>
      </c>
      <c r="E412">
        <v>5.86</v>
      </c>
    </row>
    <row r="413" spans="1:5" x14ac:dyDescent="0.3">
      <c r="A413" s="1">
        <v>31987</v>
      </c>
      <c r="B413">
        <v>12.05</v>
      </c>
      <c r="C413">
        <v>8.94</v>
      </c>
      <c r="D413">
        <v>8.9</v>
      </c>
      <c r="E413">
        <v>5.88</v>
      </c>
    </row>
    <row r="414" spans="1:5" x14ac:dyDescent="0.3">
      <c r="A414" s="1">
        <v>31988</v>
      </c>
      <c r="B414">
        <v>12.43</v>
      </c>
      <c r="C414">
        <v>9.08</v>
      </c>
      <c r="D414">
        <v>8.89</v>
      </c>
      <c r="E414">
        <v>6.07</v>
      </c>
    </row>
    <row r="415" spans="1:5" x14ac:dyDescent="0.3">
      <c r="A415" s="1">
        <v>31989</v>
      </c>
      <c r="B415">
        <v>12.5</v>
      </c>
      <c r="C415">
        <v>9.0500000000000007</v>
      </c>
      <c r="D415">
        <v>8.93</v>
      </c>
      <c r="E415">
        <v>6.07</v>
      </c>
    </row>
    <row r="416" spans="1:5" x14ac:dyDescent="0.3">
      <c r="A416" s="1">
        <v>31992</v>
      </c>
      <c r="B416">
        <v>12.65</v>
      </c>
      <c r="C416">
        <v>0</v>
      </c>
      <c r="D416">
        <v>9.2200000000000006</v>
      </c>
      <c r="E416">
        <v>6.05</v>
      </c>
    </row>
    <row r="417" spans="1:5" x14ac:dyDescent="0.3">
      <c r="A417" s="1">
        <v>31993</v>
      </c>
      <c r="B417">
        <v>12.5</v>
      </c>
      <c r="C417">
        <v>9.07</v>
      </c>
      <c r="D417">
        <v>9.2200000000000006</v>
      </c>
      <c r="E417">
        <v>5.85</v>
      </c>
    </row>
    <row r="418" spans="1:5" x14ac:dyDescent="0.3">
      <c r="A418" s="1">
        <v>31994</v>
      </c>
      <c r="B418">
        <v>12.2</v>
      </c>
      <c r="C418">
        <v>8.91</v>
      </c>
      <c r="D418">
        <v>9.06</v>
      </c>
      <c r="E418">
        <v>5.85</v>
      </c>
    </row>
    <row r="419" spans="1:5" x14ac:dyDescent="0.3">
      <c r="A419" s="1">
        <v>31995</v>
      </c>
      <c r="B419">
        <v>12</v>
      </c>
      <c r="C419">
        <v>8.9</v>
      </c>
      <c r="D419">
        <v>9.0500000000000007</v>
      </c>
      <c r="E419">
        <v>5.74</v>
      </c>
    </row>
    <row r="420" spans="1:5" x14ac:dyDescent="0.3">
      <c r="A420" s="1">
        <v>31996</v>
      </c>
      <c r="B420">
        <v>12</v>
      </c>
      <c r="C420">
        <v>8.8000000000000007</v>
      </c>
      <c r="D420">
        <v>9.85</v>
      </c>
      <c r="E420">
        <v>5.85</v>
      </c>
    </row>
    <row r="421" spans="1:5" x14ac:dyDescent="0.3">
      <c r="A421" s="1">
        <v>31999</v>
      </c>
      <c r="B421">
        <v>12.35</v>
      </c>
      <c r="C421">
        <v>8.83</v>
      </c>
      <c r="D421">
        <v>9.9</v>
      </c>
      <c r="E421">
        <v>5.91</v>
      </c>
    </row>
    <row r="422" spans="1:5" x14ac:dyDescent="0.3">
      <c r="A422" s="1">
        <v>32000</v>
      </c>
      <c r="B422">
        <v>12.55</v>
      </c>
      <c r="C422">
        <v>8.83</v>
      </c>
      <c r="D422">
        <v>9.85</v>
      </c>
      <c r="E422">
        <v>5.94</v>
      </c>
    </row>
    <row r="423" spans="1:5" x14ac:dyDescent="0.3">
      <c r="A423" s="1">
        <v>32001</v>
      </c>
      <c r="B423">
        <v>12.03</v>
      </c>
      <c r="C423">
        <v>8.84</v>
      </c>
      <c r="D423">
        <v>9.8000000000000007</v>
      </c>
      <c r="E423">
        <v>5.95</v>
      </c>
    </row>
    <row r="424" spans="1:5" x14ac:dyDescent="0.3">
      <c r="A424" s="1">
        <v>32002</v>
      </c>
      <c r="B424">
        <v>12</v>
      </c>
      <c r="C424">
        <v>8.8800000000000008</v>
      </c>
      <c r="D424">
        <v>9.7799999999999994</v>
      </c>
      <c r="E424">
        <v>5.96</v>
      </c>
    </row>
    <row r="425" spans="1:5" x14ac:dyDescent="0.3">
      <c r="A425" s="1">
        <v>32003</v>
      </c>
      <c r="B425">
        <v>11.6</v>
      </c>
      <c r="C425">
        <v>8.91</v>
      </c>
      <c r="D425">
        <v>9.7899999999999991</v>
      </c>
      <c r="E425">
        <v>5.96</v>
      </c>
    </row>
    <row r="426" spans="1:5" x14ac:dyDescent="0.3">
      <c r="A426" s="1">
        <v>32006</v>
      </c>
      <c r="B426">
        <v>11.78</v>
      </c>
      <c r="C426">
        <v>8.92</v>
      </c>
      <c r="D426">
        <v>9.73</v>
      </c>
      <c r="E426">
        <v>5.98</v>
      </c>
    </row>
    <row r="427" spans="1:5" x14ac:dyDescent="0.3">
      <c r="A427" s="1">
        <v>32007</v>
      </c>
      <c r="B427">
        <v>12.65</v>
      </c>
      <c r="C427">
        <v>9</v>
      </c>
      <c r="D427">
        <v>9.8000000000000007</v>
      </c>
      <c r="E427">
        <v>6.02</v>
      </c>
    </row>
    <row r="428" spans="1:5" x14ac:dyDescent="0.3">
      <c r="A428" s="1">
        <v>32008</v>
      </c>
      <c r="B428">
        <v>12.3</v>
      </c>
      <c r="C428">
        <v>9</v>
      </c>
      <c r="D428">
        <v>9.81</v>
      </c>
      <c r="E428">
        <v>6.04</v>
      </c>
    </row>
    <row r="429" spans="1:5" x14ac:dyDescent="0.3">
      <c r="A429" s="1">
        <v>32009</v>
      </c>
      <c r="B429">
        <v>12.2</v>
      </c>
      <c r="C429">
        <v>9</v>
      </c>
      <c r="D429">
        <v>9.81</v>
      </c>
      <c r="E429">
        <v>6.11</v>
      </c>
    </row>
    <row r="430" spans="1:5" x14ac:dyDescent="0.3">
      <c r="A430" s="1">
        <v>32010</v>
      </c>
      <c r="B430">
        <v>12.23</v>
      </c>
      <c r="C430">
        <v>8.99</v>
      </c>
      <c r="D430">
        <v>9.8699999999999992</v>
      </c>
      <c r="E430">
        <v>6.1</v>
      </c>
    </row>
    <row r="431" spans="1:5" x14ac:dyDescent="0.3">
      <c r="A431" s="1">
        <v>32013</v>
      </c>
      <c r="B431">
        <v>12.13</v>
      </c>
      <c r="C431">
        <v>8.99</v>
      </c>
      <c r="D431">
        <v>9.8800000000000008</v>
      </c>
      <c r="E431">
        <v>6.17</v>
      </c>
    </row>
    <row r="432" spans="1:5" x14ac:dyDescent="0.3">
      <c r="A432" s="1">
        <v>32014</v>
      </c>
      <c r="B432">
        <v>12.05</v>
      </c>
      <c r="C432">
        <v>8.9600000000000009</v>
      </c>
      <c r="D432">
        <v>9.9</v>
      </c>
      <c r="E432">
        <v>6.18</v>
      </c>
    </row>
    <row r="433" spans="1:5" x14ac:dyDescent="0.3">
      <c r="A433" s="1">
        <v>32015</v>
      </c>
      <c r="B433">
        <v>12</v>
      </c>
      <c r="C433">
        <v>8.98</v>
      </c>
      <c r="D433">
        <v>9.9600000000000009</v>
      </c>
      <c r="E433">
        <v>6.25</v>
      </c>
    </row>
    <row r="434" spans="1:5" x14ac:dyDescent="0.3">
      <c r="A434" s="1">
        <v>32016</v>
      </c>
      <c r="B434">
        <v>12.18</v>
      </c>
      <c r="C434">
        <v>9.02</v>
      </c>
      <c r="D434">
        <v>9.9700000000000006</v>
      </c>
      <c r="E434">
        <v>6.29</v>
      </c>
    </row>
    <row r="435" spans="1:5" x14ac:dyDescent="0.3">
      <c r="A435" s="1">
        <v>32017</v>
      </c>
      <c r="B435">
        <v>12</v>
      </c>
      <c r="C435">
        <v>9.06</v>
      </c>
      <c r="D435">
        <v>10.06</v>
      </c>
      <c r="E435">
        <v>6.31</v>
      </c>
    </row>
    <row r="436" spans="1:5" x14ac:dyDescent="0.3">
      <c r="A436" s="1">
        <v>32020</v>
      </c>
      <c r="B436">
        <v>12.05</v>
      </c>
      <c r="C436">
        <v>9.06</v>
      </c>
      <c r="D436">
        <v>10.06</v>
      </c>
      <c r="E436">
        <v>6.25</v>
      </c>
    </row>
    <row r="437" spans="1:5" x14ac:dyDescent="0.3">
      <c r="A437" s="1">
        <v>32021</v>
      </c>
      <c r="B437">
        <v>12.05</v>
      </c>
      <c r="C437">
        <v>9.0500000000000007</v>
      </c>
      <c r="D437">
        <v>9.99</v>
      </c>
      <c r="E437">
        <v>6.12</v>
      </c>
    </row>
    <row r="438" spans="1:5" x14ac:dyDescent="0.3">
      <c r="A438" s="1">
        <v>32022</v>
      </c>
      <c r="B438">
        <v>11.9</v>
      </c>
      <c r="C438">
        <v>9.06</v>
      </c>
      <c r="D438">
        <v>9.89</v>
      </c>
      <c r="E438">
        <v>6.09</v>
      </c>
    </row>
    <row r="439" spans="1:5" x14ac:dyDescent="0.3">
      <c r="A439" s="1">
        <v>32023</v>
      </c>
      <c r="B439">
        <v>11.8</v>
      </c>
      <c r="C439">
        <v>9.07</v>
      </c>
      <c r="D439">
        <v>9.86</v>
      </c>
      <c r="E439">
        <v>6.19</v>
      </c>
    </row>
    <row r="440" spans="1:5" x14ac:dyDescent="0.3">
      <c r="A440" s="1">
        <v>32024</v>
      </c>
      <c r="B440">
        <v>11.75</v>
      </c>
      <c r="C440">
        <v>9.0399999999999991</v>
      </c>
      <c r="D440">
        <v>9.86</v>
      </c>
      <c r="E440">
        <v>6.38</v>
      </c>
    </row>
    <row r="441" spans="1:5" x14ac:dyDescent="0.3">
      <c r="A441" s="1">
        <v>32027</v>
      </c>
      <c r="B441">
        <v>11.95</v>
      </c>
      <c r="C441">
        <v>0</v>
      </c>
      <c r="D441">
        <v>9.83</v>
      </c>
      <c r="E441">
        <v>0</v>
      </c>
    </row>
    <row r="442" spans="1:5" x14ac:dyDescent="0.3">
      <c r="A442" s="1">
        <v>32028</v>
      </c>
      <c r="B442">
        <v>12.1</v>
      </c>
      <c r="C442">
        <v>9.09</v>
      </c>
      <c r="D442">
        <v>9.81</v>
      </c>
      <c r="E442">
        <v>6.44</v>
      </c>
    </row>
    <row r="443" spans="1:5" x14ac:dyDescent="0.3">
      <c r="A443" s="1">
        <v>32029</v>
      </c>
      <c r="B443">
        <v>12.38</v>
      </c>
      <c r="C443">
        <v>9.14</v>
      </c>
      <c r="D443">
        <v>9.84</v>
      </c>
      <c r="E443">
        <v>6.43</v>
      </c>
    </row>
    <row r="444" spans="1:5" x14ac:dyDescent="0.3">
      <c r="A444" s="1">
        <v>32030</v>
      </c>
      <c r="B444">
        <v>12</v>
      </c>
      <c r="C444">
        <v>9.2100000000000009</v>
      </c>
      <c r="D444">
        <v>9.83</v>
      </c>
      <c r="E444">
        <v>6.33</v>
      </c>
    </row>
    <row r="445" spans="1:5" x14ac:dyDescent="0.3">
      <c r="A445" s="1">
        <v>32031</v>
      </c>
      <c r="B445">
        <v>11.95</v>
      </c>
      <c r="C445">
        <v>9.19</v>
      </c>
      <c r="D445">
        <v>9.82</v>
      </c>
      <c r="E445">
        <v>6.35</v>
      </c>
    </row>
    <row r="446" spans="1:5" x14ac:dyDescent="0.3">
      <c r="A446" s="1">
        <v>32034</v>
      </c>
      <c r="B446">
        <v>11.98</v>
      </c>
      <c r="C446">
        <v>9.15</v>
      </c>
      <c r="D446">
        <v>9.8000000000000007</v>
      </c>
      <c r="E446">
        <v>6.34</v>
      </c>
    </row>
    <row r="447" spans="1:5" x14ac:dyDescent="0.3">
      <c r="A447" s="1">
        <v>32035</v>
      </c>
      <c r="B447">
        <v>12.18</v>
      </c>
      <c r="C447">
        <v>9.16</v>
      </c>
      <c r="D447">
        <v>9.8000000000000007</v>
      </c>
      <c r="E447">
        <v>6.34</v>
      </c>
    </row>
    <row r="448" spans="1:5" x14ac:dyDescent="0.3">
      <c r="A448" s="1">
        <v>32036</v>
      </c>
      <c r="B448">
        <v>12.2</v>
      </c>
      <c r="C448">
        <v>9.19</v>
      </c>
      <c r="D448">
        <v>9.7799999999999994</v>
      </c>
      <c r="E448">
        <v>6.34</v>
      </c>
    </row>
    <row r="449" spans="1:5" x14ac:dyDescent="0.3">
      <c r="A449" s="1">
        <v>32037</v>
      </c>
      <c r="B449">
        <v>12.58</v>
      </c>
      <c r="C449">
        <v>9.17</v>
      </c>
      <c r="D449">
        <v>9.75</v>
      </c>
      <c r="E449">
        <v>6.38</v>
      </c>
    </row>
    <row r="450" spans="1:5" x14ac:dyDescent="0.3">
      <c r="A450" s="1">
        <v>32038</v>
      </c>
      <c r="B450">
        <v>11.5</v>
      </c>
      <c r="C450">
        <v>9.17</v>
      </c>
      <c r="D450">
        <v>9.74</v>
      </c>
      <c r="E450">
        <v>6.42</v>
      </c>
    </row>
    <row r="451" spans="1:5" x14ac:dyDescent="0.3">
      <c r="A451" s="1">
        <v>32041</v>
      </c>
      <c r="B451">
        <v>11.5</v>
      </c>
      <c r="C451">
        <v>9.2100000000000009</v>
      </c>
      <c r="D451">
        <v>9.7100000000000009</v>
      </c>
      <c r="E451">
        <v>6.51</v>
      </c>
    </row>
    <row r="452" spans="1:5" x14ac:dyDescent="0.3">
      <c r="A452" s="1">
        <v>32042</v>
      </c>
      <c r="B452">
        <v>11.55</v>
      </c>
      <c r="C452">
        <v>9.2200000000000006</v>
      </c>
      <c r="D452">
        <v>9.7200000000000006</v>
      </c>
      <c r="E452">
        <v>6.49</v>
      </c>
    </row>
    <row r="453" spans="1:5" x14ac:dyDescent="0.3">
      <c r="A453" s="1">
        <v>32043</v>
      </c>
      <c r="B453">
        <v>11.43</v>
      </c>
      <c r="C453">
        <v>9.2899999999999991</v>
      </c>
      <c r="D453">
        <v>9.76</v>
      </c>
      <c r="E453">
        <v>6.47</v>
      </c>
    </row>
    <row r="454" spans="1:5" x14ac:dyDescent="0.3">
      <c r="A454" s="1">
        <v>32044</v>
      </c>
      <c r="B454">
        <v>11.7</v>
      </c>
      <c r="C454">
        <v>9.35</v>
      </c>
      <c r="D454">
        <v>9.77</v>
      </c>
      <c r="E454">
        <v>6.41</v>
      </c>
    </row>
    <row r="455" spans="1:5" x14ac:dyDescent="0.3">
      <c r="A455" s="1">
        <v>32045</v>
      </c>
      <c r="B455">
        <v>11.1</v>
      </c>
      <c r="C455">
        <v>9.34</v>
      </c>
      <c r="D455">
        <v>9.83</v>
      </c>
      <c r="E455">
        <v>6.5</v>
      </c>
    </row>
    <row r="456" spans="1:5" x14ac:dyDescent="0.3">
      <c r="A456" s="1">
        <v>32048</v>
      </c>
      <c r="B456">
        <v>11.18</v>
      </c>
      <c r="C456">
        <v>9.34</v>
      </c>
      <c r="D456">
        <v>9.83</v>
      </c>
      <c r="E456">
        <v>6.53</v>
      </c>
    </row>
    <row r="457" spans="1:5" x14ac:dyDescent="0.3">
      <c r="A457" s="1">
        <v>32049</v>
      </c>
      <c r="B457">
        <v>11.28</v>
      </c>
      <c r="C457">
        <v>9.36</v>
      </c>
      <c r="D457">
        <v>9.84</v>
      </c>
      <c r="E457">
        <v>6.69</v>
      </c>
    </row>
    <row r="458" spans="1:5" x14ac:dyDescent="0.3">
      <c r="A458" s="1">
        <v>32050</v>
      </c>
      <c r="B458">
        <v>11.63</v>
      </c>
      <c r="C458">
        <v>9.39</v>
      </c>
      <c r="D458">
        <v>9.8699999999999992</v>
      </c>
      <c r="E458">
        <v>6.61</v>
      </c>
    </row>
    <row r="459" spans="1:5" x14ac:dyDescent="0.3">
      <c r="A459" s="1">
        <v>32051</v>
      </c>
      <c r="B459">
        <v>11.4</v>
      </c>
      <c r="C459">
        <v>9.3699999999999992</v>
      </c>
      <c r="D459">
        <v>9.84</v>
      </c>
      <c r="E459">
        <v>6.63</v>
      </c>
    </row>
    <row r="460" spans="1:5" x14ac:dyDescent="0.3">
      <c r="A460" s="1">
        <v>32052</v>
      </c>
      <c r="B460">
        <v>11.18</v>
      </c>
      <c r="C460">
        <v>9.36</v>
      </c>
      <c r="D460">
        <v>9.8699999999999992</v>
      </c>
      <c r="E460">
        <v>6.66</v>
      </c>
    </row>
    <row r="461" spans="1:5" x14ac:dyDescent="0.3">
      <c r="A461" s="1">
        <v>32055</v>
      </c>
      <c r="B461">
        <v>11.05</v>
      </c>
      <c r="C461">
        <v>9.34</v>
      </c>
      <c r="D461">
        <v>9.82</v>
      </c>
      <c r="E461">
        <v>6.68</v>
      </c>
    </row>
    <row r="462" spans="1:5" x14ac:dyDescent="0.3">
      <c r="A462" s="1">
        <v>32056</v>
      </c>
      <c r="B462">
        <v>10.98</v>
      </c>
      <c r="C462">
        <v>9.35</v>
      </c>
      <c r="D462">
        <v>9.81</v>
      </c>
      <c r="E462">
        <v>6.55</v>
      </c>
    </row>
    <row r="463" spans="1:5" x14ac:dyDescent="0.3">
      <c r="A463" s="1">
        <v>32057</v>
      </c>
      <c r="B463">
        <v>11.18</v>
      </c>
      <c r="C463">
        <v>9.35</v>
      </c>
      <c r="D463">
        <v>9.83</v>
      </c>
      <c r="E463">
        <v>6.56</v>
      </c>
    </row>
    <row r="464" spans="1:5" x14ac:dyDescent="0.3">
      <c r="A464" s="1">
        <v>32058</v>
      </c>
      <c r="B464">
        <v>11.28</v>
      </c>
      <c r="C464">
        <v>9.5299999999999994</v>
      </c>
      <c r="D464">
        <v>9.85</v>
      </c>
      <c r="E464">
        <v>6.69</v>
      </c>
    </row>
    <row r="465" spans="1:5" x14ac:dyDescent="0.3">
      <c r="A465" s="1">
        <v>32059</v>
      </c>
      <c r="B465">
        <v>11.4</v>
      </c>
      <c r="C465">
        <v>9.6</v>
      </c>
      <c r="D465">
        <v>9.86</v>
      </c>
      <c r="E465">
        <v>6.75</v>
      </c>
    </row>
    <row r="466" spans="1:5" x14ac:dyDescent="0.3">
      <c r="A466" s="1">
        <v>32062</v>
      </c>
      <c r="B466">
        <v>11.23</v>
      </c>
      <c r="C466">
        <v>0</v>
      </c>
      <c r="D466">
        <v>9.85</v>
      </c>
      <c r="E466">
        <v>0</v>
      </c>
    </row>
    <row r="467" spans="1:5" x14ac:dyDescent="0.3">
      <c r="A467" s="1">
        <v>32063</v>
      </c>
      <c r="B467">
        <v>11.15</v>
      </c>
      <c r="C467">
        <v>9.5500000000000007</v>
      </c>
      <c r="D467">
        <v>9.84</v>
      </c>
      <c r="E467">
        <v>6.74</v>
      </c>
    </row>
    <row r="468" spans="1:5" x14ac:dyDescent="0.3">
      <c r="A468" s="1">
        <v>32064</v>
      </c>
      <c r="B468">
        <v>10.98</v>
      </c>
      <c r="C468">
        <v>9.58</v>
      </c>
      <c r="D468">
        <v>9.81</v>
      </c>
      <c r="E468">
        <v>7.19</v>
      </c>
    </row>
    <row r="469" spans="1:5" x14ac:dyDescent="0.3">
      <c r="A469" s="1">
        <v>32065</v>
      </c>
      <c r="B469">
        <v>11.23</v>
      </c>
      <c r="C469">
        <v>9.67</v>
      </c>
      <c r="D469">
        <v>9.83</v>
      </c>
      <c r="E469">
        <v>7.07</v>
      </c>
    </row>
    <row r="470" spans="1:5" x14ac:dyDescent="0.3">
      <c r="A470" s="1">
        <v>32066</v>
      </c>
      <c r="B470">
        <v>11.13</v>
      </c>
      <c r="C470">
        <v>9.6</v>
      </c>
      <c r="D470">
        <v>9.84</v>
      </c>
      <c r="E470">
        <v>6.93</v>
      </c>
    </row>
    <row r="471" spans="1:5" x14ac:dyDescent="0.3">
      <c r="A471" s="1">
        <v>32069</v>
      </c>
      <c r="B471">
        <v>11.05</v>
      </c>
      <c r="C471">
        <v>9.42</v>
      </c>
      <c r="D471">
        <v>9.9</v>
      </c>
      <c r="E471">
        <v>6.39</v>
      </c>
    </row>
    <row r="472" spans="1:5" x14ac:dyDescent="0.3">
      <c r="A472" s="1">
        <v>32070</v>
      </c>
      <c r="B472">
        <v>12.63</v>
      </c>
      <c r="C472">
        <v>8.65</v>
      </c>
      <c r="D472">
        <v>9.89</v>
      </c>
      <c r="E472">
        <v>5.86</v>
      </c>
    </row>
    <row r="473" spans="1:5" x14ac:dyDescent="0.3">
      <c r="A473" s="1">
        <v>32071</v>
      </c>
      <c r="B473">
        <v>12.25</v>
      </c>
      <c r="C473">
        <v>8.14</v>
      </c>
      <c r="D473">
        <v>9.84</v>
      </c>
      <c r="E473">
        <v>5.6</v>
      </c>
    </row>
    <row r="474" spans="1:5" x14ac:dyDescent="0.3">
      <c r="A474" s="1">
        <v>32072</v>
      </c>
      <c r="B474">
        <v>11.63</v>
      </c>
      <c r="C474">
        <v>8.14</v>
      </c>
      <c r="D474">
        <v>9.8000000000000007</v>
      </c>
      <c r="E474">
        <v>5.36</v>
      </c>
    </row>
    <row r="475" spans="1:5" x14ac:dyDescent="0.3">
      <c r="A475" s="1">
        <v>32073</v>
      </c>
      <c r="B475">
        <v>11.48</v>
      </c>
      <c r="C475">
        <v>8.0299999999999994</v>
      </c>
      <c r="D475">
        <v>9.66</v>
      </c>
      <c r="E475">
        <v>5.29</v>
      </c>
    </row>
    <row r="476" spans="1:5" x14ac:dyDescent="0.3">
      <c r="A476" s="1">
        <v>32076</v>
      </c>
      <c r="B476">
        <v>10.75</v>
      </c>
      <c r="C476">
        <v>7.83</v>
      </c>
      <c r="D476">
        <v>8.7899999999999991</v>
      </c>
      <c r="E476">
        <v>5.22</v>
      </c>
    </row>
    <row r="477" spans="1:5" x14ac:dyDescent="0.3">
      <c r="A477" s="1">
        <v>32077</v>
      </c>
      <c r="B477">
        <v>8.5</v>
      </c>
      <c r="C477">
        <v>7.98</v>
      </c>
      <c r="D477">
        <v>9.09</v>
      </c>
      <c r="E477">
        <v>5.23</v>
      </c>
    </row>
    <row r="478" spans="1:5" x14ac:dyDescent="0.3">
      <c r="A478" s="1">
        <v>32078</v>
      </c>
      <c r="B478">
        <v>10.75</v>
      </c>
      <c r="C478">
        <v>8.0399999999999991</v>
      </c>
      <c r="D478">
        <v>8.8800000000000008</v>
      </c>
      <c r="E478">
        <v>5.0999999999999996</v>
      </c>
    </row>
    <row r="479" spans="1:5" x14ac:dyDescent="0.3">
      <c r="A479" s="1">
        <v>32079</v>
      </c>
      <c r="B479">
        <v>13.25</v>
      </c>
      <c r="C479">
        <v>7.81</v>
      </c>
      <c r="D479">
        <v>8.7799999999999994</v>
      </c>
      <c r="E479">
        <v>5.03</v>
      </c>
    </row>
    <row r="480" spans="1:5" x14ac:dyDescent="0.3">
      <c r="A480" s="1">
        <v>32080</v>
      </c>
      <c r="B480">
        <v>12.25</v>
      </c>
      <c r="C480">
        <v>7.73</v>
      </c>
      <c r="D480">
        <v>8.9700000000000006</v>
      </c>
      <c r="E480">
        <v>5.27</v>
      </c>
    </row>
    <row r="481" spans="1:5" x14ac:dyDescent="0.3">
      <c r="A481" s="1">
        <v>32083</v>
      </c>
      <c r="B481">
        <v>12.25</v>
      </c>
      <c r="C481">
        <v>7.9</v>
      </c>
      <c r="D481">
        <v>8.9700000000000006</v>
      </c>
      <c r="E481">
        <v>5.62</v>
      </c>
    </row>
    <row r="482" spans="1:5" x14ac:dyDescent="0.3">
      <c r="A482" s="1">
        <v>32084</v>
      </c>
      <c r="B482">
        <v>11.88</v>
      </c>
      <c r="C482">
        <v>8.09</v>
      </c>
      <c r="D482">
        <v>8.9700000000000006</v>
      </c>
      <c r="E482">
        <v>5.63</v>
      </c>
    </row>
    <row r="483" spans="1:5" x14ac:dyDescent="0.3">
      <c r="A483" s="1">
        <v>32085</v>
      </c>
      <c r="B483">
        <v>11.63</v>
      </c>
      <c r="C483">
        <v>8.0399999999999991</v>
      </c>
      <c r="D483">
        <v>8.94</v>
      </c>
      <c r="E483">
        <v>5.54</v>
      </c>
    </row>
    <row r="484" spans="1:5" x14ac:dyDescent="0.3">
      <c r="A484" s="1">
        <v>32086</v>
      </c>
      <c r="B484">
        <v>11.75</v>
      </c>
      <c r="C484">
        <v>8.1300000000000008</v>
      </c>
      <c r="D484">
        <v>8.5299999999999994</v>
      </c>
      <c r="E484">
        <v>5.58</v>
      </c>
    </row>
    <row r="485" spans="1:5" x14ac:dyDescent="0.3">
      <c r="A485" s="1">
        <v>32087</v>
      </c>
      <c r="B485">
        <v>11.75</v>
      </c>
      <c r="C485">
        <v>8.2799999999999994</v>
      </c>
      <c r="D485">
        <v>8.5299999999999994</v>
      </c>
      <c r="E485">
        <v>5.73</v>
      </c>
    </row>
    <row r="486" spans="1:5" x14ac:dyDescent="0.3">
      <c r="A486" s="1">
        <v>32090</v>
      </c>
      <c r="B486">
        <v>12.38</v>
      </c>
      <c r="C486">
        <v>8.36</v>
      </c>
      <c r="D486">
        <v>8.2799999999999994</v>
      </c>
      <c r="E486">
        <v>5.7</v>
      </c>
    </row>
    <row r="487" spans="1:5" x14ac:dyDescent="0.3">
      <c r="A487" s="1">
        <v>32091</v>
      </c>
      <c r="B487">
        <v>12.63</v>
      </c>
      <c r="C487">
        <v>8.32</v>
      </c>
      <c r="D487">
        <v>8.2200000000000006</v>
      </c>
      <c r="E487">
        <v>5.67</v>
      </c>
    </row>
    <row r="488" spans="1:5" x14ac:dyDescent="0.3">
      <c r="A488" s="1">
        <v>32092</v>
      </c>
      <c r="B488">
        <v>12.38</v>
      </c>
      <c r="C488">
        <v>0</v>
      </c>
      <c r="D488">
        <v>8.44</v>
      </c>
      <c r="E488">
        <v>0</v>
      </c>
    </row>
    <row r="489" spans="1:5" x14ac:dyDescent="0.3">
      <c r="A489" s="1">
        <v>32093</v>
      </c>
      <c r="B489">
        <v>11.38</v>
      </c>
      <c r="C489">
        <v>8.34</v>
      </c>
      <c r="D489">
        <v>8.61</v>
      </c>
      <c r="E489">
        <v>5.83</v>
      </c>
    </row>
    <row r="490" spans="1:5" x14ac:dyDescent="0.3">
      <c r="A490" s="1">
        <v>32094</v>
      </c>
      <c r="B490">
        <v>11.13</v>
      </c>
      <c r="C490">
        <v>8.31</v>
      </c>
      <c r="D490">
        <v>8.7100000000000009</v>
      </c>
      <c r="E490">
        <v>5.91</v>
      </c>
    </row>
    <row r="491" spans="1:5" x14ac:dyDescent="0.3">
      <c r="A491" s="1">
        <v>32097</v>
      </c>
      <c r="B491">
        <v>11.38</v>
      </c>
      <c r="C491">
        <v>8.3699999999999992</v>
      </c>
      <c r="D491">
        <v>8.65</v>
      </c>
      <c r="E491">
        <v>5.87</v>
      </c>
    </row>
    <row r="492" spans="1:5" x14ac:dyDescent="0.3">
      <c r="A492" s="1">
        <v>32098</v>
      </c>
      <c r="B492">
        <v>12.3</v>
      </c>
      <c r="C492">
        <v>8.33</v>
      </c>
      <c r="D492">
        <v>8.61</v>
      </c>
      <c r="E492">
        <v>5.88</v>
      </c>
    </row>
    <row r="493" spans="1:5" x14ac:dyDescent="0.3">
      <c r="A493" s="1">
        <v>32099</v>
      </c>
      <c r="B493">
        <v>11.25</v>
      </c>
      <c r="C493">
        <v>8.27</v>
      </c>
      <c r="D493">
        <v>8.58</v>
      </c>
      <c r="E493">
        <v>5.77</v>
      </c>
    </row>
    <row r="494" spans="1:5" x14ac:dyDescent="0.3">
      <c r="A494" s="1">
        <v>32100</v>
      </c>
      <c r="B494">
        <v>11.25</v>
      </c>
      <c r="C494">
        <v>8.2100000000000009</v>
      </c>
      <c r="D494">
        <v>8.58</v>
      </c>
      <c r="E494">
        <v>5.66</v>
      </c>
    </row>
    <row r="495" spans="1:5" x14ac:dyDescent="0.3">
      <c r="A495" s="1">
        <v>32101</v>
      </c>
      <c r="B495">
        <v>11.38</v>
      </c>
      <c r="C495">
        <v>8.24</v>
      </c>
      <c r="D495">
        <v>8.61</v>
      </c>
      <c r="E495">
        <v>5.72</v>
      </c>
    </row>
    <row r="496" spans="1:5" x14ac:dyDescent="0.3">
      <c r="A496" s="1">
        <v>32104</v>
      </c>
      <c r="B496">
        <v>11.48</v>
      </c>
      <c r="C496">
        <v>8.26</v>
      </c>
      <c r="D496">
        <v>8.61</v>
      </c>
      <c r="E496">
        <v>5.78</v>
      </c>
    </row>
    <row r="497" spans="1:5" x14ac:dyDescent="0.3">
      <c r="A497" s="1">
        <v>32105</v>
      </c>
      <c r="B497">
        <v>11.53</v>
      </c>
      <c r="C497">
        <v>8.27</v>
      </c>
      <c r="D497">
        <v>8.68</v>
      </c>
      <c r="E497">
        <v>5.77</v>
      </c>
    </row>
    <row r="498" spans="1:5" x14ac:dyDescent="0.3">
      <c r="A498" s="1">
        <v>32106</v>
      </c>
      <c r="B498">
        <v>11.25</v>
      </c>
      <c r="C498">
        <v>8.25</v>
      </c>
      <c r="D498">
        <v>8.7100000000000009</v>
      </c>
      <c r="E498">
        <v>5.7</v>
      </c>
    </row>
    <row r="499" spans="1:5" x14ac:dyDescent="0.3">
      <c r="A499" s="1">
        <v>32107</v>
      </c>
      <c r="B499">
        <v>11.3</v>
      </c>
      <c r="C499">
        <v>8.34</v>
      </c>
      <c r="D499">
        <v>8.6999999999999993</v>
      </c>
      <c r="E499">
        <v>0</v>
      </c>
    </row>
    <row r="500" spans="1:5" x14ac:dyDescent="0.3">
      <c r="A500" s="1">
        <v>32108</v>
      </c>
      <c r="B500">
        <v>11.55</v>
      </c>
      <c r="C500">
        <v>8.36</v>
      </c>
      <c r="D500">
        <v>8.68</v>
      </c>
      <c r="E500">
        <v>5.63</v>
      </c>
    </row>
    <row r="501" spans="1:5" x14ac:dyDescent="0.3">
      <c r="A501" s="1">
        <v>32111</v>
      </c>
      <c r="B501">
        <v>11.75</v>
      </c>
      <c r="C501">
        <v>8.34</v>
      </c>
      <c r="D501">
        <v>8.56</v>
      </c>
      <c r="E501">
        <v>5.21</v>
      </c>
    </row>
    <row r="502" spans="1:5" x14ac:dyDescent="0.3">
      <c r="A502" s="1">
        <v>32112</v>
      </c>
      <c r="B502">
        <v>12.13</v>
      </c>
      <c r="C502">
        <v>8.42</v>
      </c>
      <c r="D502">
        <v>8.56</v>
      </c>
      <c r="E502">
        <v>5.55</v>
      </c>
    </row>
    <row r="503" spans="1:5" x14ac:dyDescent="0.3">
      <c r="A503" s="1">
        <v>32113</v>
      </c>
      <c r="B503">
        <v>11.63</v>
      </c>
      <c r="C503">
        <v>8.44</v>
      </c>
      <c r="D503">
        <v>8.56</v>
      </c>
      <c r="E503">
        <v>5.49</v>
      </c>
    </row>
    <row r="504" spans="1:5" x14ac:dyDescent="0.3">
      <c r="A504" s="1">
        <v>32114</v>
      </c>
      <c r="B504">
        <v>11.18</v>
      </c>
      <c r="C504">
        <v>8.4700000000000006</v>
      </c>
      <c r="D504">
        <v>8.5</v>
      </c>
      <c r="E504">
        <v>5.36</v>
      </c>
    </row>
    <row r="505" spans="1:5" x14ac:dyDescent="0.3">
      <c r="A505" s="1">
        <v>32115</v>
      </c>
      <c r="B505">
        <v>10.88</v>
      </c>
      <c r="C505">
        <v>8.4499999999999993</v>
      </c>
      <c r="D505">
        <v>8.2200000000000006</v>
      </c>
      <c r="E505">
        <v>5.43</v>
      </c>
    </row>
    <row r="506" spans="1:5" x14ac:dyDescent="0.3">
      <c r="A506" s="1">
        <v>32118</v>
      </c>
      <c r="B506">
        <v>11.88</v>
      </c>
      <c r="C506">
        <v>8.5299999999999994</v>
      </c>
      <c r="D506">
        <v>8.2100000000000009</v>
      </c>
      <c r="E506">
        <v>5.82</v>
      </c>
    </row>
    <row r="507" spans="1:5" x14ac:dyDescent="0.3">
      <c r="A507" s="1">
        <v>32119</v>
      </c>
      <c r="B507">
        <v>12.35</v>
      </c>
      <c r="C507">
        <v>8.5500000000000007</v>
      </c>
      <c r="D507">
        <v>8.2200000000000006</v>
      </c>
      <c r="E507">
        <v>5.86</v>
      </c>
    </row>
    <row r="508" spans="1:5" x14ac:dyDescent="0.3">
      <c r="A508" s="1">
        <v>32120</v>
      </c>
      <c r="B508">
        <v>11.5</v>
      </c>
      <c r="C508">
        <v>8.44</v>
      </c>
      <c r="D508">
        <v>8.24</v>
      </c>
      <c r="E508">
        <v>5.83</v>
      </c>
    </row>
    <row r="509" spans="1:5" x14ac:dyDescent="0.3">
      <c r="A509" s="1">
        <v>32121</v>
      </c>
      <c r="B509">
        <v>11.65</v>
      </c>
      <c r="C509">
        <v>8.5299999999999994</v>
      </c>
      <c r="D509">
        <v>8.24</v>
      </c>
      <c r="E509">
        <v>5.92</v>
      </c>
    </row>
    <row r="510" spans="1:5" x14ac:dyDescent="0.3">
      <c r="A510" s="1">
        <v>32122</v>
      </c>
      <c r="B510">
        <v>11.88</v>
      </c>
      <c r="C510">
        <v>8.39</v>
      </c>
      <c r="D510">
        <v>8.24</v>
      </c>
      <c r="E510">
        <v>5.86</v>
      </c>
    </row>
    <row r="511" spans="1:5" x14ac:dyDescent="0.3">
      <c r="A511" s="1">
        <v>32125</v>
      </c>
      <c r="B511">
        <v>11.68</v>
      </c>
      <c r="C511">
        <v>8.34</v>
      </c>
      <c r="D511">
        <v>8.3000000000000007</v>
      </c>
      <c r="E511">
        <v>5.85</v>
      </c>
    </row>
    <row r="512" spans="1:5" x14ac:dyDescent="0.3">
      <c r="A512" s="1">
        <v>32126</v>
      </c>
      <c r="B512">
        <v>11.75</v>
      </c>
      <c r="C512">
        <v>8.34</v>
      </c>
      <c r="D512">
        <v>8.31</v>
      </c>
      <c r="E512">
        <v>5.93</v>
      </c>
    </row>
    <row r="513" spans="1:5" x14ac:dyDescent="0.3">
      <c r="A513" s="1">
        <v>32127</v>
      </c>
      <c r="B513">
        <v>11.13</v>
      </c>
      <c r="C513">
        <v>8.33</v>
      </c>
      <c r="D513">
        <v>8.39</v>
      </c>
      <c r="E513">
        <v>5.94</v>
      </c>
    </row>
    <row r="514" spans="1:5" x14ac:dyDescent="0.3">
      <c r="A514" s="1">
        <v>32128</v>
      </c>
      <c r="B514">
        <v>10.25</v>
      </c>
      <c r="C514">
        <v>8.4499999999999993</v>
      </c>
      <c r="D514">
        <v>8.3800000000000008</v>
      </c>
      <c r="E514">
        <v>5.93</v>
      </c>
    </row>
    <row r="515" spans="1:5" x14ac:dyDescent="0.3">
      <c r="A515" s="1">
        <v>32129</v>
      </c>
      <c r="B515">
        <v>10.25</v>
      </c>
      <c r="C515">
        <v>8.39</v>
      </c>
      <c r="D515">
        <v>8.41</v>
      </c>
      <c r="E515">
        <v>5.87</v>
      </c>
    </row>
    <row r="516" spans="1:5" x14ac:dyDescent="0.3">
      <c r="A516" s="1">
        <v>32132</v>
      </c>
      <c r="B516">
        <v>10.8</v>
      </c>
      <c r="C516">
        <v>8.41</v>
      </c>
      <c r="D516">
        <v>8.39</v>
      </c>
      <c r="E516">
        <v>5.87</v>
      </c>
    </row>
    <row r="517" spans="1:5" x14ac:dyDescent="0.3">
      <c r="A517" s="1">
        <v>32133</v>
      </c>
      <c r="B517">
        <v>11.88</v>
      </c>
      <c r="C517">
        <v>8.4</v>
      </c>
      <c r="D517">
        <v>8.39</v>
      </c>
      <c r="E517">
        <v>5.93</v>
      </c>
    </row>
    <row r="518" spans="1:5" x14ac:dyDescent="0.3">
      <c r="A518" s="1">
        <v>32134</v>
      </c>
      <c r="B518">
        <v>10.5</v>
      </c>
      <c r="C518">
        <v>8.42</v>
      </c>
      <c r="D518">
        <v>8.39</v>
      </c>
      <c r="E518">
        <v>5.78</v>
      </c>
    </row>
    <row r="519" spans="1:5" x14ac:dyDescent="0.3">
      <c r="A519" s="1">
        <v>32135</v>
      </c>
      <c r="B519">
        <v>10.83</v>
      </c>
      <c r="C519">
        <v>8.42</v>
      </c>
      <c r="D519">
        <v>8.39</v>
      </c>
      <c r="E519">
        <v>5.74</v>
      </c>
    </row>
    <row r="520" spans="1:5" x14ac:dyDescent="0.3">
      <c r="A520" s="1">
        <v>32136</v>
      </c>
      <c r="C520">
        <v>0</v>
      </c>
      <c r="D520">
        <v>8.39</v>
      </c>
      <c r="E520">
        <v>0</v>
      </c>
    </row>
    <row r="521" spans="1:5" x14ac:dyDescent="0.3">
      <c r="A521" s="1">
        <v>32139</v>
      </c>
      <c r="C521">
        <v>0</v>
      </c>
      <c r="D521">
        <v>8.39</v>
      </c>
      <c r="E521">
        <v>5.7</v>
      </c>
    </row>
    <row r="522" spans="1:5" x14ac:dyDescent="0.3">
      <c r="A522" s="1">
        <v>32140</v>
      </c>
      <c r="B522">
        <v>10.88</v>
      </c>
      <c r="C522">
        <v>8.43</v>
      </c>
      <c r="D522">
        <v>8.3699999999999992</v>
      </c>
      <c r="E522">
        <v>5.84</v>
      </c>
    </row>
    <row r="523" spans="1:5" x14ac:dyDescent="0.3">
      <c r="A523" s="1">
        <v>32141</v>
      </c>
      <c r="B523">
        <v>11.13</v>
      </c>
      <c r="C523">
        <v>8.41</v>
      </c>
      <c r="D523">
        <v>8.3699999999999992</v>
      </c>
      <c r="E523">
        <v>5.71</v>
      </c>
    </row>
    <row r="524" spans="1:5" x14ac:dyDescent="0.3">
      <c r="A524" s="1">
        <v>32142</v>
      </c>
      <c r="B524">
        <v>11.25</v>
      </c>
      <c r="C524">
        <v>8.42</v>
      </c>
      <c r="D524">
        <v>8.39</v>
      </c>
      <c r="E524">
        <v>5.68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17AE-E44B-4B69-A79D-1718D2DB07DF}">
  <dimension ref="A1:H521"/>
  <sheetViews>
    <sheetView workbookViewId="0">
      <selection activeCell="G4" sqref="G4"/>
    </sheetView>
  </sheetViews>
  <sheetFormatPr defaultRowHeight="14.4" x14ac:dyDescent="0.3"/>
  <cols>
    <col min="1" max="1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31414</v>
      </c>
      <c r="B2">
        <v>121.22</v>
      </c>
      <c r="C2">
        <v>1010.8</v>
      </c>
      <c r="D2">
        <v>1420.5</v>
      </c>
      <c r="E2">
        <v>209.59</v>
      </c>
      <c r="F2">
        <v>2874.18</v>
      </c>
      <c r="G2">
        <v>1774.38</v>
      </c>
      <c r="H2">
        <v>13083.18</v>
      </c>
    </row>
    <row r="3" spans="1:8" x14ac:dyDescent="0.3">
      <c r="A3" s="1">
        <v>31415</v>
      </c>
      <c r="B3">
        <v>121.52</v>
      </c>
      <c r="C3">
        <v>1020.4</v>
      </c>
      <c r="D3">
        <v>1429.8</v>
      </c>
      <c r="E3">
        <v>210.88</v>
      </c>
      <c r="F3">
        <v>2874.08</v>
      </c>
      <c r="G3">
        <v>1791.23</v>
      </c>
      <c r="H3">
        <v>13083.18</v>
      </c>
    </row>
    <row r="4" spans="1:8" x14ac:dyDescent="0.3">
      <c r="A4" s="1">
        <v>31418</v>
      </c>
      <c r="B4">
        <v>125.13</v>
      </c>
      <c r="C4">
        <v>1028</v>
      </c>
      <c r="D4">
        <v>1424.1</v>
      </c>
      <c r="E4">
        <v>210.65</v>
      </c>
      <c r="F4">
        <v>2859.92</v>
      </c>
      <c r="G4">
        <v>1796.59</v>
      </c>
      <c r="H4">
        <v>13053.79</v>
      </c>
    </row>
    <row r="5" spans="1:8" x14ac:dyDescent="0.3">
      <c r="A5" s="1">
        <v>31419</v>
      </c>
      <c r="B5">
        <v>124.98</v>
      </c>
      <c r="C5">
        <v>1032.4000000000001</v>
      </c>
      <c r="D5">
        <v>1415.2</v>
      </c>
      <c r="E5">
        <v>213.8</v>
      </c>
      <c r="F5">
        <v>2881.26</v>
      </c>
      <c r="G5">
        <v>1815.53</v>
      </c>
      <c r="H5">
        <v>12991.24</v>
      </c>
    </row>
    <row r="6" spans="1:8" x14ac:dyDescent="0.3">
      <c r="A6" s="1">
        <v>31420</v>
      </c>
      <c r="B6">
        <v>126.5</v>
      </c>
      <c r="C6">
        <v>1041.5999999999999</v>
      </c>
      <c r="D6">
        <v>1404.2</v>
      </c>
      <c r="E6">
        <v>207.97</v>
      </c>
      <c r="F6">
        <v>2852.54</v>
      </c>
      <c r="G6">
        <v>1826.84</v>
      </c>
      <c r="H6">
        <v>13056.42</v>
      </c>
    </row>
    <row r="7" spans="1:8" x14ac:dyDescent="0.3">
      <c r="A7" s="1">
        <v>31421</v>
      </c>
      <c r="B7">
        <v>123.56</v>
      </c>
      <c r="C7">
        <v>1043.9000000000001</v>
      </c>
      <c r="D7">
        <v>1379.6</v>
      </c>
      <c r="E7">
        <v>206.11</v>
      </c>
      <c r="F7">
        <v>2817.53</v>
      </c>
      <c r="G7">
        <v>1798.51</v>
      </c>
      <c r="H7">
        <v>13034.19</v>
      </c>
    </row>
    <row r="8" spans="1:8" x14ac:dyDescent="0.3">
      <c r="A8" s="1">
        <v>31422</v>
      </c>
      <c r="B8">
        <v>123.83</v>
      </c>
      <c r="C8">
        <v>1044.2</v>
      </c>
      <c r="D8">
        <v>1394.5</v>
      </c>
      <c r="E8">
        <v>205.96</v>
      </c>
      <c r="F8">
        <v>2810.44</v>
      </c>
      <c r="G8">
        <v>1807.94</v>
      </c>
      <c r="H8">
        <v>12998.21</v>
      </c>
    </row>
    <row r="9" spans="1:8" x14ac:dyDescent="0.3">
      <c r="A9" s="1">
        <v>31425</v>
      </c>
      <c r="B9">
        <v>121.62</v>
      </c>
      <c r="C9">
        <v>1051.0999999999999</v>
      </c>
      <c r="D9">
        <v>1384.6</v>
      </c>
      <c r="E9">
        <v>206.72</v>
      </c>
      <c r="F9">
        <v>2802.76</v>
      </c>
      <c r="G9">
        <v>1799.61</v>
      </c>
      <c r="H9">
        <v>12977.02</v>
      </c>
    </row>
    <row r="10" spans="1:8" x14ac:dyDescent="0.3">
      <c r="A10" s="1">
        <v>31426</v>
      </c>
      <c r="B10">
        <v>122.62</v>
      </c>
      <c r="C10">
        <v>1048.9000000000001</v>
      </c>
      <c r="D10">
        <v>1370.1</v>
      </c>
      <c r="E10">
        <v>206.64</v>
      </c>
      <c r="F10">
        <v>2804.86</v>
      </c>
      <c r="G10">
        <v>1782.23</v>
      </c>
      <c r="H10">
        <v>12928.6</v>
      </c>
    </row>
    <row r="11" spans="1:8" x14ac:dyDescent="0.3">
      <c r="A11" s="1">
        <v>31427</v>
      </c>
      <c r="B11">
        <v>124.53</v>
      </c>
      <c r="C11">
        <v>1050.5</v>
      </c>
      <c r="D11">
        <v>1390.5</v>
      </c>
      <c r="E11">
        <v>208.26</v>
      </c>
      <c r="F11">
        <v>2846.35</v>
      </c>
      <c r="G11">
        <v>1783.66</v>
      </c>
      <c r="H11">
        <v>12928.6</v>
      </c>
    </row>
    <row r="12" spans="1:8" x14ac:dyDescent="0.3">
      <c r="A12" s="1">
        <v>31428</v>
      </c>
      <c r="B12">
        <v>125.98</v>
      </c>
      <c r="C12">
        <v>1060.9000000000001</v>
      </c>
      <c r="D12">
        <v>1394.5</v>
      </c>
      <c r="E12">
        <v>209.17</v>
      </c>
      <c r="F12">
        <v>2868.9</v>
      </c>
      <c r="G12">
        <v>1797.22</v>
      </c>
      <c r="H12">
        <v>13027.13</v>
      </c>
    </row>
    <row r="13" spans="1:8" x14ac:dyDescent="0.3">
      <c r="A13" s="1">
        <v>31429</v>
      </c>
      <c r="B13">
        <v>125.45</v>
      </c>
      <c r="C13">
        <v>1066.7</v>
      </c>
      <c r="D13">
        <v>1396</v>
      </c>
      <c r="E13">
        <v>208.43</v>
      </c>
      <c r="F13">
        <v>2862.01</v>
      </c>
      <c r="G13">
        <v>1806.86</v>
      </c>
      <c r="H13">
        <v>13009.7</v>
      </c>
    </row>
    <row r="14" spans="1:8" x14ac:dyDescent="0.3">
      <c r="A14" s="1">
        <v>31432</v>
      </c>
      <c r="B14">
        <v>124.22</v>
      </c>
      <c r="C14">
        <v>1065.5999999999999</v>
      </c>
      <c r="D14">
        <v>1378.3</v>
      </c>
      <c r="E14">
        <v>207.53</v>
      </c>
      <c r="F14">
        <v>2839.27</v>
      </c>
      <c r="G14">
        <v>1775.82</v>
      </c>
      <c r="H14">
        <v>12952.05</v>
      </c>
    </row>
    <row r="15" spans="1:8" x14ac:dyDescent="0.3">
      <c r="A15" s="1">
        <v>31433</v>
      </c>
      <c r="B15">
        <v>124.49</v>
      </c>
      <c r="C15">
        <v>1067.7</v>
      </c>
      <c r="D15">
        <v>1378.1</v>
      </c>
      <c r="E15">
        <v>205.79</v>
      </c>
      <c r="F15">
        <v>2807.05</v>
      </c>
      <c r="G15">
        <v>1776.19</v>
      </c>
      <c r="H15">
        <v>12881.5</v>
      </c>
    </row>
    <row r="16" spans="1:8" x14ac:dyDescent="0.3">
      <c r="A16" s="1">
        <v>31434</v>
      </c>
      <c r="B16">
        <v>123.07</v>
      </c>
      <c r="C16">
        <v>1069</v>
      </c>
      <c r="D16">
        <v>1390.9</v>
      </c>
      <c r="E16">
        <v>203.49</v>
      </c>
      <c r="F16">
        <v>2751.79</v>
      </c>
      <c r="G16">
        <v>1737.94</v>
      </c>
      <c r="H16">
        <v>12923.32</v>
      </c>
    </row>
    <row r="17" spans="1:8" x14ac:dyDescent="0.3">
      <c r="A17" s="1">
        <v>31435</v>
      </c>
      <c r="B17">
        <v>118.52</v>
      </c>
      <c r="C17">
        <v>1059.9000000000001</v>
      </c>
      <c r="D17">
        <v>1382.8</v>
      </c>
      <c r="E17">
        <v>204.25</v>
      </c>
      <c r="F17">
        <v>2766.26</v>
      </c>
      <c r="G17">
        <v>1762.29</v>
      </c>
      <c r="H17">
        <v>12888.94</v>
      </c>
    </row>
    <row r="18" spans="1:8" x14ac:dyDescent="0.3">
      <c r="A18" s="1">
        <v>31436</v>
      </c>
      <c r="B18">
        <v>121.62</v>
      </c>
      <c r="C18">
        <v>1052.9000000000001</v>
      </c>
      <c r="D18">
        <v>1392</v>
      </c>
      <c r="E18">
        <v>206.43</v>
      </c>
      <c r="F18">
        <v>2802.96</v>
      </c>
      <c r="G18">
        <v>1745.8</v>
      </c>
      <c r="H18">
        <v>12904.2</v>
      </c>
    </row>
    <row r="19" spans="1:8" x14ac:dyDescent="0.3">
      <c r="A19" s="1">
        <v>31439</v>
      </c>
      <c r="B19">
        <v>122.19</v>
      </c>
      <c r="D19">
        <v>1405</v>
      </c>
      <c r="E19">
        <v>207.39</v>
      </c>
      <c r="F19">
        <v>2820.72</v>
      </c>
      <c r="G19">
        <v>1744.11</v>
      </c>
      <c r="H19">
        <v>12983.14</v>
      </c>
    </row>
    <row r="20" spans="1:8" x14ac:dyDescent="0.3">
      <c r="A20" s="1">
        <v>31440</v>
      </c>
      <c r="B20">
        <v>120.99</v>
      </c>
      <c r="C20">
        <v>1055.5999999999999</v>
      </c>
      <c r="D20">
        <v>1426.3</v>
      </c>
      <c r="E20">
        <v>209.81</v>
      </c>
      <c r="F20">
        <v>2830.69</v>
      </c>
      <c r="G20">
        <v>1754.38</v>
      </c>
      <c r="H20">
        <v>12993.69</v>
      </c>
    </row>
    <row r="21" spans="1:8" x14ac:dyDescent="0.3">
      <c r="A21" s="1">
        <v>31441</v>
      </c>
      <c r="B21">
        <v>120.02</v>
      </c>
      <c r="C21">
        <v>1060.5</v>
      </c>
      <c r="D21">
        <v>1421</v>
      </c>
      <c r="E21">
        <v>210.29</v>
      </c>
      <c r="F21">
        <v>2849.64</v>
      </c>
      <c r="G21">
        <v>1736.35</v>
      </c>
      <c r="H21">
        <v>12957.14</v>
      </c>
    </row>
    <row r="22" spans="1:8" x14ac:dyDescent="0.3">
      <c r="A22" s="1">
        <v>31442</v>
      </c>
      <c r="B22">
        <v>117.76</v>
      </c>
      <c r="C22">
        <v>1074.2</v>
      </c>
      <c r="D22">
        <v>1429.1</v>
      </c>
      <c r="E22">
        <v>209.33</v>
      </c>
      <c r="F22">
        <v>2837.28</v>
      </c>
      <c r="G22">
        <v>1720.21</v>
      </c>
      <c r="H22">
        <v>12949.04</v>
      </c>
    </row>
    <row r="23" spans="1:8" x14ac:dyDescent="0.3">
      <c r="A23" s="1">
        <v>31443</v>
      </c>
      <c r="B23">
        <v>119.53</v>
      </c>
      <c r="C23">
        <v>1075.0999999999999</v>
      </c>
      <c r="D23">
        <v>1435</v>
      </c>
      <c r="E23">
        <v>211.78</v>
      </c>
      <c r="F23">
        <v>2835.78</v>
      </c>
      <c r="G23">
        <v>1695.78</v>
      </c>
      <c r="H23">
        <v>13024.3</v>
      </c>
    </row>
    <row r="24" spans="1:8" x14ac:dyDescent="0.3">
      <c r="A24" s="1">
        <v>31446</v>
      </c>
      <c r="B24">
        <v>121.25</v>
      </c>
      <c r="C24">
        <v>1072.9000000000001</v>
      </c>
      <c r="D24">
        <v>1425.1</v>
      </c>
      <c r="E24">
        <v>213.96</v>
      </c>
      <c r="F24">
        <v>2835.68</v>
      </c>
      <c r="G24">
        <v>1702.38</v>
      </c>
      <c r="H24">
        <v>13086.47</v>
      </c>
    </row>
    <row r="25" spans="1:8" x14ac:dyDescent="0.3">
      <c r="A25" s="1">
        <v>31447</v>
      </c>
      <c r="B25">
        <v>122.5</v>
      </c>
      <c r="C25">
        <v>1075.5999999999999</v>
      </c>
      <c r="D25">
        <v>1431.6</v>
      </c>
      <c r="E25">
        <v>212.79</v>
      </c>
      <c r="F25">
        <v>2775.13</v>
      </c>
      <c r="G25">
        <v>1728.81</v>
      </c>
      <c r="H25">
        <v>13138.09</v>
      </c>
    </row>
    <row r="26" spans="1:8" x14ac:dyDescent="0.3">
      <c r="A26" s="1">
        <v>31448</v>
      </c>
      <c r="B26">
        <v>122.01</v>
      </c>
      <c r="C26">
        <v>1060.7</v>
      </c>
      <c r="D26">
        <v>1424.1</v>
      </c>
      <c r="E26">
        <v>212.96</v>
      </c>
      <c r="F26">
        <v>2764.56</v>
      </c>
      <c r="G26">
        <v>1723.08</v>
      </c>
      <c r="H26">
        <v>13185.66</v>
      </c>
    </row>
    <row r="27" spans="1:8" x14ac:dyDescent="0.3">
      <c r="A27" s="1">
        <v>31449</v>
      </c>
      <c r="B27">
        <v>121.61</v>
      </c>
      <c r="C27">
        <v>1066.9000000000001</v>
      </c>
      <c r="D27">
        <v>1426.9</v>
      </c>
      <c r="E27">
        <v>213.47</v>
      </c>
      <c r="F27">
        <v>2793.89</v>
      </c>
      <c r="G27">
        <v>1719.67</v>
      </c>
      <c r="H27">
        <v>13186.61</v>
      </c>
    </row>
    <row r="28" spans="1:8" x14ac:dyDescent="0.3">
      <c r="A28" s="1">
        <v>31450</v>
      </c>
      <c r="B28">
        <v>120.55</v>
      </c>
      <c r="C28">
        <v>1069.4000000000001</v>
      </c>
      <c r="D28">
        <v>1445</v>
      </c>
      <c r="E28">
        <v>214.56</v>
      </c>
      <c r="F28">
        <v>2791.69</v>
      </c>
      <c r="G28">
        <v>1734.04</v>
      </c>
      <c r="H28">
        <v>13212.13</v>
      </c>
    </row>
    <row r="29" spans="1:8" x14ac:dyDescent="0.3">
      <c r="A29" s="1">
        <v>31453</v>
      </c>
      <c r="B29">
        <v>121.1</v>
      </c>
      <c r="C29">
        <v>1068.9000000000001</v>
      </c>
      <c r="D29">
        <v>1461.5</v>
      </c>
      <c r="E29">
        <v>216.24</v>
      </c>
      <c r="F29">
        <v>2785.91</v>
      </c>
      <c r="G29" t="e">
        <v>#N/A</v>
      </c>
      <c r="H29">
        <v>13226.07</v>
      </c>
    </row>
    <row r="30" spans="1:8" x14ac:dyDescent="0.3">
      <c r="A30" s="1">
        <v>31454</v>
      </c>
      <c r="B30">
        <v>120.05</v>
      </c>
      <c r="C30">
        <v>1064.5</v>
      </c>
      <c r="D30">
        <v>1453.9</v>
      </c>
      <c r="E30">
        <v>215.92</v>
      </c>
      <c r="F30">
        <v>2761.67</v>
      </c>
      <c r="G30" t="e">
        <v>#N/A</v>
      </c>
      <c r="H30">
        <v>13226.1</v>
      </c>
    </row>
    <row r="31" spans="1:8" x14ac:dyDescent="0.3">
      <c r="A31" s="1">
        <v>31455</v>
      </c>
      <c r="B31">
        <v>119.15</v>
      </c>
      <c r="C31">
        <v>1055.2</v>
      </c>
      <c r="D31">
        <v>1470</v>
      </c>
      <c r="E31">
        <v>215.97</v>
      </c>
      <c r="F31">
        <v>2774.04</v>
      </c>
      <c r="G31">
        <v>1743.03</v>
      </c>
      <c r="H31">
        <v>13300.58</v>
      </c>
    </row>
    <row r="32" spans="1:8" x14ac:dyDescent="0.3">
      <c r="A32" s="1">
        <v>31456</v>
      </c>
      <c r="B32">
        <v>118.36</v>
      </c>
      <c r="C32">
        <v>1039.7</v>
      </c>
      <c r="D32">
        <v>1473.5</v>
      </c>
      <c r="E32">
        <v>217.4</v>
      </c>
      <c r="F32">
        <v>2753.79</v>
      </c>
      <c r="G32">
        <v>1746.4</v>
      </c>
      <c r="H32">
        <v>13293.8</v>
      </c>
    </row>
    <row r="33" spans="1:8" x14ac:dyDescent="0.3">
      <c r="A33" s="1">
        <v>31457</v>
      </c>
      <c r="B33">
        <v>118.78</v>
      </c>
      <c r="C33">
        <v>1046.7</v>
      </c>
      <c r="D33">
        <v>1477.9</v>
      </c>
      <c r="E33">
        <v>219.76</v>
      </c>
      <c r="F33">
        <v>2754.29</v>
      </c>
      <c r="G33">
        <v>1777.54</v>
      </c>
      <c r="H33">
        <v>13342.78</v>
      </c>
    </row>
    <row r="34" spans="1:8" x14ac:dyDescent="0.3">
      <c r="A34" s="1">
        <v>31460</v>
      </c>
      <c r="B34">
        <v>118.59</v>
      </c>
      <c r="C34">
        <v>1048.5</v>
      </c>
      <c r="D34">
        <v>1475.3</v>
      </c>
      <c r="G34">
        <v>1783.08</v>
      </c>
      <c r="H34">
        <v>13447.91</v>
      </c>
    </row>
    <row r="35" spans="1:8" x14ac:dyDescent="0.3">
      <c r="A35" s="1">
        <v>31461</v>
      </c>
      <c r="B35">
        <v>118.23</v>
      </c>
      <c r="C35">
        <v>1047.0999999999999</v>
      </c>
      <c r="D35">
        <v>1491.9</v>
      </c>
      <c r="E35">
        <v>222.45</v>
      </c>
      <c r="F35">
        <v>2774.84</v>
      </c>
      <c r="G35">
        <v>1771.41</v>
      </c>
      <c r="H35">
        <v>13436.23</v>
      </c>
    </row>
    <row r="36" spans="1:8" x14ac:dyDescent="0.3">
      <c r="A36" s="1">
        <v>31462</v>
      </c>
      <c r="B36">
        <v>116.47</v>
      </c>
      <c r="C36">
        <v>1049.5999999999999</v>
      </c>
      <c r="D36">
        <v>1491.4</v>
      </c>
      <c r="E36">
        <v>219.76</v>
      </c>
      <c r="F36">
        <v>2783.61</v>
      </c>
      <c r="G36">
        <v>1751.67</v>
      </c>
      <c r="H36">
        <v>13466.65</v>
      </c>
    </row>
    <row r="37" spans="1:8" x14ac:dyDescent="0.3">
      <c r="A37" s="1">
        <v>31463</v>
      </c>
      <c r="B37">
        <v>115.73</v>
      </c>
      <c r="C37">
        <v>1052.3</v>
      </c>
      <c r="D37">
        <v>1492.1</v>
      </c>
      <c r="E37">
        <v>222.22</v>
      </c>
      <c r="F37">
        <v>2794.29</v>
      </c>
      <c r="G37">
        <v>1733.17</v>
      </c>
      <c r="H37">
        <v>13355.41</v>
      </c>
    </row>
    <row r="38" spans="1:8" x14ac:dyDescent="0.3">
      <c r="A38" s="1">
        <v>31464</v>
      </c>
      <c r="B38">
        <v>115.54</v>
      </c>
      <c r="C38">
        <v>1057</v>
      </c>
      <c r="D38">
        <v>1518</v>
      </c>
      <c r="E38">
        <v>224.62</v>
      </c>
      <c r="F38">
        <v>2802.67</v>
      </c>
      <c r="G38">
        <v>1747.06</v>
      </c>
      <c r="H38">
        <v>13394.31</v>
      </c>
    </row>
    <row r="39" spans="1:8" x14ac:dyDescent="0.3">
      <c r="A39" s="1">
        <v>31467</v>
      </c>
      <c r="B39">
        <v>114.3</v>
      </c>
      <c r="C39">
        <v>1062</v>
      </c>
      <c r="D39">
        <v>1533</v>
      </c>
      <c r="E39">
        <v>224.34</v>
      </c>
      <c r="F39">
        <v>2794.59</v>
      </c>
      <c r="G39">
        <v>1742.37</v>
      </c>
      <c r="H39">
        <v>13503.49</v>
      </c>
    </row>
    <row r="40" spans="1:8" x14ac:dyDescent="0.3">
      <c r="A40" s="1">
        <v>31468</v>
      </c>
      <c r="B40">
        <v>112.54</v>
      </c>
      <c r="C40">
        <v>1046.5999999999999</v>
      </c>
      <c r="D40">
        <v>1527.7</v>
      </c>
      <c r="E40">
        <v>223.79</v>
      </c>
      <c r="F40">
        <v>2801.37</v>
      </c>
      <c r="G40">
        <v>1746.05</v>
      </c>
      <c r="H40">
        <v>13576.3</v>
      </c>
    </row>
    <row r="41" spans="1:8" x14ac:dyDescent="0.3">
      <c r="A41" s="1">
        <v>31469</v>
      </c>
      <c r="B41">
        <v>112.92</v>
      </c>
      <c r="C41">
        <v>1047</v>
      </c>
      <c r="D41">
        <v>1534.6</v>
      </c>
      <c r="E41">
        <v>224.04</v>
      </c>
      <c r="F41">
        <v>2820.02</v>
      </c>
      <c r="G41">
        <v>1746.3</v>
      </c>
      <c r="H41">
        <v>13621.7</v>
      </c>
    </row>
    <row r="42" spans="1:8" x14ac:dyDescent="0.3">
      <c r="A42" s="1">
        <v>31470</v>
      </c>
      <c r="B42">
        <v>111.84</v>
      </c>
      <c r="C42">
        <v>1041.5999999999999</v>
      </c>
      <c r="D42">
        <v>1549.5</v>
      </c>
      <c r="E42">
        <v>226.77</v>
      </c>
      <c r="F42">
        <v>2826.1</v>
      </c>
      <c r="G42">
        <v>1720.51</v>
      </c>
      <c r="H42">
        <v>13642.14</v>
      </c>
    </row>
    <row r="43" spans="1:8" x14ac:dyDescent="0.3">
      <c r="A43" s="1">
        <v>31471</v>
      </c>
      <c r="B43">
        <v>112.4</v>
      </c>
      <c r="C43">
        <v>1041.5999999999999</v>
      </c>
      <c r="D43">
        <v>1543.9</v>
      </c>
      <c r="E43">
        <v>226.92</v>
      </c>
      <c r="F43">
        <v>2848.55</v>
      </c>
      <c r="G43">
        <v>1695.3</v>
      </c>
      <c r="H43">
        <v>13640.83</v>
      </c>
    </row>
    <row r="44" spans="1:8" x14ac:dyDescent="0.3">
      <c r="A44" s="1">
        <v>31474</v>
      </c>
      <c r="B44">
        <v>111.3</v>
      </c>
      <c r="C44">
        <v>1041.5999999999999</v>
      </c>
      <c r="D44">
        <v>1534.9</v>
      </c>
      <c r="E44">
        <v>225.42</v>
      </c>
      <c r="F44">
        <v>2859.32</v>
      </c>
      <c r="G44">
        <v>1685.06</v>
      </c>
      <c r="H44">
        <v>13757.63</v>
      </c>
    </row>
    <row r="45" spans="1:8" x14ac:dyDescent="0.3">
      <c r="A45" s="1">
        <v>31475</v>
      </c>
      <c r="B45">
        <v>114.46</v>
      </c>
      <c r="C45">
        <v>1058.3</v>
      </c>
      <c r="D45">
        <v>1548.9</v>
      </c>
      <c r="E45">
        <v>224.38</v>
      </c>
      <c r="F45">
        <v>2864.21</v>
      </c>
      <c r="G45">
        <v>1695.77</v>
      </c>
      <c r="H45">
        <v>13784.29</v>
      </c>
    </row>
    <row r="46" spans="1:8" x14ac:dyDescent="0.3">
      <c r="A46" s="1">
        <v>31476</v>
      </c>
      <c r="B46">
        <v>116.63</v>
      </c>
      <c r="C46">
        <v>1058.4000000000001</v>
      </c>
      <c r="D46">
        <v>1569.1</v>
      </c>
      <c r="E46">
        <v>224.34</v>
      </c>
      <c r="F46">
        <v>2882.26</v>
      </c>
      <c r="G46">
        <v>1664.33</v>
      </c>
      <c r="H46">
        <v>13807.46</v>
      </c>
    </row>
    <row r="47" spans="1:8" x14ac:dyDescent="0.3">
      <c r="A47" s="1">
        <v>31477</v>
      </c>
      <c r="B47">
        <v>117.83</v>
      </c>
      <c r="C47">
        <v>1053.7</v>
      </c>
      <c r="D47">
        <v>1566.1</v>
      </c>
      <c r="E47">
        <v>225.13</v>
      </c>
      <c r="F47">
        <v>2906.6</v>
      </c>
      <c r="G47">
        <v>1668.51</v>
      </c>
      <c r="H47">
        <v>13901.56</v>
      </c>
    </row>
    <row r="48" spans="1:8" x14ac:dyDescent="0.3">
      <c r="A48" s="1">
        <v>31478</v>
      </c>
      <c r="B48">
        <v>117.89</v>
      </c>
      <c r="C48">
        <v>1055</v>
      </c>
      <c r="D48">
        <v>1573.8</v>
      </c>
      <c r="E48">
        <v>225.57</v>
      </c>
      <c r="F48">
        <v>2919.57</v>
      </c>
      <c r="G48">
        <v>1682.65</v>
      </c>
      <c r="H48">
        <v>13994.63</v>
      </c>
    </row>
    <row r="49" spans="1:8" x14ac:dyDescent="0.3">
      <c r="A49" s="1">
        <v>31481</v>
      </c>
      <c r="B49">
        <v>119.76</v>
      </c>
      <c r="C49">
        <v>1055</v>
      </c>
      <c r="D49">
        <v>1572.2</v>
      </c>
      <c r="E49">
        <v>226.58</v>
      </c>
      <c r="F49">
        <v>2918.87</v>
      </c>
      <c r="G49">
        <v>1667.07</v>
      </c>
      <c r="H49">
        <v>14056.52</v>
      </c>
    </row>
    <row r="50" spans="1:8" x14ac:dyDescent="0.3">
      <c r="A50" s="1">
        <v>31482</v>
      </c>
      <c r="B50">
        <v>119.94</v>
      </c>
      <c r="C50">
        <v>1063.0999999999999</v>
      </c>
      <c r="D50">
        <v>1597.1</v>
      </c>
      <c r="E50">
        <v>231.69</v>
      </c>
      <c r="F50">
        <v>2965.95</v>
      </c>
      <c r="G50">
        <v>1639.15</v>
      </c>
      <c r="H50">
        <v>14066.22</v>
      </c>
    </row>
    <row r="51" spans="1:8" x14ac:dyDescent="0.3">
      <c r="A51" s="1">
        <v>31483</v>
      </c>
      <c r="B51">
        <v>121.18</v>
      </c>
      <c r="C51">
        <v>1076.9000000000001</v>
      </c>
      <c r="D51">
        <v>1624.5</v>
      </c>
      <c r="E51">
        <v>232.54</v>
      </c>
      <c r="F51">
        <v>2986.3</v>
      </c>
      <c r="G51">
        <v>1590.39</v>
      </c>
      <c r="H51">
        <v>14238.13</v>
      </c>
    </row>
    <row r="52" spans="1:8" x14ac:dyDescent="0.3">
      <c r="A52" s="1">
        <v>31484</v>
      </c>
      <c r="B52">
        <v>121.11</v>
      </c>
      <c r="C52">
        <v>1085.8</v>
      </c>
      <c r="D52">
        <v>1616.7</v>
      </c>
      <c r="E52">
        <v>233.19</v>
      </c>
      <c r="F52">
        <v>2954.18</v>
      </c>
      <c r="G52">
        <v>1612.67</v>
      </c>
      <c r="H52">
        <v>14414.66</v>
      </c>
    </row>
    <row r="53" spans="1:8" x14ac:dyDescent="0.3">
      <c r="A53" s="1">
        <v>31485</v>
      </c>
      <c r="B53">
        <v>120.46</v>
      </c>
      <c r="C53">
        <v>1089.5</v>
      </c>
      <c r="D53">
        <v>1624.4</v>
      </c>
      <c r="E53">
        <v>236.55</v>
      </c>
      <c r="F53">
        <v>2950.29</v>
      </c>
      <c r="G53">
        <v>1607.63</v>
      </c>
      <c r="H53">
        <v>14516.77</v>
      </c>
    </row>
    <row r="54" spans="1:8" x14ac:dyDescent="0.3">
      <c r="A54" s="1">
        <v>31488</v>
      </c>
      <c r="B54">
        <v>119.83</v>
      </c>
      <c r="C54">
        <v>1112.2</v>
      </c>
      <c r="D54">
        <v>1622.6</v>
      </c>
      <c r="E54">
        <v>234.67</v>
      </c>
      <c r="F54">
        <v>2949.59</v>
      </c>
      <c r="G54">
        <v>1566.49</v>
      </c>
      <c r="H54">
        <v>14655.52</v>
      </c>
    </row>
    <row r="55" spans="1:8" x14ac:dyDescent="0.3">
      <c r="A55" s="1">
        <v>31489</v>
      </c>
      <c r="B55">
        <v>120.48</v>
      </c>
      <c r="C55">
        <v>1124.4000000000001</v>
      </c>
      <c r="D55">
        <v>1644.4</v>
      </c>
      <c r="E55">
        <v>235.78</v>
      </c>
      <c r="F55">
        <v>2976.62</v>
      </c>
      <c r="G55">
        <v>1561.72</v>
      </c>
      <c r="H55">
        <v>14639.32</v>
      </c>
    </row>
    <row r="56" spans="1:8" x14ac:dyDescent="0.3">
      <c r="A56" s="1">
        <v>31490</v>
      </c>
      <c r="B56">
        <v>120.98</v>
      </c>
      <c r="C56">
        <v>1123.3</v>
      </c>
      <c r="D56">
        <v>1659.8</v>
      </c>
      <c r="E56">
        <v>235.6</v>
      </c>
      <c r="F56">
        <v>2988.99</v>
      </c>
      <c r="G56">
        <v>1559.94</v>
      </c>
      <c r="H56">
        <v>14476.54</v>
      </c>
    </row>
    <row r="57" spans="1:8" x14ac:dyDescent="0.3">
      <c r="A57" s="1">
        <v>31491</v>
      </c>
      <c r="B57">
        <v>121.63</v>
      </c>
      <c r="C57">
        <v>1128.0999999999999</v>
      </c>
      <c r="D57">
        <v>1690.1</v>
      </c>
      <c r="E57">
        <v>236.54</v>
      </c>
      <c r="F57">
        <v>3022.11</v>
      </c>
      <c r="G57">
        <v>1605.7</v>
      </c>
      <c r="H57">
        <v>14753.3</v>
      </c>
    </row>
    <row r="58" spans="1:8" x14ac:dyDescent="0.3">
      <c r="A58" s="1">
        <v>31492</v>
      </c>
      <c r="B58">
        <v>121.2</v>
      </c>
      <c r="C58">
        <v>1136.7</v>
      </c>
      <c r="D58">
        <v>1688.3</v>
      </c>
      <c r="E58">
        <v>233.34</v>
      </c>
      <c r="F58">
        <v>3047.64</v>
      </c>
      <c r="G58">
        <v>1611.73</v>
      </c>
      <c r="H58">
        <v>15014</v>
      </c>
    </row>
    <row r="59" spans="1:8" x14ac:dyDescent="0.3">
      <c r="A59" s="1">
        <v>31495</v>
      </c>
      <c r="B59">
        <v>120.66</v>
      </c>
      <c r="C59">
        <v>1156.8</v>
      </c>
      <c r="D59">
        <v>1663.9</v>
      </c>
      <c r="E59">
        <v>235.33</v>
      </c>
      <c r="F59">
        <v>3033.58</v>
      </c>
      <c r="G59">
        <v>1635.29</v>
      </c>
      <c r="H59">
        <v>14975.23</v>
      </c>
    </row>
    <row r="60" spans="1:8" x14ac:dyDescent="0.3">
      <c r="A60" s="1">
        <v>31496</v>
      </c>
      <c r="B60">
        <v>120.08</v>
      </c>
      <c r="C60">
        <v>1168.7</v>
      </c>
      <c r="D60">
        <v>1633.8</v>
      </c>
      <c r="E60">
        <v>234.72</v>
      </c>
      <c r="F60">
        <v>3004.45</v>
      </c>
      <c r="G60">
        <v>1626.71</v>
      </c>
      <c r="H60">
        <v>14826.87</v>
      </c>
    </row>
    <row r="61" spans="1:8" x14ac:dyDescent="0.3">
      <c r="A61" s="1">
        <v>31497</v>
      </c>
      <c r="B61">
        <v>121.09</v>
      </c>
      <c r="C61">
        <v>1165.7</v>
      </c>
      <c r="D61">
        <v>1653.9</v>
      </c>
      <c r="E61">
        <v>237.3</v>
      </c>
      <c r="F61">
        <v>3016.72</v>
      </c>
      <c r="G61">
        <v>1618.8</v>
      </c>
      <c r="H61">
        <v>15059.72</v>
      </c>
    </row>
    <row r="62" spans="1:8" x14ac:dyDescent="0.3">
      <c r="A62" s="1">
        <v>31498</v>
      </c>
      <c r="B62">
        <v>122.43</v>
      </c>
      <c r="C62">
        <v>1136.5</v>
      </c>
      <c r="D62">
        <v>1668.8</v>
      </c>
      <c r="E62">
        <v>238.97</v>
      </c>
      <c r="F62">
        <v>3028.39</v>
      </c>
      <c r="G62">
        <v>1625.94</v>
      </c>
      <c r="H62">
        <v>15337.18</v>
      </c>
    </row>
    <row r="63" spans="1:8" x14ac:dyDescent="0.3">
      <c r="A63" s="1">
        <v>31499</v>
      </c>
      <c r="B63">
        <v>122.43</v>
      </c>
      <c r="G63" t="e">
        <v>#N/A</v>
      </c>
      <c r="H63">
        <v>15364.34</v>
      </c>
    </row>
    <row r="64" spans="1:8" x14ac:dyDescent="0.3">
      <c r="A64" s="1">
        <v>31502</v>
      </c>
      <c r="B64">
        <v>122.43</v>
      </c>
      <c r="E64">
        <v>238.9</v>
      </c>
      <c r="F64">
        <v>3039.56</v>
      </c>
      <c r="G64" t="e">
        <v>#N/A</v>
      </c>
      <c r="H64">
        <v>15859.75</v>
      </c>
    </row>
    <row r="65" spans="1:8" x14ac:dyDescent="0.3">
      <c r="A65" s="1">
        <v>31503</v>
      </c>
      <c r="B65">
        <v>124.17</v>
      </c>
      <c r="C65">
        <v>1131.5</v>
      </c>
      <c r="D65">
        <v>1684</v>
      </c>
      <c r="E65">
        <v>235.14</v>
      </c>
      <c r="F65">
        <v>3021.01</v>
      </c>
      <c r="G65" t="e">
        <v>#N/A</v>
      </c>
      <c r="H65">
        <v>15745.87</v>
      </c>
    </row>
    <row r="66" spans="1:8" x14ac:dyDescent="0.3">
      <c r="A66" s="1">
        <v>31504</v>
      </c>
      <c r="B66">
        <v>124.25</v>
      </c>
      <c r="C66">
        <v>1136</v>
      </c>
      <c r="D66">
        <v>1702.9</v>
      </c>
      <c r="E66">
        <v>235.71</v>
      </c>
      <c r="F66">
        <v>3022.21</v>
      </c>
      <c r="G66">
        <v>1603.27</v>
      </c>
      <c r="H66">
        <v>15555.51</v>
      </c>
    </row>
    <row r="67" spans="1:8" x14ac:dyDescent="0.3">
      <c r="A67" s="1">
        <v>31505</v>
      </c>
      <c r="B67">
        <v>124.96</v>
      </c>
      <c r="C67">
        <v>1144.2</v>
      </c>
      <c r="D67">
        <v>1717.6</v>
      </c>
      <c r="E67">
        <v>232.47</v>
      </c>
      <c r="F67">
        <v>3028.49</v>
      </c>
      <c r="G67">
        <v>1625.2</v>
      </c>
      <c r="H67">
        <v>15272.24</v>
      </c>
    </row>
    <row r="68" spans="1:8" x14ac:dyDescent="0.3">
      <c r="A68" s="1">
        <v>31506</v>
      </c>
      <c r="B68">
        <v>124.55</v>
      </c>
      <c r="C68">
        <v>1153.9000000000001</v>
      </c>
      <c r="D68">
        <v>1709.7</v>
      </c>
      <c r="E68">
        <v>228.69</v>
      </c>
      <c r="F68">
        <v>3009.74</v>
      </c>
      <c r="G68">
        <v>1643.8</v>
      </c>
      <c r="H68">
        <v>15019.81</v>
      </c>
    </row>
    <row r="69" spans="1:8" x14ac:dyDescent="0.3">
      <c r="A69" s="1">
        <v>31509</v>
      </c>
      <c r="B69">
        <v>124.83</v>
      </c>
      <c r="C69">
        <v>1148.5</v>
      </c>
      <c r="D69">
        <v>1688.5</v>
      </c>
      <c r="E69">
        <v>228.63</v>
      </c>
      <c r="F69">
        <v>3022.21</v>
      </c>
      <c r="G69">
        <v>1691.6</v>
      </c>
      <c r="H69">
        <v>15061.98</v>
      </c>
    </row>
    <row r="70" spans="1:8" x14ac:dyDescent="0.3">
      <c r="A70" s="1">
        <v>31510</v>
      </c>
      <c r="B70">
        <v>123.49</v>
      </c>
      <c r="C70">
        <v>1148.3</v>
      </c>
      <c r="D70">
        <v>1675.7</v>
      </c>
      <c r="E70">
        <v>233.52</v>
      </c>
      <c r="F70">
        <v>3031.88</v>
      </c>
      <c r="G70">
        <v>1727.93</v>
      </c>
      <c r="H70">
        <v>15014.06</v>
      </c>
    </row>
    <row r="71" spans="1:8" x14ac:dyDescent="0.3">
      <c r="A71" s="1">
        <v>31511</v>
      </c>
      <c r="B71">
        <v>124.03</v>
      </c>
      <c r="C71">
        <v>1153.9000000000001</v>
      </c>
      <c r="D71">
        <v>1659</v>
      </c>
      <c r="E71">
        <v>233.75</v>
      </c>
      <c r="F71">
        <v>3051.33</v>
      </c>
      <c r="G71">
        <v>1752.34</v>
      </c>
      <c r="H71">
        <v>15110.18</v>
      </c>
    </row>
    <row r="72" spans="1:8" x14ac:dyDescent="0.3">
      <c r="A72" s="1">
        <v>31512</v>
      </c>
      <c r="B72">
        <v>123.38</v>
      </c>
      <c r="C72">
        <v>1195.5999999999999</v>
      </c>
      <c r="D72">
        <v>1690.3</v>
      </c>
      <c r="E72">
        <v>236.44</v>
      </c>
      <c r="F72">
        <v>3057.62</v>
      </c>
      <c r="G72">
        <v>1758.57</v>
      </c>
      <c r="H72">
        <v>15203.57</v>
      </c>
    </row>
    <row r="73" spans="1:8" x14ac:dyDescent="0.3">
      <c r="A73" s="1">
        <v>31513</v>
      </c>
      <c r="B73">
        <v>123.84</v>
      </c>
      <c r="C73">
        <v>1214.5999999999999</v>
      </c>
      <c r="D73">
        <v>1694.1</v>
      </c>
      <c r="E73">
        <v>235.97</v>
      </c>
      <c r="F73">
        <v>3075.77</v>
      </c>
      <c r="G73">
        <v>1784.21</v>
      </c>
      <c r="H73">
        <v>15326.38</v>
      </c>
    </row>
    <row r="74" spans="1:8" x14ac:dyDescent="0.3">
      <c r="A74" s="1">
        <v>31516</v>
      </c>
      <c r="B74">
        <v>125.98</v>
      </c>
      <c r="C74">
        <v>1202.2</v>
      </c>
      <c r="D74">
        <v>1683.1</v>
      </c>
      <c r="E74">
        <v>237.28</v>
      </c>
      <c r="F74">
        <v>3089.24</v>
      </c>
      <c r="G74">
        <v>1785.45</v>
      </c>
      <c r="H74">
        <v>15396.76</v>
      </c>
    </row>
    <row r="75" spans="1:8" x14ac:dyDescent="0.3">
      <c r="A75" s="1">
        <v>31517</v>
      </c>
      <c r="B75">
        <v>124.17</v>
      </c>
      <c r="C75">
        <v>1198.5</v>
      </c>
      <c r="D75">
        <v>1654.8</v>
      </c>
      <c r="E75">
        <v>237.73</v>
      </c>
      <c r="F75">
        <v>3092.43</v>
      </c>
      <c r="G75">
        <v>1763.73</v>
      </c>
      <c r="H75">
        <v>15352.33</v>
      </c>
    </row>
    <row r="76" spans="1:8" x14ac:dyDescent="0.3">
      <c r="A76" s="1">
        <v>31518</v>
      </c>
      <c r="B76">
        <v>125.27</v>
      </c>
      <c r="C76">
        <v>1202.5999999999999</v>
      </c>
      <c r="D76">
        <v>1662</v>
      </c>
      <c r="E76">
        <v>242.22</v>
      </c>
      <c r="F76">
        <v>3110.88</v>
      </c>
      <c r="G76">
        <v>1791.19</v>
      </c>
      <c r="H76">
        <v>15358.36</v>
      </c>
    </row>
    <row r="77" spans="1:8" x14ac:dyDescent="0.3">
      <c r="A77" s="1">
        <v>31519</v>
      </c>
      <c r="B77">
        <v>125.85</v>
      </c>
      <c r="C77">
        <v>1216.8</v>
      </c>
      <c r="D77">
        <v>1680.9</v>
      </c>
      <c r="E77">
        <v>243.03</v>
      </c>
      <c r="F77">
        <v>3110.78</v>
      </c>
      <c r="G77">
        <v>1812</v>
      </c>
      <c r="H77">
        <v>15486.84</v>
      </c>
    </row>
    <row r="78" spans="1:8" x14ac:dyDescent="0.3">
      <c r="A78" s="1">
        <v>31520</v>
      </c>
      <c r="B78">
        <v>124.87</v>
      </c>
      <c r="C78">
        <v>1218.4000000000001</v>
      </c>
      <c r="D78">
        <v>1680.2</v>
      </c>
      <c r="E78">
        <v>242.38</v>
      </c>
      <c r="F78">
        <v>3121.15</v>
      </c>
      <c r="G78">
        <v>1790.4</v>
      </c>
      <c r="H78">
        <v>15758.61</v>
      </c>
    </row>
    <row r="79" spans="1:8" x14ac:dyDescent="0.3">
      <c r="A79" s="1">
        <v>31523</v>
      </c>
      <c r="B79">
        <v>124.49</v>
      </c>
      <c r="C79">
        <v>1218.4000000000001</v>
      </c>
      <c r="D79">
        <v>1668</v>
      </c>
      <c r="E79">
        <v>244.74</v>
      </c>
      <c r="F79">
        <v>3113.87</v>
      </c>
      <c r="G79">
        <v>1788.38</v>
      </c>
      <c r="H79">
        <v>15827.28</v>
      </c>
    </row>
    <row r="80" spans="1:8" x14ac:dyDescent="0.3">
      <c r="A80" s="1">
        <v>31524</v>
      </c>
      <c r="B80">
        <v>124.48</v>
      </c>
      <c r="C80">
        <v>1206.5</v>
      </c>
      <c r="D80">
        <v>1665.2</v>
      </c>
      <c r="E80">
        <v>242.42</v>
      </c>
      <c r="F80">
        <v>3090.23</v>
      </c>
      <c r="G80">
        <v>1792.9</v>
      </c>
      <c r="H80">
        <v>15712.91</v>
      </c>
    </row>
    <row r="81" spans="1:8" x14ac:dyDescent="0.3">
      <c r="A81" s="1">
        <v>31525</v>
      </c>
      <c r="B81">
        <v>122.66</v>
      </c>
      <c r="C81">
        <v>1207.3</v>
      </c>
      <c r="D81">
        <v>1632.7</v>
      </c>
      <c r="E81">
        <v>241.75</v>
      </c>
      <c r="F81">
        <v>3090.43</v>
      </c>
      <c r="G81">
        <v>1783.19</v>
      </c>
      <c r="H81">
        <v>15748.02</v>
      </c>
    </row>
    <row r="82" spans="1:8" x14ac:dyDescent="0.3">
      <c r="A82" s="1">
        <v>31526</v>
      </c>
      <c r="B82">
        <v>122.6</v>
      </c>
      <c r="C82">
        <v>1210.4000000000001</v>
      </c>
      <c r="D82">
        <v>1615.5</v>
      </c>
      <c r="E82">
        <v>242.02</v>
      </c>
      <c r="F82">
        <v>3117.26</v>
      </c>
      <c r="G82">
        <v>1824.51</v>
      </c>
      <c r="H82">
        <v>15682.05</v>
      </c>
    </row>
    <row r="83" spans="1:8" x14ac:dyDescent="0.3">
      <c r="A83" s="1">
        <v>31527</v>
      </c>
      <c r="B83">
        <v>122.5</v>
      </c>
      <c r="D83">
        <v>1622.6</v>
      </c>
      <c r="E83">
        <v>242.29</v>
      </c>
      <c r="F83">
        <v>3117.86</v>
      </c>
      <c r="G83">
        <v>1834.62</v>
      </c>
      <c r="H83">
        <v>15689.88</v>
      </c>
    </row>
    <row r="84" spans="1:8" x14ac:dyDescent="0.3">
      <c r="A84" s="1">
        <v>31530</v>
      </c>
      <c r="B84">
        <v>118.41</v>
      </c>
      <c r="C84">
        <v>1206.9000000000001</v>
      </c>
      <c r="D84">
        <v>1628.8</v>
      </c>
      <c r="E84">
        <v>243.08</v>
      </c>
      <c r="F84">
        <v>3118.46</v>
      </c>
      <c r="G84">
        <v>1848.65</v>
      </c>
      <c r="H84">
        <v>15757.93</v>
      </c>
    </row>
    <row r="85" spans="1:8" x14ac:dyDescent="0.3">
      <c r="A85" s="1">
        <v>31531</v>
      </c>
      <c r="B85">
        <v>120.12</v>
      </c>
      <c r="C85">
        <v>1209.0999999999999</v>
      </c>
      <c r="D85">
        <v>1656.3</v>
      </c>
      <c r="E85">
        <v>240.51</v>
      </c>
      <c r="F85">
        <v>3108.29</v>
      </c>
      <c r="G85">
        <v>1826.29</v>
      </c>
      <c r="H85">
        <v>15757.9</v>
      </c>
    </row>
    <row r="86" spans="1:8" x14ac:dyDescent="0.3">
      <c r="A86" s="1">
        <v>31532</v>
      </c>
      <c r="B86">
        <v>120.12</v>
      </c>
      <c r="C86">
        <v>1210.5999999999999</v>
      </c>
      <c r="D86">
        <v>1660.5</v>
      </c>
      <c r="E86">
        <v>235.52</v>
      </c>
      <c r="F86">
        <v>3071.08</v>
      </c>
      <c r="G86">
        <v>1836.99</v>
      </c>
      <c r="H86">
        <v>15825.5</v>
      </c>
    </row>
    <row r="87" spans="1:8" x14ac:dyDescent="0.3">
      <c r="A87" s="1">
        <v>31533</v>
      </c>
      <c r="B87">
        <v>118.83</v>
      </c>
      <c r="C87">
        <v>1212.9000000000001</v>
      </c>
      <c r="D87">
        <v>1640.1</v>
      </c>
      <c r="E87">
        <v>235.16</v>
      </c>
      <c r="F87">
        <v>3059.81</v>
      </c>
      <c r="G87">
        <v>1848.65</v>
      </c>
      <c r="H87">
        <v>15782.65</v>
      </c>
    </row>
    <row r="88" spans="1:8" x14ac:dyDescent="0.3">
      <c r="A88" s="1">
        <v>31534</v>
      </c>
      <c r="B88">
        <v>118.59</v>
      </c>
      <c r="C88">
        <v>1224.7</v>
      </c>
      <c r="D88">
        <v>1652.5</v>
      </c>
      <c r="E88">
        <v>234.79</v>
      </c>
      <c r="F88">
        <v>3070.18</v>
      </c>
      <c r="G88">
        <v>1843.14</v>
      </c>
      <c r="H88">
        <v>15868.44</v>
      </c>
    </row>
    <row r="89" spans="1:8" x14ac:dyDescent="0.3">
      <c r="A89" s="1">
        <v>31537</v>
      </c>
      <c r="B89">
        <v>118.25</v>
      </c>
      <c r="C89">
        <v>1231.4000000000001</v>
      </c>
      <c r="E89">
        <v>237.73</v>
      </c>
      <c r="F89">
        <v>3060.41</v>
      </c>
      <c r="G89">
        <v>1842.44</v>
      </c>
    </row>
    <row r="90" spans="1:8" x14ac:dyDescent="0.3">
      <c r="A90" s="1">
        <v>31538</v>
      </c>
      <c r="B90">
        <v>119.75</v>
      </c>
      <c r="C90">
        <v>1238.3</v>
      </c>
      <c r="D90">
        <v>1636.2</v>
      </c>
      <c r="E90">
        <v>237.24</v>
      </c>
      <c r="F90">
        <v>3066.89</v>
      </c>
      <c r="G90">
        <v>1858.16</v>
      </c>
      <c r="H90">
        <v>15900.15</v>
      </c>
    </row>
    <row r="91" spans="1:8" x14ac:dyDescent="0.3">
      <c r="A91" s="1">
        <v>31539</v>
      </c>
      <c r="B91">
        <v>117.4</v>
      </c>
      <c r="C91">
        <v>1247</v>
      </c>
      <c r="D91">
        <v>1610.1</v>
      </c>
      <c r="E91">
        <v>236.08</v>
      </c>
      <c r="F91">
        <v>3047.54</v>
      </c>
      <c r="G91">
        <v>1865.65</v>
      </c>
      <c r="H91">
        <v>15953.85</v>
      </c>
    </row>
    <row r="92" spans="1:8" x14ac:dyDescent="0.3">
      <c r="A92" s="1">
        <v>31540</v>
      </c>
      <c r="B92">
        <v>117.4</v>
      </c>
      <c r="C92">
        <v>1242.5999999999999</v>
      </c>
      <c r="D92">
        <v>1602.6</v>
      </c>
      <c r="E92">
        <v>237.13</v>
      </c>
      <c r="F92">
        <v>3056.32</v>
      </c>
      <c r="G92">
        <v>1864.21</v>
      </c>
      <c r="H92">
        <v>16078.24</v>
      </c>
    </row>
    <row r="93" spans="1:8" x14ac:dyDescent="0.3">
      <c r="A93" s="1">
        <v>31541</v>
      </c>
      <c r="B93">
        <v>115.99</v>
      </c>
      <c r="C93">
        <v>1232.0999999999999</v>
      </c>
      <c r="D93">
        <v>1601.6</v>
      </c>
      <c r="E93">
        <v>237.85</v>
      </c>
      <c r="F93">
        <v>3058.31</v>
      </c>
      <c r="G93">
        <v>1852.21</v>
      </c>
      <c r="H93">
        <v>16194.98</v>
      </c>
    </row>
    <row r="94" spans="1:8" x14ac:dyDescent="0.3">
      <c r="A94" s="1">
        <v>31544</v>
      </c>
      <c r="B94">
        <v>114.87</v>
      </c>
      <c r="C94">
        <v>1218.3</v>
      </c>
      <c r="D94">
        <v>1603.8</v>
      </c>
      <c r="E94">
        <v>237.58</v>
      </c>
      <c r="F94">
        <v>3061.21</v>
      </c>
      <c r="G94">
        <v>1832.5</v>
      </c>
      <c r="H94">
        <v>16105.23</v>
      </c>
    </row>
    <row r="95" spans="1:8" x14ac:dyDescent="0.3">
      <c r="A95" s="1">
        <v>31545</v>
      </c>
      <c r="B95">
        <v>113.94</v>
      </c>
      <c r="C95">
        <v>1201.8</v>
      </c>
      <c r="D95">
        <v>1623.3</v>
      </c>
      <c r="E95">
        <v>236.41</v>
      </c>
      <c r="F95">
        <v>3064.3</v>
      </c>
      <c r="G95">
        <v>1803.73</v>
      </c>
      <c r="H95">
        <v>15982.26</v>
      </c>
    </row>
    <row r="96" spans="1:8" x14ac:dyDescent="0.3">
      <c r="A96" s="1">
        <v>31546</v>
      </c>
      <c r="B96">
        <v>115.4</v>
      </c>
      <c r="C96">
        <v>1222.4000000000001</v>
      </c>
      <c r="D96">
        <v>1594.3</v>
      </c>
      <c r="E96">
        <v>237.54</v>
      </c>
      <c r="F96">
        <v>3069.49</v>
      </c>
      <c r="G96">
        <v>1820.68</v>
      </c>
      <c r="H96">
        <v>15943.75</v>
      </c>
    </row>
    <row r="97" spans="1:8" x14ac:dyDescent="0.3">
      <c r="A97" s="1">
        <v>31547</v>
      </c>
      <c r="B97">
        <v>116.26</v>
      </c>
      <c r="C97">
        <v>1222.4000000000001</v>
      </c>
      <c r="D97">
        <v>1575.7</v>
      </c>
      <c r="E97">
        <v>234.43</v>
      </c>
      <c r="F97">
        <v>3054.82</v>
      </c>
      <c r="G97">
        <v>1794.17</v>
      </c>
      <c r="H97">
        <v>15924.69</v>
      </c>
    </row>
    <row r="98" spans="1:8" x14ac:dyDescent="0.3">
      <c r="A98" s="1">
        <v>31548</v>
      </c>
      <c r="B98">
        <v>115.68</v>
      </c>
      <c r="C98">
        <v>1194.3</v>
      </c>
      <c r="D98">
        <v>1564.9</v>
      </c>
      <c r="E98">
        <v>232.76</v>
      </c>
      <c r="F98">
        <v>3036.57</v>
      </c>
      <c r="G98">
        <v>1787.08</v>
      </c>
      <c r="H98">
        <v>15739.05</v>
      </c>
    </row>
    <row r="99" spans="1:8" x14ac:dyDescent="0.3">
      <c r="A99" s="1">
        <v>31551</v>
      </c>
      <c r="B99">
        <v>115.68</v>
      </c>
      <c r="C99">
        <v>1197.9000000000001</v>
      </c>
      <c r="D99">
        <v>1573.1</v>
      </c>
      <c r="E99">
        <v>233.2</v>
      </c>
      <c r="G99">
        <v>1765.02</v>
      </c>
      <c r="H99">
        <v>15697.53</v>
      </c>
    </row>
    <row r="100" spans="1:8" x14ac:dyDescent="0.3">
      <c r="A100" s="1">
        <v>31552</v>
      </c>
      <c r="B100">
        <v>117.11</v>
      </c>
      <c r="C100">
        <v>1176.3</v>
      </c>
      <c r="D100">
        <v>1585.8</v>
      </c>
      <c r="E100">
        <v>236.11</v>
      </c>
      <c r="F100">
        <v>3030.78</v>
      </c>
      <c r="G100">
        <v>1777.27</v>
      </c>
      <c r="H100">
        <v>15689.98</v>
      </c>
    </row>
    <row r="101" spans="1:8" x14ac:dyDescent="0.3">
      <c r="A101" s="1">
        <v>31553</v>
      </c>
      <c r="B101">
        <v>120.39</v>
      </c>
      <c r="C101">
        <v>1172.9000000000001</v>
      </c>
      <c r="D101">
        <v>1591.9</v>
      </c>
      <c r="E101">
        <v>235.45</v>
      </c>
      <c r="F101">
        <v>3019.81</v>
      </c>
      <c r="G101">
        <v>1794.94</v>
      </c>
      <c r="H101">
        <v>15808.14</v>
      </c>
    </row>
    <row r="102" spans="1:8" x14ac:dyDescent="0.3">
      <c r="A102" s="1">
        <v>31554</v>
      </c>
      <c r="B102">
        <v>127.7</v>
      </c>
      <c r="C102">
        <v>1174.5999999999999</v>
      </c>
      <c r="D102">
        <v>1598.8</v>
      </c>
      <c r="E102">
        <v>240.12</v>
      </c>
      <c r="F102">
        <v>3031.18</v>
      </c>
      <c r="G102">
        <v>1820.98</v>
      </c>
      <c r="H102">
        <v>15917.33</v>
      </c>
    </row>
    <row r="103" spans="1:8" x14ac:dyDescent="0.3">
      <c r="A103" s="1">
        <v>31555</v>
      </c>
      <c r="B103">
        <v>127.5</v>
      </c>
      <c r="C103">
        <v>1191.7</v>
      </c>
      <c r="D103">
        <v>1617.4</v>
      </c>
      <c r="E103">
        <v>241.35</v>
      </c>
      <c r="F103">
        <v>3039.56</v>
      </c>
      <c r="G103">
        <v>1815.92</v>
      </c>
      <c r="H103">
        <v>16204.98</v>
      </c>
    </row>
    <row r="104" spans="1:8" x14ac:dyDescent="0.3">
      <c r="A104" s="1">
        <v>31558</v>
      </c>
      <c r="B104">
        <v>126.03</v>
      </c>
      <c r="C104">
        <v>1204.5999999999999</v>
      </c>
      <c r="F104">
        <v>3046.24</v>
      </c>
      <c r="G104">
        <v>1811.87</v>
      </c>
      <c r="H104">
        <v>16409.490000000002</v>
      </c>
    </row>
    <row r="105" spans="1:8" x14ac:dyDescent="0.3">
      <c r="A105" s="1">
        <v>31559</v>
      </c>
      <c r="B105">
        <v>125.09</v>
      </c>
      <c r="C105">
        <v>1200.9000000000001</v>
      </c>
      <c r="D105">
        <v>1612.1</v>
      </c>
      <c r="E105">
        <v>244.75</v>
      </c>
      <c r="F105">
        <v>3054.82</v>
      </c>
      <c r="G105">
        <v>1816.3</v>
      </c>
      <c r="H105">
        <v>16467.349999999999</v>
      </c>
    </row>
    <row r="106" spans="1:8" x14ac:dyDescent="0.3">
      <c r="A106" s="1">
        <v>31560</v>
      </c>
      <c r="B106">
        <v>126.17</v>
      </c>
      <c r="C106">
        <v>1208.8</v>
      </c>
      <c r="D106">
        <v>1624.8</v>
      </c>
      <c r="E106">
        <v>246.63</v>
      </c>
      <c r="F106">
        <v>3085.25</v>
      </c>
      <c r="G106">
        <v>1777.47</v>
      </c>
      <c r="H106">
        <v>16553.39</v>
      </c>
    </row>
    <row r="107" spans="1:8" x14ac:dyDescent="0.3">
      <c r="A107" s="1">
        <v>31561</v>
      </c>
      <c r="B107">
        <v>126.03</v>
      </c>
      <c r="C107">
        <v>1228.3</v>
      </c>
      <c r="D107">
        <v>1609</v>
      </c>
      <c r="E107">
        <v>247.98</v>
      </c>
      <c r="F107">
        <v>3101.5</v>
      </c>
      <c r="G107">
        <v>1772.76</v>
      </c>
      <c r="H107">
        <v>16610.61</v>
      </c>
    </row>
    <row r="108" spans="1:8" x14ac:dyDescent="0.3">
      <c r="A108" s="1">
        <v>31562</v>
      </c>
      <c r="B108">
        <v>126.14</v>
      </c>
      <c r="C108">
        <v>1241</v>
      </c>
      <c r="D108">
        <v>1602.8</v>
      </c>
      <c r="E108">
        <v>247.35</v>
      </c>
      <c r="F108">
        <v>3114.07</v>
      </c>
      <c r="G108">
        <v>1787.96</v>
      </c>
      <c r="H108">
        <v>16670.77</v>
      </c>
    </row>
    <row r="109" spans="1:8" x14ac:dyDescent="0.3">
      <c r="A109" s="1">
        <v>31565</v>
      </c>
      <c r="B109">
        <v>126.59</v>
      </c>
      <c r="C109">
        <v>1229.3</v>
      </c>
      <c r="D109">
        <v>1596.5</v>
      </c>
      <c r="E109">
        <v>245.04</v>
      </c>
      <c r="F109">
        <v>3090.93</v>
      </c>
      <c r="G109">
        <v>1781.94</v>
      </c>
      <c r="H109">
        <v>16739.27</v>
      </c>
    </row>
    <row r="110" spans="1:8" x14ac:dyDescent="0.3">
      <c r="A110" s="1">
        <v>31566</v>
      </c>
      <c r="B110">
        <v>125.22</v>
      </c>
      <c r="C110">
        <v>1220.5</v>
      </c>
      <c r="D110">
        <v>1602.2</v>
      </c>
      <c r="E110">
        <v>245.51</v>
      </c>
      <c r="F110">
        <v>3088.64</v>
      </c>
      <c r="G110">
        <v>1757.91</v>
      </c>
      <c r="H110">
        <v>16669.54</v>
      </c>
    </row>
    <row r="111" spans="1:8" x14ac:dyDescent="0.3">
      <c r="A111" s="1">
        <v>31567</v>
      </c>
      <c r="B111">
        <v>125.93</v>
      </c>
      <c r="C111">
        <v>1223.4000000000001</v>
      </c>
      <c r="D111">
        <v>1601.4</v>
      </c>
      <c r="E111">
        <v>243.94</v>
      </c>
      <c r="F111">
        <v>3087.64</v>
      </c>
      <c r="G111">
        <v>1756.67</v>
      </c>
      <c r="H111">
        <v>16802.75</v>
      </c>
    </row>
    <row r="112" spans="1:8" x14ac:dyDescent="0.3">
      <c r="A112" s="1">
        <v>31568</v>
      </c>
      <c r="B112">
        <v>124.64</v>
      </c>
      <c r="C112">
        <v>1227.8</v>
      </c>
      <c r="D112">
        <v>1612.6</v>
      </c>
      <c r="E112">
        <v>245.65</v>
      </c>
      <c r="F112">
        <v>3076.57</v>
      </c>
      <c r="G112">
        <v>1748.56</v>
      </c>
      <c r="H112">
        <v>16810.990000000002</v>
      </c>
    </row>
    <row r="113" spans="1:8" x14ac:dyDescent="0.3">
      <c r="A113" s="1">
        <v>31569</v>
      </c>
      <c r="B113">
        <v>124.14</v>
      </c>
      <c r="C113">
        <v>1230.2</v>
      </c>
      <c r="D113">
        <v>1611.9</v>
      </c>
      <c r="E113">
        <v>245.67</v>
      </c>
      <c r="F113">
        <v>3082.85</v>
      </c>
      <c r="G113">
        <v>1747.09</v>
      </c>
      <c r="H113">
        <v>16817.91</v>
      </c>
    </row>
    <row r="114" spans="1:8" x14ac:dyDescent="0.3">
      <c r="A114" s="1">
        <v>31572</v>
      </c>
      <c r="B114">
        <v>124.19</v>
      </c>
      <c r="D114">
        <v>1604.6</v>
      </c>
      <c r="E114">
        <v>239.96</v>
      </c>
      <c r="F114">
        <v>3056.32</v>
      </c>
      <c r="G114">
        <v>1748.24</v>
      </c>
      <c r="H114">
        <v>17008.34</v>
      </c>
    </row>
    <row r="115" spans="1:8" x14ac:dyDescent="0.3">
      <c r="A115" s="1">
        <v>31573</v>
      </c>
      <c r="B115">
        <v>123.62</v>
      </c>
      <c r="C115">
        <v>1222.0999999999999</v>
      </c>
      <c r="D115">
        <v>1586.4</v>
      </c>
      <c r="E115">
        <v>239.58</v>
      </c>
      <c r="F115">
        <v>3042.45</v>
      </c>
      <c r="G115">
        <v>1751.36</v>
      </c>
      <c r="H115">
        <v>16967.689999999999</v>
      </c>
    </row>
    <row r="116" spans="1:8" x14ac:dyDescent="0.3">
      <c r="A116" s="1">
        <v>31574</v>
      </c>
      <c r="B116">
        <v>123.85</v>
      </c>
      <c r="C116">
        <v>1225.4000000000001</v>
      </c>
      <c r="D116">
        <v>1571.4</v>
      </c>
      <c r="E116">
        <v>241.13</v>
      </c>
      <c r="F116">
        <v>3062</v>
      </c>
      <c r="G116" t="e">
        <v>#N/A</v>
      </c>
      <c r="H116">
        <v>17096.45</v>
      </c>
    </row>
    <row r="117" spans="1:8" x14ac:dyDescent="0.3">
      <c r="A117" s="1">
        <v>31575</v>
      </c>
      <c r="B117">
        <v>124.28</v>
      </c>
      <c r="C117">
        <v>1218.5999999999999</v>
      </c>
      <c r="D117">
        <v>1571.8</v>
      </c>
      <c r="E117">
        <v>241.49</v>
      </c>
      <c r="F117">
        <v>3065.2</v>
      </c>
      <c r="G117">
        <v>1752.79</v>
      </c>
      <c r="H117">
        <v>17131.22</v>
      </c>
    </row>
    <row r="118" spans="1:8" x14ac:dyDescent="0.3">
      <c r="A118" s="1">
        <v>31576</v>
      </c>
      <c r="B118">
        <v>124.35</v>
      </c>
      <c r="C118">
        <v>1216.3</v>
      </c>
      <c r="D118">
        <v>1582.4</v>
      </c>
      <c r="E118">
        <v>245.73</v>
      </c>
      <c r="F118">
        <v>3081.16</v>
      </c>
      <c r="G118">
        <v>1765.65</v>
      </c>
      <c r="H118">
        <v>17205.97</v>
      </c>
    </row>
    <row r="119" spans="1:8" x14ac:dyDescent="0.3">
      <c r="A119" s="1">
        <v>31579</v>
      </c>
      <c r="B119">
        <v>125.91</v>
      </c>
      <c r="C119">
        <v>1209.0999999999999</v>
      </c>
      <c r="D119">
        <v>1593.6</v>
      </c>
      <c r="E119">
        <v>246.13</v>
      </c>
      <c r="F119">
        <v>3064.5</v>
      </c>
      <c r="G119" t="e">
        <v>#N/A</v>
      </c>
      <c r="H119">
        <v>17185.599999999999</v>
      </c>
    </row>
    <row r="120" spans="1:8" x14ac:dyDescent="0.3">
      <c r="A120" s="1">
        <v>31580</v>
      </c>
      <c r="B120">
        <v>125.85</v>
      </c>
      <c r="C120">
        <v>1197.2</v>
      </c>
      <c r="D120">
        <v>1605.3</v>
      </c>
      <c r="E120">
        <v>244.35</v>
      </c>
      <c r="F120">
        <v>3058.31</v>
      </c>
      <c r="G120">
        <v>1789.34</v>
      </c>
      <c r="H120">
        <v>17075.89</v>
      </c>
    </row>
    <row r="121" spans="1:8" x14ac:dyDescent="0.3">
      <c r="A121" s="1">
        <v>31581</v>
      </c>
      <c r="B121">
        <v>125.24</v>
      </c>
      <c r="C121">
        <v>1200.5999999999999</v>
      </c>
      <c r="D121">
        <v>1619</v>
      </c>
      <c r="E121">
        <v>244.99</v>
      </c>
      <c r="F121">
        <v>3058.91</v>
      </c>
      <c r="G121">
        <v>1789.78</v>
      </c>
      <c r="H121">
        <v>17177.07</v>
      </c>
    </row>
    <row r="122" spans="1:8" x14ac:dyDescent="0.3">
      <c r="A122" s="1">
        <v>31582</v>
      </c>
      <c r="B122">
        <v>125.14</v>
      </c>
      <c r="C122">
        <v>1210.8</v>
      </c>
      <c r="D122">
        <v>1629.6</v>
      </c>
      <c r="E122">
        <v>244.06</v>
      </c>
      <c r="F122">
        <v>3052.43</v>
      </c>
      <c r="G122">
        <v>1778.29</v>
      </c>
      <c r="H122">
        <v>17277.59</v>
      </c>
    </row>
    <row r="123" spans="1:8" x14ac:dyDescent="0.3">
      <c r="A123" s="1">
        <v>31583</v>
      </c>
      <c r="B123">
        <v>125.07</v>
      </c>
      <c r="C123">
        <v>1214.7</v>
      </c>
      <c r="D123">
        <v>1637.2</v>
      </c>
      <c r="E123">
        <v>247.58</v>
      </c>
      <c r="F123">
        <v>3052.03</v>
      </c>
      <c r="G123">
        <v>1781.04</v>
      </c>
      <c r="H123">
        <v>17403.13</v>
      </c>
    </row>
    <row r="124" spans="1:8" x14ac:dyDescent="0.3">
      <c r="A124" s="1">
        <v>31586</v>
      </c>
      <c r="B124">
        <v>125.37</v>
      </c>
      <c r="C124">
        <v>1214.8</v>
      </c>
      <c r="D124">
        <v>1622.8</v>
      </c>
      <c r="E124">
        <v>245.26</v>
      </c>
      <c r="F124">
        <v>3044.45</v>
      </c>
      <c r="G124">
        <v>1777.15</v>
      </c>
      <c r="H124">
        <v>17457.89</v>
      </c>
    </row>
    <row r="125" spans="1:8" x14ac:dyDescent="0.3">
      <c r="A125" s="1">
        <v>31587</v>
      </c>
      <c r="B125">
        <v>124.36</v>
      </c>
      <c r="C125">
        <v>1205.9000000000001</v>
      </c>
      <c r="D125">
        <v>1624.9</v>
      </c>
      <c r="E125">
        <v>247.03</v>
      </c>
      <c r="F125">
        <v>3050.43</v>
      </c>
      <c r="G125">
        <v>1763.9</v>
      </c>
      <c r="H125">
        <v>17342.400000000001</v>
      </c>
    </row>
    <row r="126" spans="1:8" x14ac:dyDescent="0.3">
      <c r="A126" s="1">
        <v>31588</v>
      </c>
      <c r="B126">
        <v>124.95</v>
      </c>
      <c r="C126">
        <v>1195.7</v>
      </c>
      <c r="D126">
        <v>1629.4</v>
      </c>
      <c r="E126">
        <v>248.93</v>
      </c>
      <c r="F126">
        <v>3060.41</v>
      </c>
      <c r="G126">
        <v>1759.72</v>
      </c>
      <c r="H126">
        <v>17516.63</v>
      </c>
    </row>
    <row r="127" spans="1:8" x14ac:dyDescent="0.3">
      <c r="A127" s="1">
        <v>31589</v>
      </c>
      <c r="B127">
        <v>124.95</v>
      </c>
      <c r="C127">
        <v>1190.0999999999999</v>
      </c>
      <c r="D127">
        <v>1637.5</v>
      </c>
      <c r="E127">
        <v>248.74</v>
      </c>
      <c r="F127">
        <v>3061.01</v>
      </c>
      <c r="G127">
        <v>1750.38</v>
      </c>
      <c r="H127">
        <v>17600.95</v>
      </c>
    </row>
    <row r="128" spans="1:8" x14ac:dyDescent="0.3">
      <c r="A128" s="1">
        <v>31590</v>
      </c>
      <c r="B128">
        <v>124.59</v>
      </c>
      <c r="C128">
        <v>1183.5999999999999</v>
      </c>
      <c r="D128">
        <v>1639.1</v>
      </c>
      <c r="E128">
        <v>249.6</v>
      </c>
      <c r="F128">
        <v>3062.5</v>
      </c>
      <c r="G128">
        <v>1750.98</v>
      </c>
      <c r="H128">
        <v>17500.43</v>
      </c>
    </row>
    <row r="129" spans="1:8" x14ac:dyDescent="0.3">
      <c r="A129" s="1">
        <v>31593</v>
      </c>
      <c r="B129">
        <v>123.63</v>
      </c>
      <c r="C129">
        <v>1179.8</v>
      </c>
      <c r="D129">
        <v>1649.8</v>
      </c>
      <c r="E129">
        <v>250.84</v>
      </c>
      <c r="F129">
        <v>3077.66</v>
      </c>
      <c r="G129">
        <v>1739.11</v>
      </c>
      <c r="H129">
        <v>17654.189999999999</v>
      </c>
    </row>
    <row r="130" spans="1:8" x14ac:dyDescent="0.3">
      <c r="A130" s="1">
        <v>31594</v>
      </c>
      <c r="B130">
        <v>122.49</v>
      </c>
      <c r="C130">
        <v>1175.8</v>
      </c>
      <c r="D130">
        <v>1660.8</v>
      </c>
      <c r="E130">
        <v>252.04</v>
      </c>
      <c r="G130">
        <v>1733.51</v>
      </c>
      <c r="H130">
        <v>17622.740000000002</v>
      </c>
    </row>
    <row r="131" spans="1:8" x14ac:dyDescent="0.3">
      <c r="A131" s="1">
        <v>31595</v>
      </c>
      <c r="B131">
        <v>123.68</v>
      </c>
      <c r="C131">
        <v>1149.9000000000001</v>
      </c>
      <c r="D131">
        <v>1656.7</v>
      </c>
      <c r="E131">
        <v>252.7</v>
      </c>
      <c r="F131">
        <v>3082.05</v>
      </c>
      <c r="G131">
        <v>1760.21</v>
      </c>
      <c r="H131">
        <v>17669.919999999998</v>
      </c>
    </row>
    <row r="132" spans="1:8" x14ac:dyDescent="0.3">
      <c r="A132" s="1">
        <v>31596</v>
      </c>
      <c r="B132">
        <v>124.79</v>
      </c>
      <c r="C132">
        <v>1135.8</v>
      </c>
      <c r="D132">
        <v>1656.2</v>
      </c>
      <c r="E132">
        <v>251.79</v>
      </c>
      <c r="F132">
        <v>3084.25</v>
      </c>
      <c r="G132">
        <v>1757.58</v>
      </c>
      <c r="H132">
        <v>17691.8</v>
      </c>
    </row>
    <row r="133" spans="1:8" x14ac:dyDescent="0.3">
      <c r="A133" s="1">
        <v>31597</v>
      </c>
      <c r="B133">
        <v>124.71</v>
      </c>
      <c r="C133">
        <v>1142.7</v>
      </c>
      <c r="D133">
        <v>1649.4</v>
      </c>
      <c r="F133">
        <v>3084.15</v>
      </c>
      <c r="G133">
        <v>1756.76</v>
      </c>
      <c r="H133">
        <v>17597.73</v>
      </c>
    </row>
    <row r="134" spans="1:8" x14ac:dyDescent="0.3">
      <c r="A134" s="1">
        <v>31600</v>
      </c>
      <c r="B134">
        <v>124.47</v>
      </c>
      <c r="C134">
        <v>1136.2</v>
      </c>
      <c r="D134">
        <v>1631</v>
      </c>
      <c r="E134">
        <v>244.05</v>
      </c>
      <c r="F134">
        <v>3034.47</v>
      </c>
      <c r="G134">
        <v>1761.52</v>
      </c>
      <c r="H134">
        <v>17714.07</v>
      </c>
    </row>
    <row r="135" spans="1:8" x14ac:dyDescent="0.3">
      <c r="A135" s="1">
        <v>31601</v>
      </c>
      <c r="B135">
        <v>122.36</v>
      </c>
      <c r="C135">
        <v>1125.2</v>
      </c>
      <c r="D135">
        <v>1599</v>
      </c>
      <c r="E135">
        <v>241.59</v>
      </c>
      <c r="F135">
        <v>2989.69</v>
      </c>
      <c r="G135">
        <v>1752.24</v>
      </c>
      <c r="H135">
        <v>17734.150000000001</v>
      </c>
    </row>
    <row r="136" spans="1:8" x14ac:dyDescent="0.3">
      <c r="A136" s="1">
        <v>31602</v>
      </c>
      <c r="B136">
        <v>123.77</v>
      </c>
      <c r="C136">
        <v>1122.3</v>
      </c>
      <c r="D136">
        <v>1614.6</v>
      </c>
      <c r="E136">
        <v>242.82</v>
      </c>
      <c r="F136">
        <v>3005.45</v>
      </c>
      <c r="G136">
        <v>1747.61</v>
      </c>
      <c r="H136">
        <v>17506.11</v>
      </c>
    </row>
    <row r="137" spans="1:8" x14ac:dyDescent="0.3">
      <c r="A137" s="1">
        <v>31603</v>
      </c>
      <c r="B137">
        <v>124.38</v>
      </c>
      <c r="C137">
        <v>1134</v>
      </c>
      <c r="D137">
        <v>1626.7</v>
      </c>
      <c r="E137">
        <v>243.01</v>
      </c>
      <c r="F137">
        <v>3007.24</v>
      </c>
      <c r="G137">
        <v>1718.3</v>
      </c>
      <c r="H137">
        <v>17469.82</v>
      </c>
    </row>
    <row r="138" spans="1:8" x14ac:dyDescent="0.3">
      <c r="A138" s="1">
        <v>31604</v>
      </c>
      <c r="B138">
        <v>125.02</v>
      </c>
      <c r="C138">
        <v>1139.9000000000001</v>
      </c>
      <c r="D138">
        <v>1626.4</v>
      </c>
      <c r="E138">
        <v>242.22</v>
      </c>
      <c r="F138">
        <v>3016.42</v>
      </c>
      <c r="G138">
        <v>1721.69</v>
      </c>
      <c r="H138">
        <v>17670.77</v>
      </c>
    </row>
    <row r="139" spans="1:8" x14ac:dyDescent="0.3">
      <c r="A139" s="1">
        <v>31607</v>
      </c>
      <c r="B139">
        <v>123.89</v>
      </c>
      <c r="C139">
        <v>1137.0999999999999</v>
      </c>
      <c r="D139">
        <v>1597.3</v>
      </c>
      <c r="E139">
        <v>238.11</v>
      </c>
      <c r="F139">
        <v>2991.78</v>
      </c>
      <c r="G139">
        <v>1739.93</v>
      </c>
      <c r="H139">
        <v>17820.560000000001</v>
      </c>
    </row>
    <row r="140" spans="1:8" x14ac:dyDescent="0.3">
      <c r="A140" s="1">
        <v>31608</v>
      </c>
      <c r="B140">
        <v>122.7</v>
      </c>
      <c r="C140">
        <v>1122.2</v>
      </c>
      <c r="D140">
        <v>1593</v>
      </c>
      <c r="E140">
        <v>233.66</v>
      </c>
      <c r="F140">
        <v>2970.44</v>
      </c>
      <c r="G140">
        <v>1764.13</v>
      </c>
      <c r="H140">
        <v>17882.8</v>
      </c>
    </row>
    <row r="141" spans="1:8" x14ac:dyDescent="0.3">
      <c r="A141" s="1">
        <v>31609</v>
      </c>
      <c r="B141">
        <v>121.84</v>
      </c>
      <c r="C141">
        <v>1127</v>
      </c>
      <c r="D141">
        <v>1597.3</v>
      </c>
      <c r="E141">
        <v>235.01</v>
      </c>
      <c r="F141">
        <v>2968.84</v>
      </c>
      <c r="G141">
        <v>1763.38</v>
      </c>
      <c r="H141">
        <v>17700.900000000001</v>
      </c>
    </row>
    <row r="142" spans="1:8" x14ac:dyDescent="0.3">
      <c r="A142" s="1">
        <v>31610</v>
      </c>
      <c r="B142">
        <v>121.77</v>
      </c>
      <c r="C142">
        <v>1126.9000000000001</v>
      </c>
      <c r="D142">
        <v>1609.3</v>
      </c>
      <c r="E142">
        <v>236.07</v>
      </c>
      <c r="F142">
        <v>2961.46</v>
      </c>
      <c r="G142">
        <v>1759.71</v>
      </c>
      <c r="H142">
        <v>17725.63</v>
      </c>
    </row>
    <row r="143" spans="1:8" x14ac:dyDescent="0.3">
      <c r="A143" s="1">
        <v>31611</v>
      </c>
      <c r="B143">
        <v>121.35</v>
      </c>
      <c r="C143">
        <v>1130.4000000000001</v>
      </c>
      <c r="D143">
        <v>1584.4</v>
      </c>
      <c r="E143">
        <v>236.36</v>
      </c>
      <c r="F143">
        <v>2954.98</v>
      </c>
      <c r="G143">
        <v>1759.6</v>
      </c>
      <c r="H143">
        <v>17838.84</v>
      </c>
    </row>
    <row r="144" spans="1:8" x14ac:dyDescent="0.3">
      <c r="A144" s="1">
        <v>31614</v>
      </c>
      <c r="B144">
        <v>119.83</v>
      </c>
      <c r="C144">
        <v>1135.4000000000001</v>
      </c>
      <c r="D144">
        <v>1560.2</v>
      </c>
      <c r="E144">
        <v>236.24</v>
      </c>
      <c r="F144">
        <v>2960.56</v>
      </c>
      <c r="G144">
        <v>1777.73</v>
      </c>
      <c r="H144">
        <v>17522.22</v>
      </c>
    </row>
    <row r="145" spans="1:8" x14ac:dyDescent="0.3">
      <c r="A145" s="1">
        <v>31615</v>
      </c>
      <c r="B145">
        <v>118.71</v>
      </c>
      <c r="C145">
        <v>1136.8</v>
      </c>
      <c r="D145">
        <v>1559.2</v>
      </c>
      <c r="E145">
        <v>238.18</v>
      </c>
      <c r="F145">
        <v>2963.56</v>
      </c>
      <c r="G145">
        <v>1791.53</v>
      </c>
      <c r="H145">
        <v>17639.32</v>
      </c>
    </row>
    <row r="146" spans="1:8" x14ac:dyDescent="0.3">
      <c r="A146" s="1">
        <v>31616</v>
      </c>
      <c r="B146">
        <v>119.08</v>
      </c>
      <c r="C146">
        <v>1137.7</v>
      </c>
      <c r="D146">
        <v>1572.3</v>
      </c>
      <c r="E146">
        <v>238.67</v>
      </c>
      <c r="F146">
        <v>2958.97</v>
      </c>
      <c r="G146">
        <v>1816.96</v>
      </c>
      <c r="H146">
        <v>17860.07</v>
      </c>
    </row>
    <row r="147" spans="1:8" x14ac:dyDescent="0.3">
      <c r="A147" s="1">
        <v>31617</v>
      </c>
      <c r="B147">
        <v>118.29</v>
      </c>
      <c r="C147">
        <v>1128.2</v>
      </c>
      <c r="D147">
        <v>1547.7</v>
      </c>
      <c r="E147">
        <v>237.95</v>
      </c>
      <c r="F147">
        <v>2945</v>
      </c>
      <c r="G147">
        <v>1836</v>
      </c>
      <c r="H147">
        <v>18026.240000000002</v>
      </c>
    </row>
    <row r="148" spans="1:8" x14ac:dyDescent="0.3">
      <c r="A148" s="1">
        <v>31618</v>
      </c>
      <c r="B148">
        <v>118.61</v>
      </c>
      <c r="C148">
        <v>1118.8</v>
      </c>
      <c r="D148">
        <v>1545.8</v>
      </c>
      <c r="E148">
        <v>240.22</v>
      </c>
      <c r="F148">
        <v>2949.99</v>
      </c>
      <c r="G148">
        <v>1843.57</v>
      </c>
      <c r="H148">
        <v>18050.59</v>
      </c>
    </row>
    <row r="149" spans="1:8" x14ac:dyDescent="0.3">
      <c r="A149" s="1">
        <v>31621</v>
      </c>
      <c r="B149">
        <v>118.98</v>
      </c>
      <c r="C149">
        <v>1094.7</v>
      </c>
      <c r="D149">
        <v>1549.4</v>
      </c>
      <c r="E149">
        <v>236.01</v>
      </c>
      <c r="F149">
        <v>2933.43</v>
      </c>
      <c r="G149">
        <v>1847.29</v>
      </c>
      <c r="H149">
        <v>18038.939999999999</v>
      </c>
    </row>
    <row r="150" spans="1:8" x14ac:dyDescent="0.3">
      <c r="A150" s="1">
        <v>31622</v>
      </c>
      <c r="B150">
        <v>117.69</v>
      </c>
      <c r="C150">
        <v>1105.0999999999999</v>
      </c>
      <c r="D150">
        <v>1556.4</v>
      </c>
      <c r="E150">
        <v>234.55</v>
      </c>
      <c r="F150">
        <v>2927.35</v>
      </c>
      <c r="G150">
        <v>1860.01</v>
      </c>
      <c r="H150">
        <v>17728.939999999999</v>
      </c>
    </row>
    <row r="151" spans="1:8" x14ac:dyDescent="0.3">
      <c r="A151" s="1">
        <v>31623</v>
      </c>
      <c r="B151">
        <v>118.72</v>
      </c>
      <c r="C151">
        <v>1108.7</v>
      </c>
      <c r="D151">
        <v>1566.3</v>
      </c>
      <c r="E151">
        <v>236.59</v>
      </c>
      <c r="F151">
        <v>2923.66</v>
      </c>
      <c r="G151">
        <v>1847.94</v>
      </c>
      <c r="H151">
        <v>17799.05</v>
      </c>
    </row>
    <row r="152" spans="1:8" x14ac:dyDescent="0.3">
      <c r="A152" s="1">
        <v>31624</v>
      </c>
      <c r="B152">
        <v>119.01</v>
      </c>
      <c r="C152">
        <v>1123.5</v>
      </c>
      <c r="D152">
        <v>1558.1</v>
      </c>
      <c r="E152">
        <v>236.12</v>
      </c>
      <c r="F152">
        <v>2927.85</v>
      </c>
      <c r="G152">
        <v>1855.46</v>
      </c>
      <c r="H152">
        <v>17509.71</v>
      </c>
    </row>
    <row r="153" spans="1:8" x14ac:dyDescent="0.3">
      <c r="A153" s="1">
        <v>31625</v>
      </c>
      <c r="B153">
        <v>120.13</v>
      </c>
      <c r="C153">
        <v>1124.9000000000001</v>
      </c>
      <c r="D153">
        <v>1561.8</v>
      </c>
      <c r="E153">
        <v>234.91</v>
      </c>
      <c r="F153">
        <v>2925.05</v>
      </c>
      <c r="G153">
        <v>1874.11</v>
      </c>
      <c r="H153">
        <v>17321.93</v>
      </c>
    </row>
    <row r="154" spans="1:8" x14ac:dyDescent="0.3">
      <c r="A154" s="1">
        <v>31628</v>
      </c>
      <c r="B154">
        <v>120.54</v>
      </c>
      <c r="C154">
        <v>1120.2</v>
      </c>
      <c r="D154">
        <v>1545.4</v>
      </c>
      <c r="E154">
        <v>235.99</v>
      </c>
      <c r="G154">
        <v>1906.28</v>
      </c>
      <c r="H154">
        <v>17263.099999999999</v>
      </c>
    </row>
    <row r="155" spans="1:8" x14ac:dyDescent="0.3">
      <c r="A155" s="1">
        <v>31629</v>
      </c>
      <c r="B155">
        <v>121.52</v>
      </c>
      <c r="C155">
        <v>1127.2</v>
      </c>
      <c r="D155">
        <v>1561.6</v>
      </c>
      <c r="E155">
        <v>237.03</v>
      </c>
      <c r="F155">
        <v>2948.19</v>
      </c>
      <c r="G155">
        <v>1889.04</v>
      </c>
      <c r="H155">
        <v>17414.78</v>
      </c>
    </row>
    <row r="156" spans="1:8" x14ac:dyDescent="0.3">
      <c r="A156" s="1">
        <v>31630</v>
      </c>
      <c r="B156">
        <v>120.57</v>
      </c>
      <c r="C156">
        <v>1139.5999999999999</v>
      </c>
      <c r="D156">
        <v>1540.4</v>
      </c>
      <c r="E156">
        <v>236.84</v>
      </c>
      <c r="F156">
        <v>2979.22</v>
      </c>
      <c r="G156">
        <v>1887.83</v>
      </c>
      <c r="H156">
        <v>17353.48</v>
      </c>
    </row>
    <row r="157" spans="1:8" x14ac:dyDescent="0.3">
      <c r="A157" s="1">
        <v>31631</v>
      </c>
      <c r="B157">
        <v>120.59</v>
      </c>
      <c r="C157">
        <v>1150.5</v>
      </c>
      <c r="D157">
        <v>1529.9</v>
      </c>
      <c r="E157">
        <v>237.04</v>
      </c>
      <c r="F157">
        <v>2996.57</v>
      </c>
      <c r="G157">
        <v>1920.18</v>
      </c>
      <c r="H157">
        <v>17422.36</v>
      </c>
    </row>
    <row r="158" spans="1:8" x14ac:dyDescent="0.3">
      <c r="A158" s="1">
        <v>31632</v>
      </c>
      <c r="B158">
        <v>122.31</v>
      </c>
      <c r="C158">
        <v>1153.0999999999999</v>
      </c>
      <c r="D158">
        <v>1526.7</v>
      </c>
      <c r="E158">
        <v>236.88</v>
      </c>
      <c r="F158">
        <v>3009.94</v>
      </c>
      <c r="G158">
        <v>1931.29</v>
      </c>
      <c r="H158">
        <v>17435.53</v>
      </c>
    </row>
    <row r="159" spans="1:8" x14ac:dyDescent="0.3">
      <c r="A159" s="1">
        <v>31635</v>
      </c>
      <c r="B159">
        <v>124.09</v>
      </c>
      <c r="C159">
        <v>1153.9000000000001</v>
      </c>
      <c r="D159">
        <v>1542.8</v>
      </c>
      <c r="E159">
        <v>240.68</v>
      </c>
      <c r="F159">
        <v>3034.18</v>
      </c>
      <c r="G159">
        <v>1927.04</v>
      </c>
      <c r="H159">
        <v>17479.11</v>
      </c>
    </row>
    <row r="160" spans="1:8" x14ac:dyDescent="0.3">
      <c r="A160" s="1">
        <v>31636</v>
      </c>
      <c r="B160">
        <v>125</v>
      </c>
      <c r="C160">
        <v>1149.2</v>
      </c>
      <c r="D160">
        <v>1558.2</v>
      </c>
      <c r="E160">
        <v>243.34</v>
      </c>
      <c r="F160">
        <v>3030.68</v>
      </c>
      <c r="G160">
        <v>1905</v>
      </c>
      <c r="H160">
        <v>17794.689999999999</v>
      </c>
    </row>
    <row r="161" spans="1:8" x14ac:dyDescent="0.3">
      <c r="A161" s="1">
        <v>31637</v>
      </c>
      <c r="B161">
        <v>125.83</v>
      </c>
      <c r="C161">
        <v>1160.2</v>
      </c>
      <c r="D161">
        <v>1581</v>
      </c>
      <c r="E161">
        <v>245.67</v>
      </c>
      <c r="F161">
        <v>3031.28</v>
      </c>
      <c r="G161">
        <v>1908.02</v>
      </c>
      <c r="H161">
        <v>18000.759999999998</v>
      </c>
    </row>
    <row r="162" spans="1:8" x14ac:dyDescent="0.3">
      <c r="A162" s="1">
        <v>31638</v>
      </c>
      <c r="B162">
        <v>125.53</v>
      </c>
      <c r="C162">
        <v>1163.8</v>
      </c>
      <c r="D162">
        <v>1588.2</v>
      </c>
      <c r="E162">
        <v>246.25</v>
      </c>
      <c r="F162">
        <v>3023.1</v>
      </c>
      <c r="G162">
        <v>1925.16</v>
      </c>
      <c r="H162">
        <v>18264.71</v>
      </c>
    </row>
    <row r="163" spans="1:8" x14ac:dyDescent="0.3">
      <c r="A163" s="1">
        <v>31639</v>
      </c>
      <c r="B163">
        <v>121.08</v>
      </c>
      <c r="C163">
        <v>1176.5</v>
      </c>
      <c r="D163">
        <v>1601.9</v>
      </c>
      <c r="E163">
        <v>247.15</v>
      </c>
      <c r="F163">
        <v>3023.5</v>
      </c>
      <c r="G163">
        <v>1935.76</v>
      </c>
      <c r="H163">
        <v>18376.41</v>
      </c>
    </row>
    <row r="164" spans="1:8" x14ac:dyDescent="0.3">
      <c r="A164" s="1">
        <v>31642</v>
      </c>
      <c r="B164">
        <v>121.92</v>
      </c>
      <c r="C164">
        <v>1185.9000000000001</v>
      </c>
      <c r="D164">
        <v>1609</v>
      </c>
      <c r="E164">
        <v>247.38</v>
      </c>
      <c r="F164">
        <v>3009.54</v>
      </c>
      <c r="G164">
        <v>1950.12</v>
      </c>
      <c r="H164">
        <v>18597.439999999999</v>
      </c>
    </row>
    <row r="165" spans="1:8" x14ac:dyDescent="0.3">
      <c r="A165" s="1">
        <v>31643</v>
      </c>
      <c r="B165">
        <v>121.69</v>
      </c>
      <c r="C165">
        <v>1185.3</v>
      </c>
      <c r="D165">
        <v>1604.4</v>
      </c>
      <c r="E165">
        <v>246.51</v>
      </c>
      <c r="F165">
        <v>2999.26</v>
      </c>
      <c r="G165">
        <v>1935.69</v>
      </c>
      <c r="H165">
        <v>18792.61</v>
      </c>
    </row>
    <row r="166" spans="1:8" x14ac:dyDescent="0.3">
      <c r="A166" s="1">
        <v>31644</v>
      </c>
      <c r="B166">
        <v>121.48</v>
      </c>
      <c r="C166">
        <v>1177.5999999999999</v>
      </c>
      <c r="D166">
        <v>1604.6</v>
      </c>
      <c r="E166">
        <v>249.77</v>
      </c>
      <c r="F166">
        <v>3011.53</v>
      </c>
      <c r="G166">
        <v>1941.28</v>
      </c>
      <c r="H166">
        <v>18936.240000000002</v>
      </c>
    </row>
    <row r="167" spans="1:8" x14ac:dyDescent="0.3">
      <c r="A167" s="1">
        <v>31645</v>
      </c>
      <c r="B167">
        <v>122.37</v>
      </c>
      <c r="C167">
        <v>1179.5</v>
      </c>
      <c r="D167">
        <v>1606.8</v>
      </c>
      <c r="E167">
        <v>249.67</v>
      </c>
      <c r="F167">
        <v>3013.13</v>
      </c>
      <c r="G167">
        <v>1941.36</v>
      </c>
      <c r="H167">
        <v>18675.599999999999</v>
      </c>
    </row>
    <row r="168" spans="1:8" x14ac:dyDescent="0.3">
      <c r="A168" s="1">
        <v>31646</v>
      </c>
      <c r="B168">
        <v>120.61</v>
      </c>
      <c r="C168">
        <v>1183.8</v>
      </c>
      <c r="D168">
        <v>1607.1</v>
      </c>
      <c r="E168">
        <v>250.19</v>
      </c>
      <c r="F168">
        <v>3008.14</v>
      </c>
      <c r="G168">
        <v>1946.03</v>
      </c>
      <c r="H168">
        <v>18441.310000000001</v>
      </c>
    </row>
    <row r="169" spans="1:8" x14ac:dyDescent="0.3">
      <c r="A169" s="1">
        <v>31649</v>
      </c>
      <c r="B169">
        <v>119.05</v>
      </c>
      <c r="C169">
        <v>1179.2</v>
      </c>
      <c r="E169">
        <v>247.81</v>
      </c>
      <c r="F169">
        <v>3009.64</v>
      </c>
      <c r="G169" t="e">
        <v>#N/A</v>
      </c>
      <c r="H169">
        <v>18565.61</v>
      </c>
    </row>
    <row r="170" spans="1:8" x14ac:dyDescent="0.3">
      <c r="A170" s="1">
        <v>31650</v>
      </c>
      <c r="B170">
        <v>120</v>
      </c>
      <c r="C170">
        <v>1179.3</v>
      </c>
      <c r="D170">
        <v>1616.2</v>
      </c>
      <c r="E170">
        <v>252.84</v>
      </c>
      <c r="F170">
        <v>3028.69</v>
      </c>
      <c r="G170">
        <v>1917</v>
      </c>
      <c r="H170">
        <v>18640.830000000002</v>
      </c>
    </row>
    <row r="171" spans="1:8" x14ac:dyDescent="0.3">
      <c r="A171" s="1">
        <v>31651</v>
      </c>
      <c r="B171">
        <v>121.74</v>
      </c>
      <c r="C171">
        <v>1182.4000000000001</v>
      </c>
      <c r="D171">
        <v>1629.8</v>
      </c>
      <c r="E171">
        <v>253.3</v>
      </c>
      <c r="F171">
        <v>3030.39</v>
      </c>
      <c r="G171">
        <v>1932.99</v>
      </c>
      <c r="H171">
        <v>18503.27</v>
      </c>
    </row>
    <row r="172" spans="1:8" x14ac:dyDescent="0.3">
      <c r="A172" s="1">
        <v>31652</v>
      </c>
      <c r="B172">
        <v>120.59</v>
      </c>
      <c r="C172">
        <v>1183.3</v>
      </c>
      <c r="D172">
        <v>1636.8</v>
      </c>
      <c r="E172">
        <v>252.84</v>
      </c>
      <c r="F172">
        <v>3026.89</v>
      </c>
      <c r="G172">
        <v>1934.2</v>
      </c>
      <c r="H172">
        <v>18367.98</v>
      </c>
    </row>
    <row r="173" spans="1:8" x14ac:dyDescent="0.3">
      <c r="A173" s="1">
        <v>31653</v>
      </c>
      <c r="B173">
        <v>120.43</v>
      </c>
      <c r="C173">
        <v>1192.3</v>
      </c>
      <c r="D173">
        <v>1661.2</v>
      </c>
      <c r="E173">
        <v>252.93</v>
      </c>
      <c r="F173">
        <v>3020.51</v>
      </c>
      <c r="G173">
        <v>1913</v>
      </c>
      <c r="H173">
        <v>18533.68</v>
      </c>
    </row>
    <row r="174" spans="1:8" x14ac:dyDescent="0.3">
      <c r="A174" s="1">
        <v>31656</v>
      </c>
      <c r="B174">
        <v>122.51</v>
      </c>
      <c r="C174">
        <v>1200</v>
      </c>
      <c r="D174">
        <v>1672.8</v>
      </c>
      <c r="G174">
        <v>1903.02</v>
      </c>
      <c r="H174">
        <v>18820.75</v>
      </c>
    </row>
    <row r="175" spans="1:8" x14ac:dyDescent="0.3">
      <c r="A175" s="1">
        <v>31657</v>
      </c>
      <c r="B175">
        <v>123.93</v>
      </c>
      <c r="C175">
        <v>1211.4000000000001</v>
      </c>
      <c r="D175">
        <v>1667.8</v>
      </c>
      <c r="E175">
        <v>248.52</v>
      </c>
      <c r="F175">
        <v>3032.28</v>
      </c>
      <c r="G175">
        <v>1930.61</v>
      </c>
      <c r="H175">
        <v>18694.93</v>
      </c>
    </row>
    <row r="176" spans="1:8" x14ac:dyDescent="0.3">
      <c r="A176" s="1">
        <v>31658</v>
      </c>
      <c r="B176">
        <v>123.79</v>
      </c>
      <c r="C176">
        <v>1220</v>
      </c>
      <c r="D176">
        <v>1670.7</v>
      </c>
      <c r="E176">
        <v>250.08</v>
      </c>
      <c r="F176">
        <v>3050.53</v>
      </c>
      <c r="G176">
        <v>1944.99</v>
      </c>
      <c r="H176">
        <v>18505.45</v>
      </c>
    </row>
    <row r="177" spans="1:8" x14ac:dyDescent="0.3">
      <c r="A177" s="1">
        <v>31659</v>
      </c>
      <c r="B177">
        <v>124.91</v>
      </c>
      <c r="C177">
        <v>1231.7</v>
      </c>
      <c r="D177">
        <v>1680.3</v>
      </c>
      <c r="E177">
        <v>253.83</v>
      </c>
      <c r="F177">
        <v>3088.54</v>
      </c>
      <c r="G177">
        <v>1946.7</v>
      </c>
      <c r="H177">
        <v>18559.64</v>
      </c>
    </row>
    <row r="178" spans="1:8" x14ac:dyDescent="0.3">
      <c r="A178" s="1">
        <v>31660</v>
      </c>
      <c r="B178">
        <v>125.28</v>
      </c>
      <c r="C178">
        <v>1238.5</v>
      </c>
      <c r="D178">
        <v>1684.8</v>
      </c>
      <c r="E178">
        <v>250.47</v>
      </c>
      <c r="F178">
        <v>3099.71</v>
      </c>
      <c r="G178">
        <v>1968.53</v>
      </c>
      <c r="H178">
        <v>18775.080000000002</v>
      </c>
    </row>
    <row r="179" spans="1:8" x14ac:dyDescent="0.3">
      <c r="A179" s="1">
        <v>31663</v>
      </c>
      <c r="B179">
        <v>123.31</v>
      </c>
      <c r="C179">
        <v>1235.5</v>
      </c>
      <c r="D179">
        <v>1666.6</v>
      </c>
      <c r="E179">
        <v>248.14</v>
      </c>
      <c r="F179">
        <v>3084.35</v>
      </c>
      <c r="G179">
        <v>1969.98</v>
      </c>
      <c r="H179">
        <v>18552.25</v>
      </c>
    </row>
    <row r="180" spans="1:8" x14ac:dyDescent="0.3">
      <c r="A180" s="1">
        <v>31664</v>
      </c>
      <c r="B180">
        <v>123.91</v>
      </c>
      <c r="C180">
        <v>1220.7</v>
      </c>
      <c r="D180">
        <v>1673.4</v>
      </c>
      <c r="E180">
        <v>247.67</v>
      </c>
      <c r="F180">
        <v>3086.84</v>
      </c>
      <c r="G180">
        <v>1966.02</v>
      </c>
      <c r="H180">
        <v>18474.09</v>
      </c>
    </row>
    <row r="181" spans="1:8" x14ac:dyDescent="0.3">
      <c r="A181" s="1">
        <v>31665</v>
      </c>
      <c r="B181">
        <v>123.02</v>
      </c>
      <c r="C181">
        <v>1232.4000000000001</v>
      </c>
      <c r="D181">
        <v>1663.5</v>
      </c>
      <c r="E181">
        <v>247.06</v>
      </c>
      <c r="F181">
        <v>3088.24</v>
      </c>
      <c r="G181">
        <v>1976.16</v>
      </c>
      <c r="H181">
        <v>18619.330000000002</v>
      </c>
    </row>
    <row r="182" spans="1:8" x14ac:dyDescent="0.3">
      <c r="A182" s="1">
        <v>31666</v>
      </c>
      <c r="B182">
        <v>122.51</v>
      </c>
      <c r="C182">
        <v>1235.3</v>
      </c>
      <c r="D182">
        <v>1636.5</v>
      </c>
      <c r="E182">
        <v>235.18</v>
      </c>
      <c r="F182">
        <v>3013.23</v>
      </c>
      <c r="G182">
        <v>1997.92</v>
      </c>
      <c r="H182">
        <v>18561.25</v>
      </c>
    </row>
    <row r="183" spans="1:8" x14ac:dyDescent="0.3">
      <c r="A183" s="1">
        <v>31667</v>
      </c>
      <c r="B183">
        <v>119.04</v>
      </c>
      <c r="C183">
        <v>1235.9000000000001</v>
      </c>
      <c r="D183">
        <v>1608.6</v>
      </c>
      <c r="E183">
        <v>230.67</v>
      </c>
      <c r="F183">
        <v>2994.68</v>
      </c>
      <c r="G183">
        <v>1966.33</v>
      </c>
      <c r="H183">
        <v>18100.52</v>
      </c>
    </row>
    <row r="184" spans="1:8" x14ac:dyDescent="0.3">
      <c r="A184" s="1">
        <v>31670</v>
      </c>
      <c r="B184">
        <v>119.65</v>
      </c>
      <c r="C184">
        <v>1224.4000000000001</v>
      </c>
      <c r="D184">
        <v>1628.3</v>
      </c>
      <c r="E184">
        <v>231.94</v>
      </c>
      <c r="F184">
        <v>3011.33</v>
      </c>
      <c r="G184">
        <v>1942.34</v>
      </c>
      <c r="H184">
        <v>18554</v>
      </c>
    </row>
    <row r="185" spans="1:8" x14ac:dyDescent="0.3">
      <c r="A185" s="1">
        <v>31671</v>
      </c>
      <c r="B185">
        <v>117.48</v>
      </c>
      <c r="C185">
        <v>1222.0999999999999</v>
      </c>
      <c r="D185">
        <v>1596.7</v>
      </c>
      <c r="E185">
        <v>231.72</v>
      </c>
      <c r="F185">
        <v>2989.29</v>
      </c>
      <c r="G185">
        <v>1927.97</v>
      </c>
      <c r="H185">
        <v>17463.189999999999</v>
      </c>
    </row>
    <row r="186" spans="1:8" x14ac:dyDescent="0.3">
      <c r="A186" s="1">
        <v>31672</v>
      </c>
      <c r="B186">
        <v>117.11</v>
      </c>
      <c r="C186">
        <v>1214.3</v>
      </c>
      <c r="D186">
        <v>1610.4</v>
      </c>
      <c r="E186">
        <v>231.68</v>
      </c>
      <c r="F186">
        <v>2983.7</v>
      </c>
      <c r="G186">
        <v>1921.99</v>
      </c>
      <c r="H186">
        <v>17336.62</v>
      </c>
    </row>
    <row r="187" spans="1:8" x14ac:dyDescent="0.3">
      <c r="A187" s="1">
        <v>31673</v>
      </c>
      <c r="B187">
        <v>115.89</v>
      </c>
      <c r="C187">
        <v>1199.3</v>
      </c>
      <c r="D187">
        <v>1614.2</v>
      </c>
      <c r="E187">
        <v>232.31</v>
      </c>
      <c r="F187">
        <v>2977.22</v>
      </c>
      <c r="G187">
        <v>1925.82</v>
      </c>
      <c r="H187">
        <v>17478.349999999999</v>
      </c>
    </row>
    <row r="188" spans="1:8" x14ac:dyDescent="0.3">
      <c r="A188" s="1">
        <v>31674</v>
      </c>
      <c r="B188">
        <v>114.98</v>
      </c>
      <c r="C188">
        <v>1210.5</v>
      </c>
      <c r="D188">
        <v>1600.4</v>
      </c>
      <c r="E188">
        <v>232.21</v>
      </c>
      <c r="F188">
        <v>3000.76</v>
      </c>
      <c r="G188" t="e">
        <v>#N/A</v>
      </c>
      <c r="H188">
        <v>17523.45</v>
      </c>
    </row>
    <row r="189" spans="1:8" x14ac:dyDescent="0.3">
      <c r="A189" s="1">
        <v>31677</v>
      </c>
      <c r="B189">
        <v>117.16</v>
      </c>
      <c r="C189">
        <v>1223.8</v>
      </c>
      <c r="D189">
        <v>1617.1</v>
      </c>
      <c r="E189">
        <v>234.93</v>
      </c>
      <c r="F189">
        <v>3011.43</v>
      </c>
      <c r="G189">
        <v>1953.6</v>
      </c>
      <c r="H189">
        <v>17706.3</v>
      </c>
    </row>
    <row r="190" spans="1:8" x14ac:dyDescent="0.3">
      <c r="A190" s="1">
        <v>31678</v>
      </c>
      <c r="B190">
        <v>119.15</v>
      </c>
      <c r="C190">
        <v>1234.0999999999999</v>
      </c>
      <c r="D190">
        <v>1610</v>
      </c>
      <c r="E190">
        <v>235.67</v>
      </c>
      <c r="F190">
        <v>2998.47</v>
      </c>
      <c r="G190">
        <v>1992.6</v>
      </c>
      <c r="H190">
        <v>17527</v>
      </c>
    </row>
    <row r="191" spans="1:8" x14ac:dyDescent="0.3">
      <c r="A191" s="1">
        <v>31679</v>
      </c>
      <c r="B191">
        <v>118.91</v>
      </c>
      <c r="C191">
        <v>1235.9000000000001</v>
      </c>
      <c r="D191">
        <v>1603.4</v>
      </c>
      <c r="E191">
        <v>236.28</v>
      </c>
      <c r="F191">
        <v>3009.64</v>
      </c>
      <c r="G191">
        <v>2008.3</v>
      </c>
      <c r="H191">
        <v>17955.759999999998</v>
      </c>
    </row>
    <row r="192" spans="1:8" x14ac:dyDescent="0.3">
      <c r="A192" s="1">
        <v>31680</v>
      </c>
      <c r="B192">
        <v>117.89</v>
      </c>
      <c r="C192">
        <v>1250.5</v>
      </c>
      <c r="D192">
        <v>1575.9</v>
      </c>
      <c r="E192">
        <v>231.83</v>
      </c>
      <c r="F192">
        <v>2981.91</v>
      </c>
      <c r="G192">
        <v>2011.7</v>
      </c>
      <c r="H192">
        <v>17988.349999999999</v>
      </c>
    </row>
    <row r="193" spans="1:8" x14ac:dyDescent="0.3">
      <c r="A193" s="1">
        <v>31681</v>
      </c>
      <c r="B193">
        <v>116.33</v>
      </c>
      <c r="C193">
        <v>1259</v>
      </c>
      <c r="D193">
        <v>1568.6</v>
      </c>
      <c r="E193">
        <v>232.23</v>
      </c>
      <c r="F193">
        <v>2974.43</v>
      </c>
      <c r="G193">
        <v>2034.36</v>
      </c>
      <c r="H193">
        <v>17960.98</v>
      </c>
    </row>
    <row r="194" spans="1:8" x14ac:dyDescent="0.3">
      <c r="A194" s="1">
        <v>31684</v>
      </c>
      <c r="B194">
        <v>113.41</v>
      </c>
      <c r="C194">
        <v>1257.2</v>
      </c>
      <c r="D194">
        <v>1539.2</v>
      </c>
      <c r="E194">
        <v>229.91</v>
      </c>
      <c r="F194">
        <v>2954.18</v>
      </c>
      <c r="G194">
        <v>2064.3000000000002</v>
      </c>
      <c r="H194">
        <v>18106.310000000001</v>
      </c>
    </row>
    <row r="195" spans="1:8" x14ac:dyDescent="0.3">
      <c r="A195" s="1">
        <v>31685</v>
      </c>
      <c r="B195">
        <v>115.25</v>
      </c>
      <c r="C195">
        <v>1257.2</v>
      </c>
      <c r="D195">
        <v>1555.8</v>
      </c>
      <c r="E195">
        <v>231.32</v>
      </c>
      <c r="F195">
        <v>2971.73</v>
      </c>
      <c r="G195">
        <v>2068.44</v>
      </c>
      <c r="H195">
        <v>17852.86</v>
      </c>
    </row>
    <row r="196" spans="1:8" x14ac:dyDescent="0.3">
      <c r="A196" s="1">
        <v>31686</v>
      </c>
      <c r="B196">
        <v>116.55</v>
      </c>
      <c r="C196">
        <v>1253.5999999999999</v>
      </c>
      <c r="D196">
        <v>1578.3</v>
      </c>
      <c r="E196">
        <v>233.6</v>
      </c>
      <c r="F196">
        <v>2980.81</v>
      </c>
      <c r="G196">
        <v>2090.2399999999998</v>
      </c>
      <c r="H196">
        <v>17564.39</v>
      </c>
    </row>
    <row r="197" spans="1:8" x14ac:dyDescent="0.3">
      <c r="A197" s="1">
        <v>31687</v>
      </c>
      <c r="B197">
        <v>117</v>
      </c>
      <c r="C197">
        <v>1275.5999999999999</v>
      </c>
      <c r="D197">
        <v>1573.1</v>
      </c>
      <c r="E197">
        <v>233.92</v>
      </c>
      <c r="F197">
        <v>2994.38</v>
      </c>
      <c r="G197">
        <v>2120.14</v>
      </c>
      <c r="H197">
        <v>17019.13</v>
      </c>
    </row>
    <row r="198" spans="1:8" x14ac:dyDescent="0.3">
      <c r="A198" s="1">
        <v>31688</v>
      </c>
      <c r="B198">
        <v>115.74</v>
      </c>
      <c r="C198">
        <v>1297.3</v>
      </c>
      <c r="D198">
        <v>1560.8</v>
      </c>
      <c r="E198">
        <v>233.71</v>
      </c>
      <c r="F198">
        <v>2991.38</v>
      </c>
      <c r="G198">
        <v>2134.8000000000002</v>
      </c>
      <c r="H198">
        <v>17240.22</v>
      </c>
    </row>
    <row r="199" spans="1:8" x14ac:dyDescent="0.3">
      <c r="A199" s="1">
        <v>31691</v>
      </c>
      <c r="B199">
        <v>115.66</v>
      </c>
      <c r="C199">
        <v>1310.8</v>
      </c>
      <c r="D199">
        <v>1578.9</v>
      </c>
      <c r="E199">
        <v>234.78</v>
      </c>
      <c r="F199">
        <v>3008.74</v>
      </c>
      <c r="G199">
        <v>2084.9299999999998</v>
      </c>
      <c r="H199">
        <v>17435.330000000002</v>
      </c>
    </row>
    <row r="200" spans="1:8" x14ac:dyDescent="0.3">
      <c r="A200" s="1">
        <v>31692</v>
      </c>
      <c r="B200">
        <v>116.55</v>
      </c>
      <c r="C200">
        <v>1329.4</v>
      </c>
      <c r="D200">
        <v>1592.3</v>
      </c>
      <c r="E200">
        <v>234.41</v>
      </c>
      <c r="F200">
        <v>3016.52</v>
      </c>
      <c r="G200">
        <v>2162.7600000000002</v>
      </c>
      <c r="H200">
        <v>17604.36</v>
      </c>
    </row>
    <row r="201" spans="1:8" x14ac:dyDescent="0.3">
      <c r="A201" s="1">
        <v>31693</v>
      </c>
      <c r="B201">
        <v>117.72</v>
      </c>
      <c r="C201">
        <v>1332.2</v>
      </c>
      <c r="D201">
        <v>1587.8</v>
      </c>
      <c r="E201">
        <v>236.68</v>
      </c>
      <c r="F201">
        <v>3034.18</v>
      </c>
      <c r="G201">
        <v>2204.41</v>
      </c>
      <c r="H201">
        <v>17514.8</v>
      </c>
    </row>
    <row r="202" spans="1:8" x14ac:dyDescent="0.3">
      <c r="A202" s="1">
        <v>31694</v>
      </c>
      <c r="B202">
        <v>115.97</v>
      </c>
      <c r="C202">
        <v>1338.1</v>
      </c>
      <c r="D202">
        <v>1608.6</v>
      </c>
      <c r="E202">
        <v>235.85</v>
      </c>
      <c r="F202">
        <v>3021.51</v>
      </c>
      <c r="G202">
        <v>2271.15</v>
      </c>
      <c r="H202">
        <v>17650.23</v>
      </c>
    </row>
    <row r="203" spans="1:8" x14ac:dyDescent="0.3">
      <c r="A203" s="1">
        <v>31695</v>
      </c>
      <c r="B203">
        <v>114.74</v>
      </c>
      <c r="C203">
        <v>1329.9</v>
      </c>
      <c r="D203">
        <v>1599.4</v>
      </c>
      <c r="E203">
        <v>235.48</v>
      </c>
      <c r="F203">
        <v>3026.3</v>
      </c>
      <c r="G203">
        <v>2279.52</v>
      </c>
    </row>
    <row r="204" spans="1:8" x14ac:dyDescent="0.3">
      <c r="A204" s="1">
        <v>31698</v>
      </c>
      <c r="B204">
        <v>113.34</v>
      </c>
      <c r="C204">
        <v>1338.7</v>
      </c>
      <c r="D204">
        <v>1612.3</v>
      </c>
      <c r="E204">
        <v>235.91</v>
      </c>
      <c r="G204" t="e">
        <v>#N/A</v>
      </c>
      <c r="H204">
        <v>17338.73</v>
      </c>
    </row>
    <row r="205" spans="1:8" x14ac:dyDescent="0.3">
      <c r="A205" s="1">
        <v>31699</v>
      </c>
      <c r="B205">
        <v>114.13</v>
      </c>
      <c r="C205">
        <v>1350.5</v>
      </c>
      <c r="D205">
        <v>1592.5</v>
      </c>
      <c r="E205">
        <v>235.37</v>
      </c>
      <c r="F205">
        <v>3010.54</v>
      </c>
      <c r="G205">
        <v>2249.2199999999998</v>
      </c>
      <c r="H205">
        <v>17318.07</v>
      </c>
    </row>
    <row r="206" spans="1:8" x14ac:dyDescent="0.3">
      <c r="A206" s="1">
        <v>31700</v>
      </c>
      <c r="B206">
        <v>113.99</v>
      </c>
      <c r="C206">
        <v>1347.8</v>
      </c>
      <c r="D206">
        <v>1607.5</v>
      </c>
      <c r="E206">
        <v>238.8</v>
      </c>
      <c r="F206">
        <v>3009.74</v>
      </c>
      <c r="G206">
        <v>2289.65</v>
      </c>
      <c r="H206">
        <v>16970.12</v>
      </c>
    </row>
    <row r="207" spans="1:8" x14ac:dyDescent="0.3">
      <c r="A207" s="1">
        <v>31701</v>
      </c>
      <c r="B207">
        <v>114.21</v>
      </c>
      <c r="C207">
        <v>1353.4</v>
      </c>
      <c r="D207">
        <v>1605</v>
      </c>
      <c r="E207">
        <v>239.53</v>
      </c>
      <c r="F207">
        <v>3022.01</v>
      </c>
      <c r="G207">
        <v>2277.77</v>
      </c>
      <c r="H207">
        <v>16871.89</v>
      </c>
    </row>
    <row r="208" spans="1:8" x14ac:dyDescent="0.3">
      <c r="A208" s="1">
        <v>31702</v>
      </c>
      <c r="B208">
        <v>114.29</v>
      </c>
      <c r="C208">
        <v>1367.3</v>
      </c>
      <c r="D208">
        <v>1610</v>
      </c>
      <c r="E208">
        <v>238.84</v>
      </c>
      <c r="F208">
        <v>3033.18</v>
      </c>
      <c r="G208">
        <v>2234.89</v>
      </c>
      <c r="H208">
        <v>16701.34</v>
      </c>
    </row>
    <row r="209" spans="1:8" x14ac:dyDescent="0.3">
      <c r="A209" s="1">
        <v>31705</v>
      </c>
      <c r="B209">
        <v>113.15</v>
      </c>
      <c r="C209">
        <v>1361.3</v>
      </c>
      <c r="D209">
        <v>1590.2</v>
      </c>
      <c r="E209">
        <v>235.97</v>
      </c>
      <c r="F209">
        <v>3015.42</v>
      </c>
      <c r="G209">
        <v>2227.7600000000002</v>
      </c>
      <c r="H209">
        <v>16523.37</v>
      </c>
    </row>
    <row r="210" spans="1:8" x14ac:dyDescent="0.3">
      <c r="A210" s="1">
        <v>31706</v>
      </c>
      <c r="B210">
        <v>113.15</v>
      </c>
      <c r="C210">
        <v>1372.7</v>
      </c>
      <c r="D210">
        <v>1591.2</v>
      </c>
      <c r="E210">
        <v>235.88</v>
      </c>
      <c r="F210">
        <v>3008.84</v>
      </c>
      <c r="G210">
        <v>2238.29</v>
      </c>
      <c r="H210">
        <v>16205.77</v>
      </c>
    </row>
    <row r="211" spans="1:8" x14ac:dyDescent="0.3">
      <c r="A211" s="1">
        <v>31707</v>
      </c>
      <c r="B211">
        <v>112.74</v>
      </c>
      <c r="C211">
        <v>1372.4</v>
      </c>
      <c r="D211">
        <v>1589.6</v>
      </c>
      <c r="E211">
        <v>236.26</v>
      </c>
      <c r="F211">
        <v>3013.93</v>
      </c>
      <c r="G211" t="e">
        <v>#N/A</v>
      </c>
      <c r="H211">
        <v>15819.55</v>
      </c>
    </row>
    <row r="212" spans="1:8" x14ac:dyDescent="0.3">
      <c r="A212" s="1">
        <v>31708</v>
      </c>
      <c r="B212">
        <v>112.58</v>
      </c>
      <c r="C212">
        <v>1367.3</v>
      </c>
      <c r="D212">
        <v>1572.5</v>
      </c>
      <c r="E212">
        <v>239.28</v>
      </c>
      <c r="F212">
        <v>3006.35</v>
      </c>
      <c r="G212">
        <v>2254.79</v>
      </c>
      <c r="H212">
        <v>16308.27</v>
      </c>
    </row>
    <row r="213" spans="1:8" x14ac:dyDescent="0.3">
      <c r="A213" s="1">
        <v>31709</v>
      </c>
      <c r="B213">
        <v>114.21</v>
      </c>
      <c r="C213">
        <v>1362.3</v>
      </c>
      <c r="D213">
        <v>1577.1</v>
      </c>
      <c r="E213">
        <v>238.26</v>
      </c>
      <c r="F213">
        <v>2999.46</v>
      </c>
      <c r="G213">
        <v>2286.0700000000002</v>
      </c>
      <c r="H213">
        <v>16284</v>
      </c>
    </row>
    <row r="214" spans="1:8" x14ac:dyDescent="0.3">
      <c r="A214" s="1">
        <v>31712</v>
      </c>
      <c r="B214">
        <v>113.85</v>
      </c>
      <c r="C214">
        <v>1348.6</v>
      </c>
      <c r="D214">
        <v>1586.2</v>
      </c>
      <c r="E214">
        <v>238.77</v>
      </c>
      <c r="F214">
        <v>3002.06</v>
      </c>
      <c r="G214">
        <v>2343.66</v>
      </c>
      <c r="H214">
        <v>16157.8</v>
      </c>
    </row>
    <row r="215" spans="1:8" x14ac:dyDescent="0.3">
      <c r="A215" s="1">
        <v>31713</v>
      </c>
      <c r="B215">
        <v>113.45</v>
      </c>
      <c r="C215">
        <v>1357.5</v>
      </c>
      <c r="D215">
        <v>1583.6</v>
      </c>
      <c r="E215">
        <v>239.26</v>
      </c>
      <c r="F215">
        <v>3004.95</v>
      </c>
      <c r="G215">
        <v>2355.9299999999998</v>
      </c>
      <c r="H215">
        <v>16397.830000000002</v>
      </c>
    </row>
    <row r="216" spans="1:8" x14ac:dyDescent="0.3">
      <c r="A216" s="1">
        <v>31714</v>
      </c>
      <c r="B216">
        <v>112.12</v>
      </c>
      <c r="C216">
        <v>1374.4</v>
      </c>
      <c r="D216">
        <v>1597</v>
      </c>
      <c r="E216">
        <v>240.94</v>
      </c>
      <c r="F216">
        <v>3004.15</v>
      </c>
      <c r="G216">
        <v>2345.2399999999998</v>
      </c>
      <c r="H216">
        <v>16505.38</v>
      </c>
    </row>
    <row r="217" spans="1:8" x14ac:dyDescent="0.3">
      <c r="A217" s="1">
        <v>31715</v>
      </c>
      <c r="B217">
        <v>116.01</v>
      </c>
      <c r="C217">
        <v>1365</v>
      </c>
      <c r="D217">
        <v>1615.8</v>
      </c>
      <c r="E217">
        <v>243.71</v>
      </c>
      <c r="F217">
        <v>3018.91</v>
      </c>
      <c r="G217">
        <v>2312.81</v>
      </c>
      <c r="H217">
        <v>17010.95</v>
      </c>
    </row>
    <row r="218" spans="1:8" x14ac:dyDescent="0.3">
      <c r="A218" s="1">
        <v>31716</v>
      </c>
      <c r="B218">
        <v>116.06</v>
      </c>
      <c r="C218">
        <v>1377.5</v>
      </c>
      <c r="D218">
        <v>1632.1</v>
      </c>
      <c r="E218">
        <v>243.98</v>
      </c>
      <c r="F218">
        <v>3031.18</v>
      </c>
      <c r="G218">
        <v>2315.63</v>
      </c>
      <c r="H218">
        <v>16910.63</v>
      </c>
    </row>
    <row r="219" spans="1:8" x14ac:dyDescent="0.3">
      <c r="A219" s="1">
        <v>31719</v>
      </c>
      <c r="B219">
        <v>116.43</v>
      </c>
      <c r="C219">
        <v>1375.5</v>
      </c>
      <c r="D219">
        <v>1639.2</v>
      </c>
      <c r="E219">
        <v>245.8</v>
      </c>
      <c r="F219">
        <v>3043.75</v>
      </c>
      <c r="G219">
        <v>2258.7800000000002</v>
      </c>
    </row>
    <row r="220" spans="1:8" x14ac:dyDescent="0.3">
      <c r="A220" s="1">
        <v>31720</v>
      </c>
      <c r="B220">
        <v>115.85</v>
      </c>
      <c r="C220">
        <v>1381.1</v>
      </c>
      <c r="D220">
        <v>1637.7</v>
      </c>
      <c r="E220">
        <v>246.2</v>
      </c>
      <c r="F220">
        <v>3055.02</v>
      </c>
      <c r="G220">
        <v>2265.8200000000002</v>
      </c>
      <c r="H220">
        <v>16786.900000000001</v>
      </c>
    </row>
    <row r="221" spans="1:8" x14ac:dyDescent="0.3">
      <c r="A221" s="1">
        <v>31721</v>
      </c>
      <c r="B221">
        <v>115.56</v>
      </c>
      <c r="C221">
        <v>1390.2</v>
      </c>
      <c r="D221">
        <v>1644.4</v>
      </c>
      <c r="E221">
        <v>246.58</v>
      </c>
      <c r="F221">
        <v>3052.93</v>
      </c>
      <c r="G221">
        <v>2203.71</v>
      </c>
      <c r="H221">
        <v>16713.71</v>
      </c>
    </row>
    <row r="222" spans="1:8" x14ac:dyDescent="0.3">
      <c r="A222" s="1">
        <v>31722</v>
      </c>
      <c r="B222">
        <v>116.78</v>
      </c>
      <c r="C222">
        <v>1393.3</v>
      </c>
      <c r="D222">
        <v>1648.5</v>
      </c>
      <c r="E222">
        <v>245.87</v>
      </c>
      <c r="F222">
        <v>3063</v>
      </c>
      <c r="G222">
        <v>2230.65</v>
      </c>
      <c r="H222">
        <v>16758.349999999999</v>
      </c>
    </row>
    <row r="223" spans="1:8" x14ac:dyDescent="0.3">
      <c r="A223" s="1">
        <v>31723</v>
      </c>
      <c r="B223">
        <v>118.26</v>
      </c>
      <c r="C223">
        <v>1403.5</v>
      </c>
      <c r="D223">
        <v>1662.6</v>
      </c>
      <c r="E223">
        <v>245.77</v>
      </c>
      <c r="F223">
        <v>3062.2</v>
      </c>
      <c r="G223">
        <v>2218.38</v>
      </c>
      <c r="H223">
        <v>16973.64</v>
      </c>
    </row>
    <row r="224" spans="1:8" x14ac:dyDescent="0.3">
      <c r="A224" s="1">
        <v>31726</v>
      </c>
      <c r="B224">
        <v>117.85</v>
      </c>
      <c r="C224">
        <v>1400.7</v>
      </c>
      <c r="D224">
        <v>1656.2</v>
      </c>
      <c r="E224">
        <v>246.13</v>
      </c>
      <c r="F224">
        <v>3065.79</v>
      </c>
      <c r="G224">
        <v>2206.7600000000002</v>
      </c>
      <c r="H224">
        <v>17053.2</v>
      </c>
    </row>
    <row r="225" spans="1:8" x14ac:dyDescent="0.3">
      <c r="A225" s="1">
        <v>31727</v>
      </c>
      <c r="B225">
        <v>118.67</v>
      </c>
      <c r="C225">
        <v>1383.9</v>
      </c>
      <c r="D225">
        <v>1660.9</v>
      </c>
      <c r="E225">
        <v>247.08</v>
      </c>
      <c r="F225">
        <v>3071.88</v>
      </c>
      <c r="G225">
        <v>2207.25</v>
      </c>
      <c r="H225">
        <v>17300.560000000001</v>
      </c>
    </row>
    <row r="226" spans="1:8" x14ac:dyDescent="0.3">
      <c r="A226" s="1">
        <v>31728</v>
      </c>
      <c r="B226">
        <v>118.01</v>
      </c>
      <c r="C226">
        <v>1380.9</v>
      </c>
      <c r="D226">
        <v>1654.5</v>
      </c>
      <c r="E226">
        <v>246.64</v>
      </c>
      <c r="F226">
        <v>3080.86</v>
      </c>
      <c r="G226">
        <v>2239.71</v>
      </c>
      <c r="H226">
        <v>17447.89</v>
      </c>
    </row>
    <row r="227" spans="1:8" x14ac:dyDescent="0.3">
      <c r="A227" s="1">
        <v>31729</v>
      </c>
      <c r="B227">
        <v>116.54</v>
      </c>
      <c r="C227">
        <v>1379</v>
      </c>
      <c r="D227">
        <v>1644.6</v>
      </c>
      <c r="E227">
        <v>243.02</v>
      </c>
      <c r="F227">
        <v>3054.22</v>
      </c>
      <c r="G227">
        <v>2261.4499999999998</v>
      </c>
      <c r="H227">
        <v>17438.47</v>
      </c>
    </row>
    <row r="228" spans="1:8" x14ac:dyDescent="0.3">
      <c r="A228" s="1">
        <v>31730</v>
      </c>
      <c r="B228">
        <v>115.85</v>
      </c>
      <c r="C228">
        <v>1362.3</v>
      </c>
      <c r="D228">
        <v>1644.3</v>
      </c>
      <c r="E228">
        <v>244.5</v>
      </c>
      <c r="F228">
        <v>3062.2</v>
      </c>
      <c r="G228">
        <v>2244.0300000000002</v>
      </c>
      <c r="H228">
        <v>17390.5</v>
      </c>
    </row>
    <row r="229" spans="1:8" x14ac:dyDescent="0.3">
      <c r="A229" s="1">
        <v>31733</v>
      </c>
      <c r="B229">
        <v>115.02</v>
      </c>
      <c r="C229">
        <v>1326.7</v>
      </c>
      <c r="D229">
        <v>1628.6</v>
      </c>
      <c r="E229">
        <v>243.21</v>
      </c>
      <c r="F229">
        <v>3039.76</v>
      </c>
      <c r="G229">
        <v>2242.89</v>
      </c>
      <c r="H229">
        <v>17208.150000000001</v>
      </c>
    </row>
    <row r="230" spans="1:8" x14ac:dyDescent="0.3">
      <c r="A230" s="1">
        <v>31734</v>
      </c>
      <c r="B230">
        <v>116.19</v>
      </c>
      <c r="C230">
        <v>1316.4</v>
      </c>
      <c r="D230">
        <v>1617.5</v>
      </c>
      <c r="E230">
        <v>236.78</v>
      </c>
      <c r="F230">
        <v>3011.13</v>
      </c>
      <c r="G230">
        <v>2249.9699999999998</v>
      </c>
      <c r="H230">
        <v>17273.53</v>
      </c>
    </row>
    <row r="231" spans="1:8" x14ac:dyDescent="0.3">
      <c r="A231" s="1">
        <v>31735</v>
      </c>
      <c r="B231">
        <v>115.85</v>
      </c>
      <c r="C231">
        <v>1335.8</v>
      </c>
      <c r="D231">
        <v>1604.3</v>
      </c>
      <c r="E231">
        <v>237.66</v>
      </c>
      <c r="F231">
        <v>2992.38</v>
      </c>
      <c r="G231">
        <v>2243.34</v>
      </c>
      <c r="H231">
        <v>17283.810000000001</v>
      </c>
    </row>
    <row r="232" spans="1:8" x14ac:dyDescent="0.3">
      <c r="A232" s="1">
        <v>31736</v>
      </c>
      <c r="B232">
        <v>117.26</v>
      </c>
      <c r="C232">
        <v>1331</v>
      </c>
      <c r="D232">
        <v>1610.7</v>
      </c>
      <c r="E232">
        <v>242.05</v>
      </c>
      <c r="F232">
        <v>3006.55</v>
      </c>
      <c r="G232">
        <v>2245.9499999999998</v>
      </c>
      <c r="H232">
        <v>17304.560000000001</v>
      </c>
    </row>
    <row r="233" spans="1:8" x14ac:dyDescent="0.3">
      <c r="A233" s="1">
        <v>31737</v>
      </c>
      <c r="B233">
        <v>117.91</v>
      </c>
      <c r="C233">
        <v>1346.1</v>
      </c>
      <c r="D233">
        <v>1624.9</v>
      </c>
      <c r="E233">
        <v>245.86</v>
      </c>
      <c r="F233">
        <v>3013.63</v>
      </c>
      <c r="G233">
        <v>2273.98</v>
      </c>
      <c r="H233">
        <v>17489.580000000002</v>
      </c>
    </row>
    <row r="234" spans="1:8" x14ac:dyDescent="0.3">
      <c r="A234" s="1">
        <v>31740</v>
      </c>
      <c r="B234">
        <v>119.41</v>
      </c>
      <c r="C234">
        <v>1337.6</v>
      </c>
      <c r="D234">
        <v>1636.5</v>
      </c>
      <c r="E234">
        <v>247.45</v>
      </c>
      <c r="F234">
        <v>3021.21</v>
      </c>
      <c r="G234">
        <v>2343.59</v>
      </c>
    </row>
    <row r="235" spans="1:8" x14ac:dyDescent="0.3">
      <c r="A235" s="1">
        <v>31741</v>
      </c>
      <c r="B235">
        <v>118.05</v>
      </c>
      <c r="C235">
        <v>1350.9</v>
      </c>
      <c r="D235">
        <v>1619.3</v>
      </c>
      <c r="E235">
        <v>248.17</v>
      </c>
      <c r="F235">
        <v>3017.32</v>
      </c>
      <c r="G235">
        <v>2361.12</v>
      </c>
      <c r="H235">
        <v>17747.5</v>
      </c>
    </row>
    <row r="236" spans="1:8" x14ac:dyDescent="0.3">
      <c r="A236" s="1">
        <v>31742</v>
      </c>
      <c r="B236">
        <v>118.24</v>
      </c>
      <c r="C236">
        <v>1363.6</v>
      </c>
      <c r="D236">
        <v>1633</v>
      </c>
      <c r="E236">
        <v>248.77</v>
      </c>
      <c r="F236">
        <v>3017.42</v>
      </c>
      <c r="G236">
        <v>2377.71</v>
      </c>
      <c r="H236">
        <v>17727.91</v>
      </c>
    </row>
    <row r="237" spans="1:8" x14ac:dyDescent="0.3">
      <c r="A237" s="1">
        <v>31743</v>
      </c>
      <c r="B237">
        <v>118.68</v>
      </c>
      <c r="C237">
        <v>1371.1</v>
      </c>
      <c r="D237">
        <v>1632.5</v>
      </c>
      <c r="G237">
        <v>2354.33</v>
      </c>
      <c r="H237">
        <v>17883.66</v>
      </c>
    </row>
    <row r="238" spans="1:8" x14ac:dyDescent="0.3">
      <c r="A238" s="1">
        <v>31744</v>
      </c>
      <c r="B238">
        <v>118.99</v>
      </c>
      <c r="C238">
        <v>1379.6</v>
      </c>
      <c r="D238">
        <v>1636.7</v>
      </c>
      <c r="E238">
        <v>249.22</v>
      </c>
      <c r="F238">
        <v>3039.06</v>
      </c>
      <c r="G238">
        <v>2418.75</v>
      </c>
      <c r="H238">
        <v>18083.02</v>
      </c>
    </row>
    <row r="239" spans="1:8" x14ac:dyDescent="0.3">
      <c r="A239" s="1">
        <v>31747</v>
      </c>
      <c r="B239">
        <v>117.86</v>
      </c>
      <c r="C239">
        <v>1385.5</v>
      </c>
      <c r="D239">
        <v>1617.8</v>
      </c>
      <c r="E239">
        <v>249.05</v>
      </c>
      <c r="F239">
        <v>3037.37</v>
      </c>
      <c r="G239">
        <v>2452.15</v>
      </c>
      <c r="H239">
        <v>18307.98</v>
      </c>
    </row>
    <row r="240" spans="1:8" x14ac:dyDescent="0.3">
      <c r="A240" s="1">
        <v>31748</v>
      </c>
      <c r="B240">
        <v>118.79</v>
      </c>
      <c r="C240">
        <v>1376.8</v>
      </c>
      <c r="D240">
        <v>1625.5</v>
      </c>
      <c r="E240">
        <v>254</v>
      </c>
      <c r="F240">
        <v>3052.73</v>
      </c>
      <c r="G240">
        <v>2458.1999999999998</v>
      </c>
      <c r="H240">
        <v>18190.97</v>
      </c>
    </row>
    <row r="241" spans="1:8" x14ac:dyDescent="0.3">
      <c r="A241" s="1">
        <v>31749</v>
      </c>
      <c r="B241">
        <v>119.74</v>
      </c>
      <c r="C241">
        <v>1390.5</v>
      </c>
      <c r="D241">
        <v>1615.1</v>
      </c>
      <c r="E241">
        <v>253.85</v>
      </c>
      <c r="F241">
        <v>3063</v>
      </c>
      <c r="G241">
        <v>2460</v>
      </c>
      <c r="H241">
        <v>18455.060000000001</v>
      </c>
    </row>
    <row r="242" spans="1:8" x14ac:dyDescent="0.3">
      <c r="A242" s="1">
        <v>31750</v>
      </c>
      <c r="B242">
        <v>119.05</v>
      </c>
      <c r="C242">
        <v>1411.1</v>
      </c>
      <c r="D242">
        <v>1610.1</v>
      </c>
      <c r="E242">
        <v>253.04</v>
      </c>
      <c r="F242">
        <v>3064.8</v>
      </c>
      <c r="G242">
        <v>2430.52</v>
      </c>
      <c r="H242">
        <v>18623.95</v>
      </c>
    </row>
    <row r="243" spans="1:8" x14ac:dyDescent="0.3">
      <c r="A243" s="1">
        <v>31751</v>
      </c>
      <c r="B243">
        <v>118.86</v>
      </c>
      <c r="C243">
        <v>1420.3</v>
      </c>
      <c r="D243">
        <v>1613.5</v>
      </c>
      <c r="E243">
        <v>251.17</v>
      </c>
      <c r="F243">
        <v>3059.31</v>
      </c>
      <c r="G243">
        <v>2400.7199999999998</v>
      </c>
      <c r="H243">
        <v>18637.47</v>
      </c>
    </row>
    <row r="244" spans="1:8" x14ac:dyDescent="0.3">
      <c r="A244" s="1">
        <v>31754</v>
      </c>
      <c r="B244">
        <v>119.07</v>
      </c>
      <c r="C244">
        <v>1427.7</v>
      </c>
      <c r="D244">
        <v>1623.4</v>
      </c>
      <c r="E244">
        <v>251.16</v>
      </c>
      <c r="F244">
        <v>3045.05</v>
      </c>
      <c r="G244">
        <v>2431.29</v>
      </c>
      <c r="H244">
        <v>18710.68</v>
      </c>
    </row>
    <row r="245" spans="1:8" x14ac:dyDescent="0.3">
      <c r="A245" s="1">
        <v>31755</v>
      </c>
      <c r="B245">
        <v>119.25</v>
      </c>
      <c r="C245">
        <v>1440.3</v>
      </c>
      <c r="D245">
        <v>1635.9</v>
      </c>
      <c r="E245">
        <v>249.28</v>
      </c>
      <c r="F245">
        <v>3030.28</v>
      </c>
      <c r="G245">
        <v>2440.35</v>
      </c>
      <c r="H245">
        <v>18602.72</v>
      </c>
    </row>
    <row r="246" spans="1:8" x14ac:dyDescent="0.3">
      <c r="A246" s="1">
        <v>31756</v>
      </c>
      <c r="B246">
        <v>118.81</v>
      </c>
      <c r="C246">
        <v>1431</v>
      </c>
      <c r="D246">
        <v>1634.6</v>
      </c>
      <c r="E246">
        <v>250.96</v>
      </c>
      <c r="F246">
        <v>3035.27</v>
      </c>
      <c r="G246">
        <v>2442.59</v>
      </c>
      <c r="H246">
        <v>18776.18</v>
      </c>
    </row>
    <row r="247" spans="1:8" x14ac:dyDescent="0.3">
      <c r="A247" s="1">
        <v>31757</v>
      </c>
      <c r="B247">
        <v>120.02</v>
      </c>
      <c r="C247">
        <v>1437.4</v>
      </c>
      <c r="D247">
        <v>1634</v>
      </c>
      <c r="E247">
        <v>248.17</v>
      </c>
      <c r="F247">
        <v>3027.19</v>
      </c>
      <c r="G247">
        <v>2467.13</v>
      </c>
      <c r="H247">
        <v>18731.25</v>
      </c>
    </row>
    <row r="248" spans="1:8" x14ac:dyDescent="0.3">
      <c r="A248" s="1">
        <v>31758</v>
      </c>
      <c r="B248">
        <v>119.34</v>
      </c>
      <c r="C248">
        <v>1437.7</v>
      </c>
      <c r="D248">
        <v>1629.8</v>
      </c>
      <c r="E248">
        <v>247.35</v>
      </c>
      <c r="F248">
        <v>3033.88</v>
      </c>
      <c r="G248">
        <v>2463.23</v>
      </c>
      <c r="H248">
        <v>18830.64</v>
      </c>
    </row>
    <row r="249" spans="1:8" x14ac:dyDescent="0.3">
      <c r="A249" s="1">
        <v>31761</v>
      </c>
      <c r="B249">
        <v>117.22</v>
      </c>
      <c r="C249">
        <v>1437.3</v>
      </c>
      <c r="D249">
        <v>1637</v>
      </c>
      <c r="E249">
        <v>248.21</v>
      </c>
      <c r="F249">
        <v>3023.3</v>
      </c>
      <c r="G249">
        <v>2449.4299999999998</v>
      </c>
      <c r="H249">
        <v>18788.939999999999</v>
      </c>
    </row>
    <row r="250" spans="1:8" x14ac:dyDescent="0.3">
      <c r="A250" s="1">
        <v>31762</v>
      </c>
      <c r="B250">
        <v>116.76</v>
      </c>
      <c r="C250">
        <v>1446.7</v>
      </c>
      <c r="D250">
        <v>1637.9</v>
      </c>
      <c r="E250">
        <v>250.04</v>
      </c>
      <c r="F250">
        <v>3022.9</v>
      </c>
      <c r="G250">
        <v>2440.6799999999998</v>
      </c>
      <c r="H250">
        <v>18933.07</v>
      </c>
    </row>
    <row r="251" spans="1:8" x14ac:dyDescent="0.3">
      <c r="A251" s="1">
        <v>31763</v>
      </c>
      <c r="B251">
        <v>115.76</v>
      </c>
      <c r="C251">
        <v>1453.8</v>
      </c>
      <c r="D251">
        <v>1636.3</v>
      </c>
      <c r="E251">
        <v>247.56</v>
      </c>
      <c r="F251">
        <v>3020.71</v>
      </c>
      <c r="G251">
        <v>2411.08</v>
      </c>
      <c r="H251">
        <v>18847.77</v>
      </c>
    </row>
    <row r="252" spans="1:8" x14ac:dyDescent="0.3">
      <c r="A252" s="1">
        <v>31764</v>
      </c>
      <c r="B252">
        <v>115.46</v>
      </c>
      <c r="C252">
        <v>1453.5</v>
      </c>
      <c r="D252">
        <v>1630.6</v>
      </c>
      <c r="E252">
        <v>246.78</v>
      </c>
      <c r="F252">
        <v>3020.01</v>
      </c>
      <c r="G252">
        <v>2422.2199999999998</v>
      </c>
      <c r="H252">
        <v>18723.72</v>
      </c>
    </row>
    <row r="253" spans="1:8" x14ac:dyDescent="0.3">
      <c r="A253" s="1">
        <v>31765</v>
      </c>
      <c r="B253">
        <v>116.54</v>
      </c>
      <c r="C253">
        <v>1455.9</v>
      </c>
      <c r="D253">
        <v>1632.2</v>
      </c>
      <c r="E253">
        <v>249.73</v>
      </c>
      <c r="F253">
        <v>3040.76</v>
      </c>
      <c r="G253">
        <v>2463.81</v>
      </c>
      <c r="H253">
        <v>18930.03</v>
      </c>
    </row>
    <row r="254" spans="1:8" x14ac:dyDescent="0.3">
      <c r="A254" s="1">
        <v>31768</v>
      </c>
      <c r="B254">
        <v>116.84</v>
      </c>
      <c r="C254">
        <v>1460.7</v>
      </c>
      <c r="D254">
        <v>1652.2</v>
      </c>
      <c r="E254">
        <v>248.75</v>
      </c>
      <c r="F254">
        <v>3036.87</v>
      </c>
      <c r="G254">
        <v>2503.77</v>
      </c>
      <c r="H254">
        <v>18825.400000000001</v>
      </c>
    </row>
    <row r="255" spans="1:8" x14ac:dyDescent="0.3">
      <c r="A255" s="1">
        <v>31769</v>
      </c>
      <c r="B255">
        <v>115.53</v>
      </c>
      <c r="C255">
        <v>1464</v>
      </c>
      <c r="D255">
        <v>1660.9</v>
      </c>
      <c r="E255">
        <v>246.34</v>
      </c>
      <c r="F255">
        <v>3034.08</v>
      </c>
      <c r="G255">
        <v>2501.94</v>
      </c>
      <c r="H255">
        <v>18808.55</v>
      </c>
    </row>
    <row r="256" spans="1:8" x14ac:dyDescent="0.3">
      <c r="A256" s="1">
        <v>31770</v>
      </c>
      <c r="B256">
        <v>115.43</v>
      </c>
      <c r="C256">
        <v>1462.3</v>
      </c>
      <c r="D256">
        <v>1665.1</v>
      </c>
      <c r="E256">
        <v>246.75</v>
      </c>
      <c r="F256">
        <v>3038.96</v>
      </c>
      <c r="G256">
        <v>2523.92</v>
      </c>
      <c r="H256">
        <v>18902.849999999999</v>
      </c>
    </row>
    <row r="257" spans="1:8" x14ac:dyDescent="0.3">
      <c r="A257" s="1">
        <v>31771</v>
      </c>
      <c r="B257">
        <v>115.43</v>
      </c>
      <c r="G257" t="e">
        <v>#N/A</v>
      </c>
      <c r="H257">
        <v>18774.259999999998</v>
      </c>
    </row>
    <row r="258" spans="1:8" x14ac:dyDescent="0.3">
      <c r="A258" s="1">
        <v>31772</v>
      </c>
      <c r="B258">
        <v>115.43</v>
      </c>
      <c r="E258">
        <v>246.92</v>
      </c>
      <c r="G258" t="e">
        <v>#N/A</v>
      </c>
      <c r="H258">
        <v>18820.650000000001</v>
      </c>
    </row>
    <row r="259" spans="1:8" x14ac:dyDescent="0.3">
      <c r="A259" s="1">
        <v>31775</v>
      </c>
      <c r="B259">
        <v>114.76</v>
      </c>
      <c r="C259">
        <v>1467.4</v>
      </c>
      <c r="D259">
        <v>1671.6</v>
      </c>
      <c r="E259">
        <v>244.67</v>
      </c>
      <c r="F259">
        <v>3037.37</v>
      </c>
      <c r="G259">
        <v>2552.4499999999998</v>
      </c>
    </row>
    <row r="260" spans="1:8" x14ac:dyDescent="0.3">
      <c r="A260" s="1">
        <v>31776</v>
      </c>
      <c r="B260">
        <v>114.69</v>
      </c>
      <c r="C260">
        <v>1470.5</v>
      </c>
      <c r="D260">
        <v>1673.1</v>
      </c>
      <c r="E260">
        <v>243.37</v>
      </c>
      <c r="F260">
        <v>3042.75</v>
      </c>
      <c r="G260">
        <v>2559.36</v>
      </c>
    </row>
    <row r="261" spans="1:8" x14ac:dyDescent="0.3">
      <c r="A261" s="1">
        <v>31777</v>
      </c>
      <c r="B261">
        <v>114.69</v>
      </c>
      <c r="C261">
        <v>1473.1</v>
      </c>
      <c r="D261">
        <v>1679</v>
      </c>
      <c r="E261">
        <v>242.17</v>
      </c>
      <c r="F261">
        <v>3058.41</v>
      </c>
      <c r="G261">
        <v>2568.3000000000002</v>
      </c>
    </row>
    <row r="262" spans="1:8" x14ac:dyDescent="0.3">
      <c r="A262" s="1">
        <v>31779</v>
      </c>
      <c r="B262">
        <v>114.66</v>
      </c>
      <c r="C262">
        <v>1486.9</v>
      </c>
      <c r="D262">
        <v>1681.1</v>
      </c>
      <c r="E262">
        <v>246.45</v>
      </c>
      <c r="F262">
        <v>3060.01</v>
      </c>
      <c r="G262">
        <v>2540.06</v>
      </c>
    </row>
    <row r="263" spans="1:8" x14ac:dyDescent="0.3">
      <c r="A263" s="1">
        <v>31782</v>
      </c>
      <c r="B263">
        <v>114.82</v>
      </c>
      <c r="C263">
        <v>1503.1</v>
      </c>
      <c r="D263">
        <v>1680</v>
      </c>
      <c r="E263">
        <v>252.19</v>
      </c>
      <c r="F263">
        <v>3089.83</v>
      </c>
      <c r="G263">
        <v>2552.4</v>
      </c>
      <c r="H263">
        <v>18820.55</v>
      </c>
    </row>
    <row r="264" spans="1:8" x14ac:dyDescent="0.3">
      <c r="A264" s="1">
        <v>31783</v>
      </c>
      <c r="B264">
        <v>113.98</v>
      </c>
      <c r="C264">
        <v>1523.1</v>
      </c>
      <c r="D264">
        <v>1690.7</v>
      </c>
      <c r="E264">
        <v>252.78</v>
      </c>
      <c r="F264">
        <v>3115.67</v>
      </c>
      <c r="G264">
        <v>2583.87</v>
      </c>
      <c r="H264">
        <v>18936.759999999998</v>
      </c>
    </row>
    <row r="265" spans="1:8" x14ac:dyDescent="0.3">
      <c r="A265" s="1">
        <v>31784</v>
      </c>
      <c r="B265">
        <v>114.33</v>
      </c>
      <c r="C265">
        <v>1534.1</v>
      </c>
      <c r="D265">
        <v>1722.2</v>
      </c>
      <c r="E265">
        <v>255.33</v>
      </c>
      <c r="F265">
        <v>3146.99</v>
      </c>
      <c r="G265">
        <v>2607.11</v>
      </c>
      <c r="H265">
        <v>18842.37</v>
      </c>
    </row>
    <row r="266" spans="1:8" x14ac:dyDescent="0.3">
      <c r="A266" s="1">
        <v>31785</v>
      </c>
      <c r="B266">
        <v>111.63</v>
      </c>
      <c r="C266">
        <v>1529.6</v>
      </c>
      <c r="D266">
        <v>1733.1</v>
      </c>
      <c r="E266">
        <v>257.27999999999997</v>
      </c>
      <c r="F266">
        <v>3170.43</v>
      </c>
      <c r="G266">
        <v>2603.33</v>
      </c>
      <c r="H266">
        <v>18778.740000000002</v>
      </c>
    </row>
    <row r="267" spans="1:8" x14ac:dyDescent="0.3">
      <c r="A267" s="1">
        <v>31786</v>
      </c>
      <c r="B267">
        <v>109.71</v>
      </c>
      <c r="C267">
        <v>1535.6</v>
      </c>
      <c r="D267">
        <v>1752.3</v>
      </c>
      <c r="E267">
        <v>258.73</v>
      </c>
      <c r="F267">
        <v>3200.65</v>
      </c>
      <c r="G267">
        <v>2561.73</v>
      </c>
      <c r="H267">
        <v>18810.36</v>
      </c>
    </row>
    <row r="268" spans="1:8" x14ac:dyDescent="0.3">
      <c r="A268" s="1">
        <v>31789</v>
      </c>
      <c r="B268">
        <v>107.53</v>
      </c>
      <c r="C268">
        <v>1549.7</v>
      </c>
      <c r="D268">
        <v>1755.6</v>
      </c>
      <c r="E268">
        <v>260.3</v>
      </c>
      <c r="F268">
        <v>3235.46</v>
      </c>
      <c r="G268">
        <v>2614.87</v>
      </c>
      <c r="H268">
        <v>18669.02</v>
      </c>
    </row>
    <row r="269" spans="1:8" x14ac:dyDescent="0.3">
      <c r="A269" s="1">
        <v>31790</v>
      </c>
      <c r="B269">
        <v>107.93</v>
      </c>
      <c r="C269">
        <v>1553.6</v>
      </c>
      <c r="D269">
        <v>1763.3</v>
      </c>
      <c r="E269">
        <v>259.95</v>
      </c>
      <c r="F269">
        <v>3245.74</v>
      </c>
      <c r="G269">
        <v>2590.83</v>
      </c>
      <c r="H269">
        <v>18544.05</v>
      </c>
    </row>
    <row r="270" spans="1:8" x14ac:dyDescent="0.3">
      <c r="A270" s="1">
        <v>31791</v>
      </c>
      <c r="B270">
        <v>108.9</v>
      </c>
      <c r="C270">
        <v>1526</v>
      </c>
      <c r="D270">
        <v>1765.2</v>
      </c>
      <c r="E270">
        <v>262.64</v>
      </c>
      <c r="F270">
        <v>3258.5</v>
      </c>
      <c r="G270">
        <v>2578.23</v>
      </c>
      <c r="H270">
        <v>18784.27</v>
      </c>
    </row>
    <row r="271" spans="1:8" x14ac:dyDescent="0.3">
      <c r="A271" s="1">
        <v>31792</v>
      </c>
      <c r="B271">
        <v>110.25</v>
      </c>
      <c r="C271">
        <v>1540.2</v>
      </c>
      <c r="D271">
        <v>1789</v>
      </c>
      <c r="E271">
        <v>265.49</v>
      </c>
      <c r="F271">
        <v>3274.56</v>
      </c>
      <c r="G271">
        <v>2559.12</v>
      </c>
    </row>
    <row r="272" spans="1:8" x14ac:dyDescent="0.3">
      <c r="A272" s="1">
        <v>31793</v>
      </c>
      <c r="B272">
        <v>110.92</v>
      </c>
      <c r="C272">
        <v>1531.7</v>
      </c>
      <c r="D272">
        <v>1789</v>
      </c>
      <c r="E272">
        <v>266.27999999999997</v>
      </c>
      <c r="F272">
        <v>3263.59</v>
      </c>
      <c r="G272">
        <v>2542.5700000000002</v>
      </c>
      <c r="H272">
        <v>19149.63</v>
      </c>
    </row>
    <row r="273" spans="1:8" x14ac:dyDescent="0.3">
      <c r="A273" s="1">
        <v>31796</v>
      </c>
      <c r="B273">
        <v>109.08</v>
      </c>
      <c r="C273">
        <v>1528.5</v>
      </c>
      <c r="D273">
        <v>1778.4</v>
      </c>
      <c r="E273">
        <v>269.33999999999997</v>
      </c>
      <c r="F273">
        <v>3266.38</v>
      </c>
      <c r="G273">
        <v>2460.46</v>
      </c>
      <c r="H273">
        <v>19188.68</v>
      </c>
    </row>
    <row r="274" spans="1:8" x14ac:dyDescent="0.3">
      <c r="A274" s="1">
        <v>31797</v>
      </c>
      <c r="B274">
        <v>109.32</v>
      </c>
      <c r="C274">
        <v>1534.1</v>
      </c>
      <c r="D274">
        <v>1778.9</v>
      </c>
      <c r="E274">
        <v>269.04000000000002</v>
      </c>
      <c r="F274">
        <v>3243.04</v>
      </c>
      <c r="G274">
        <v>2449.88</v>
      </c>
      <c r="H274">
        <v>19216.12</v>
      </c>
    </row>
    <row r="275" spans="1:8" x14ac:dyDescent="0.3">
      <c r="A275" s="1">
        <v>31798</v>
      </c>
      <c r="B275">
        <v>108.88</v>
      </c>
      <c r="C275">
        <v>1528.2</v>
      </c>
      <c r="D275">
        <v>1761.6</v>
      </c>
      <c r="E275">
        <v>267.83999999999997</v>
      </c>
      <c r="F275">
        <v>3238.16</v>
      </c>
      <c r="G275">
        <v>2533.9</v>
      </c>
      <c r="H275">
        <v>19429.18</v>
      </c>
    </row>
    <row r="276" spans="1:8" x14ac:dyDescent="0.3">
      <c r="A276" s="1">
        <v>31799</v>
      </c>
      <c r="B276">
        <v>108.72</v>
      </c>
      <c r="C276">
        <v>1534.7</v>
      </c>
      <c r="D276">
        <v>1777.5</v>
      </c>
      <c r="E276">
        <v>273.91000000000003</v>
      </c>
      <c r="F276">
        <v>3290.72</v>
      </c>
      <c r="G276">
        <v>2536.94</v>
      </c>
      <c r="H276">
        <v>19380.509999999998</v>
      </c>
    </row>
    <row r="277" spans="1:8" x14ac:dyDescent="0.3">
      <c r="A277" s="1">
        <v>31800</v>
      </c>
      <c r="B277">
        <v>108.67</v>
      </c>
      <c r="C277">
        <v>1539.6</v>
      </c>
      <c r="D277">
        <v>1795.3</v>
      </c>
      <c r="E277">
        <v>270.10000000000002</v>
      </c>
      <c r="F277">
        <v>3296.61</v>
      </c>
      <c r="G277">
        <v>2499.4299999999998</v>
      </c>
      <c r="H277">
        <v>19456.61</v>
      </c>
    </row>
    <row r="278" spans="1:8" x14ac:dyDescent="0.3">
      <c r="A278" s="1">
        <v>31803</v>
      </c>
      <c r="B278">
        <v>105.93</v>
      </c>
      <c r="D278">
        <v>1781.8</v>
      </c>
      <c r="E278">
        <v>269.61</v>
      </c>
      <c r="F278">
        <v>3289.23</v>
      </c>
      <c r="G278">
        <v>2484.35</v>
      </c>
      <c r="H278">
        <v>19554.72</v>
      </c>
    </row>
    <row r="279" spans="1:8" x14ac:dyDescent="0.3">
      <c r="A279" s="1">
        <v>31804</v>
      </c>
      <c r="B279">
        <v>105.61</v>
      </c>
      <c r="C279">
        <v>1533.5</v>
      </c>
      <c r="D279">
        <v>1814.4</v>
      </c>
      <c r="E279">
        <v>273.75</v>
      </c>
      <c r="F279">
        <v>3331.42</v>
      </c>
      <c r="G279">
        <v>2524.0100000000002</v>
      </c>
      <c r="H279">
        <v>19686.830000000002</v>
      </c>
    </row>
    <row r="280" spans="1:8" x14ac:dyDescent="0.3">
      <c r="A280" s="1">
        <v>31805</v>
      </c>
      <c r="B280">
        <v>103.1</v>
      </c>
      <c r="C280">
        <v>1527.5</v>
      </c>
      <c r="D280">
        <v>1812.1</v>
      </c>
      <c r="E280">
        <v>275.39999999999998</v>
      </c>
      <c r="F280">
        <v>3345.78</v>
      </c>
      <c r="G280">
        <v>2553.25</v>
      </c>
      <c r="H280">
        <v>19789.93</v>
      </c>
    </row>
    <row r="281" spans="1:8" x14ac:dyDescent="0.3">
      <c r="A281" s="1">
        <v>31806</v>
      </c>
      <c r="B281">
        <v>104.91</v>
      </c>
      <c r="C281">
        <v>1513.9</v>
      </c>
      <c r="D281">
        <v>1798.1</v>
      </c>
      <c r="E281">
        <v>274.24</v>
      </c>
      <c r="F281">
        <v>3342.19</v>
      </c>
      <c r="G281" t="e">
        <v>#N/A</v>
      </c>
      <c r="H281">
        <v>19921.05</v>
      </c>
    </row>
    <row r="282" spans="1:8" x14ac:dyDescent="0.3">
      <c r="A282" s="1">
        <v>31807</v>
      </c>
      <c r="B282">
        <v>106.75</v>
      </c>
      <c r="C282">
        <v>1496.3</v>
      </c>
      <c r="D282">
        <v>1808.3</v>
      </c>
      <c r="E282">
        <v>274.08</v>
      </c>
      <c r="F282">
        <v>3340.4</v>
      </c>
      <c r="G282" t="e">
        <v>#N/A</v>
      </c>
      <c r="H282">
        <v>20048.349999999999</v>
      </c>
    </row>
    <row r="283" spans="1:8" x14ac:dyDescent="0.3">
      <c r="A283" s="1">
        <v>31810</v>
      </c>
      <c r="B283">
        <v>105.74</v>
      </c>
      <c r="C283">
        <v>1486.7</v>
      </c>
      <c r="D283">
        <v>1832.8</v>
      </c>
      <c r="E283">
        <v>276.45</v>
      </c>
      <c r="F283">
        <v>3370.12</v>
      </c>
      <c r="G283">
        <v>2585.2199999999998</v>
      </c>
      <c r="H283">
        <v>20072.09</v>
      </c>
    </row>
    <row r="284" spans="1:8" x14ac:dyDescent="0.3">
      <c r="A284" s="1">
        <v>31811</v>
      </c>
      <c r="B284">
        <v>104.66</v>
      </c>
      <c r="C284">
        <v>1502.5</v>
      </c>
      <c r="D284">
        <v>1828.6</v>
      </c>
      <c r="E284">
        <v>275.99</v>
      </c>
      <c r="F284">
        <v>3391.67</v>
      </c>
      <c r="G284">
        <v>2606.38</v>
      </c>
      <c r="H284">
        <v>19956.330000000002</v>
      </c>
    </row>
    <row r="285" spans="1:8" x14ac:dyDescent="0.3">
      <c r="A285" s="1">
        <v>31812</v>
      </c>
      <c r="B285">
        <v>104.38</v>
      </c>
      <c r="C285">
        <v>1512.9</v>
      </c>
      <c r="D285">
        <v>1846.7</v>
      </c>
      <c r="E285">
        <v>279.64</v>
      </c>
      <c r="F285">
        <v>3439.34</v>
      </c>
      <c r="G285">
        <v>2636.63</v>
      </c>
      <c r="H285">
        <v>19973.87</v>
      </c>
    </row>
    <row r="286" spans="1:8" x14ac:dyDescent="0.3">
      <c r="A286" s="1">
        <v>31813</v>
      </c>
      <c r="B286">
        <v>105.04</v>
      </c>
      <c r="C286">
        <v>1533.4</v>
      </c>
      <c r="D286">
        <v>1866.1</v>
      </c>
      <c r="E286">
        <v>281.16000000000003</v>
      </c>
      <c r="F286">
        <v>3506.27</v>
      </c>
      <c r="G286">
        <v>2652.14</v>
      </c>
      <c r="H286">
        <v>19795.080000000002</v>
      </c>
    </row>
    <row r="287" spans="1:8" x14ac:dyDescent="0.3">
      <c r="A287" s="1">
        <v>31814</v>
      </c>
      <c r="B287">
        <v>105.14</v>
      </c>
      <c r="C287">
        <v>1539.2</v>
      </c>
      <c r="D287">
        <v>1898.4</v>
      </c>
      <c r="E287">
        <v>280.04000000000002</v>
      </c>
      <c r="F287">
        <v>3516.25</v>
      </c>
      <c r="G287">
        <v>2673.57</v>
      </c>
      <c r="H287">
        <v>19668.830000000002</v>
      </c>
    </row>
    <row r="288" spans="1:8" x14ac:dyDescent="0.3">
      <c r="A288" s="1">
        <v>31817</v>
      </c>
      <c r="B288">
        <v>103.85</v>
      </c>
      <c r="C288">
        <v>1554.7</v>
      </c>
      <c r="D288">
        <v>1910.7</v>
      </c>
      <c r="E288">
        <v>278.16000000000003</v>
      </c>
      <c r="F288">
        <v>3502.98</v>
      </c>
      <c r="G288">
        <v>2713.67</v>
      </c>
      <c r="H288">
        <v>19679.32</v>
      </c>
    </row>
    <row r="289" spans="1:8" x14ac:dyDescent="0.3">
      <c r="A289" s="1">
        <v>31818</v>
      </c>
      <c r="B289">
        <v>103.82</v>
      </c>
      <c r="C289">
        <v>1553.7</v>
      </c>
      <c r="D289">
        <v>1874.9</v>
      </c>
      <c r="E289">
        <v>275.07</v>
      </c>
      <c r="F289">
        <v>3456.9</v>
      </c>
      <c r="G289">
        <v>2694.85</v>
      </c>
      <c r="H289">
        <v>19813.96</v>
      </c>
    </row>
    <row r="290" spans="1:8" x14ac:dyDescent="0.3">
      <c r="A290" s="1">
        <v>31819</v>
      </c>
      <c r="B290">
        <v>104.74</v>
      </c>
      <c r="C290">
        <v>1559.9</v>
      </c>
      <c r="D290">
        <v>1895.8</v>
      </c>
      <c r="E290">
        <v>277.54000000000002</v>
      </c>
      <c r="F290">
        <v>3476.85</v>
      </c>
      <c r="G290">
        <v>2739.47</v>
      </c>
    </row>
    <row r="291" spans="1:8" x14ac:dyDescent="0.3">
      <c r="A291" s="1">
        <v>31820</v>
      </c>
      <c r="B291">
        <v>105.92</v>
      </c>
      <c r="C291">
        <v>1574.8</v>
      </c>
      <c r="D291">
        <v>1878.6</v>
      </c>
      <c r="E291">
        <v>275.62</v>
      </c>
      <c r="F291">
        <v>3493.8</v>
      </c>
      <c r="G291">
        <v>2754.72</v>
      </c>
      <c r="H291">
        <v>19874.89</v>
      </c>
    </row>
    <row r="292" spans="1:8" x14ac:dyDescent="0.3">
      <c r="A292" s="1">
        <v>31821</v>
      </c>
      <c r="B292">
        <v>105.68</v>
      </c>
      <c r="C292">
        <v>1575.8</v>
      </c>
      <c r="D292">
        <v>1898.1</v>
      </c>
      <c r="E292">
        <v>279.7</v>
      </c>
      <c r="F292">
        <v>3514.45</v>
      </c>
      <c r="G292">
        <v>2740.49</v>
      </c>
      <c r="H292">
        <v>19628.87</v>
      </c>
    </row>
    <row r="293" spans="1:8" x14ac:dyDescent="0.3">
      <c r="A293" s="1">
        <v>31824</v>
      </c>
      <c r="B293">
        <v>105.35</v>
      </c>
      <c r="C293">
        <v>1573.9</v>
      </c>
      <c r="D293">
        <v>1925.8</v>
      </c>
      <c r="F293">
        <v>3522.03</v>
      </c>
      <c r="G293">
        <v>2766.06</v>
      </c>
      <c r="H293">
        <v>19531.52</v>
      </c>
    </row>
    <row r="294" spans="1:8" x14ac:dyDescent="0.3">
      <c r="A294" s="1">
        <v>31825</v>
      </c>
      <c r="B294">
        <v>106.08</v>
      </c>
      <c r="C294">
        <v>1573.2</v>
      </c>
      <c r="D294">
        <v>1942</v>
      </c>
      <c r="E294">
        <v>285.49</v>
      </c>
      <c r="F294">
        <v>3550.86</v>
      </c>
      <c r="G294">
        <v>2792.08</v>
      </c>
      <c r="H294">
        <v>19637.93</v>
      </c>
    </row>
    <row r="295" spans="1:8" x14ac:dyDescent="0.3">
      <c r="A295" s="1">
        <v>31826</v>
      </c>
      <c r="B295">
        <v>106.8</v>
      </c>
      <c r="C295">
        <v>1578.7</v>
      </c>
      <c r="D295">
        <v>1952</v>
      </c>
      <c r="E295">
        <v>285.42</v>
      </c>
      <c r="F295">
        <v>3550.96</v>
      </c>
      <c r="G295">
        <v>2801.48</v>
      </c>
      <c r="H295">
        <v>19881.759999999998</v>
      </c>
    </row>
    <row r="296" spans="1:8" x14ac:dyDescent="0.3">
      <c r="A296" s="1">
        <v>31827</v>
      </c>
      <c r="B296">
        <v>107.31</v>
      </c>
      <c r="C296">
        <v>1589.6</v>
      </c>
      <c r="D296">
        <v>1930.1</v>
      </c>
      <c r="E296">
        <v>285.57</v>
      </c>
      <c r="F296">
        <v>3553.55</v>
      </c>
      <c r="G296">
        <v>2775.82</v>
      </c>
      <c r="H296">
        <v>20228.09</v>
      </c>
    </row>
    <row r="297" spans="1:8" x14ac:dyDescent="0.3">
      <c r="A297" s="1">
        <v>31828</v>
      </c>
      <c r="B297">
        <v>107.99</v>
      </c>
      <c r="C297">
        <v>1605.3</v>
      </c>
      <c r="D297">
        <v>1961.5</v>
      </c>
      <c r="E297">
        <v>285.48</v>
      </c>
      <c r="F297">
        <v>3532.81</v>
      </c>
      <c r="G297">
        <v>2827.4</v>
      </c>
      <c r="H297">
        <v>20080.39</v>
      </c>
    </row>
    <row r="298" spans="1:8" x14ac:dyDescent="0.3">
      <c r="A298" s="1">
        <v>31831</v>
      </c>
      <c r="B298">
        <v>106.76</v>
      </c>
      <c r="C298">
        <v>1606.3</v>
      </c>
      <c r="D298">
        <v>1939.7</v>
      </c>
      <c r="E298">
        <v>282.38</v>
      </c>
      <c r="F298">
        <v>3478.94</v>
      </c>
      <c r="G298">
        <v>2879.01</v>
      </c>
      <c r="H298">
        <v>19940.5</v>
      </c>
    </row>
    <row r="299" spans="1:8" x14ac:dyDescent="0.3">
      <c r="A299" s="1">
        <v>31832</v>
      </c>
      <c r="B299">
        <v>106.88</v>
      </c>
      <c r="C299">
        <v>1597.9</v>
      </c>
      <c r="D299">
        <v>1946.8</v>
      </c>
      <c r="E299">
        <v>282.88</v>
      </c>
      <c r="F299">
        <v>3478.24</v>
      </c>
      <c r="G299">
        <v>2848.19</v>
      </c>
      <c r="H299">
        <v>20076.48</v>
      </c>
    </row>
    <row r="300" spans="1:8" x14ac:dyDescent="0.3">
      <c r="A300" s="1">
        <v>31833</v>
      </c>
      <c r="B300">
        <v>107.2</v>
      </c>
      <c r="C300">
        <v>1584</v>
      </c>
      <c r="D300">
        <v>1973.1</v>
      </c>
      <c r="E300">
        <v>284</v>
      </c>
      <c r="F300">
        <v>3465.78</v>
      </c>
      <c r="G300">
        <v>2873.58</v>
      </c>
      <c r="H300">
        <v>20186.330000000002</v>
      </c>
    </row>
    <row r="301" spans="1:8" x14ac:dyDescent="0.3">
      <c r="A301" s="1">
        <v>31834</v>
      </c>
      <c r="B301">
        <v>106.76</v>
      </c>
      <c r="C301">
        <v>1593</v>
      </c>
      <c r="D301">
        <v>1980.2</v>
      </c>
      <c r="E301">
        <v>282.95999999999998</v>
      </c>
      <c r="F301">
        <v>3469.37</v>
      </c>
      <c r="G301">
        <v>2843.6</v>
      </c>
      <c r="H301">
        <v>20453.900000000001</v>
      </c>
    </row>
    <row r="302" spans="1:8" x14ac:dyDescent="0.3">
      <c r="A302" s="1">
        <v>31835</v>
      </c>
      <c r="B302">
        <v>106.16</v>
      </c>
      <c r="C302">
        <v>1614.1</v>
      </c>
      <c r="D302">
        <v>1979.2</v>
      </c>
      <c r="E302">
        <v>284.2</v>
      </c>
      <c r="F302">
        <v>3490.01</v>
      </c>
      <c r="G302">
        <v>2877.87</v>
      </c>
      <c r="H302">
        <v>20421.66</v>
      </c>
    </row>
    <row r="303" spans="1:8" x14ac:dyDescent="0.3">
      <c r="A303" s="1">
        <v>31838</v>
      </c>
      <c r="B303">
        <v>106.76</v>
      </c>
      <c r="C303">
        <v>1622.9</v>
      </c>
      <c r="D303">
        <v>1983.1</v>
      </c>
      <c r="E303">
        <v>283</v>
      </c>
      <c r="F303">
        <v>3501.19</v>
      </c>
      <c r="G303">
        <v>2894.26</v>
      </c>
      <c r="H303">
        <v>20933.82</v>
      </c>
    </row>
    <row r="304" spans="1:8" x14ac:dyDescent="0.3">
      <c r="A304" s="1">
        <v>31839</v>
      </c>
      <c r="B304">
        <v>104.9</v>
      </c>
      <c r="C304">
        <v>1615.6</v>
      </c>
      <c r="D304">
        <v>1998.3</v>
      </c>
      <c r="E304">
        <v>284.12</v>
      </c>
      <c r="F304">
        <v>3524.23</v>
      </c>
      <c r="G304">
        <v>2939.05</v>
      </c>
      <c r="H304">
        <v>20971.39</v>
      </c>
    </row>
    <row r="305" spans="1:8" x14ac:dyDescent="0.3">
      <c r="A305" s="1">
        <v>31840</v>
      </c>
      <c r="B305">
        <v>106.22</v>
      </c>
      <c r="C305">
        <v>1624.3</v>
      </c>
      <c r="D305">
        <v>2002.7</v>
      </c>
      <c r="E305">
        <v>288.62</v>
      </c>
      <c r="F305">
        <v>3584.37</v>
      </c>
      <c r="G305">
        <v>2890.93</v>
      </c>
      <c r="H305">
        <v>21031.66</v>
      </c>
    </row>
    <row r="306" spans="1:8" x14ac:dyDescent="0.3">
      <c r="A306" s="1">
        <v>31841</v>
      </c>
      <c r="B306">
        <v>107.44</v>
      </c>
      <c r="C306">
        <v>1636.5</v>
      </c>
      <c r="D306">
        <v>2002.8</v>
      </c>
      <c r="E306">
        <v>290.52</v>
      </c>
      <c r="F306">
        <v>3609.91</v>
      </c>
      <c r="G306">
        <v>2798.44</v>
      </c>
      <c r="H306">
        <v>21176.03</v>
      </c>
    </row>
    <row r="307" spans="1:8" x14ac:dyDescent="0.3">
      <c r="A307" s="1">
        <v>31842</v>
      </c>
      <c r="B307">
        <v>107.31</v>
      </c>
      <c r="C307">
        <v>1646.6</v>
      </c>
      <c r="D307">
        <v>1998.2</v>
      </c>
      <c r="E307">
        <v>290.66000000000003</v>
      </c>
      <c r="F307">
        <v>3627.86</v>
      </c>
      <c r="G307">
        <v>2798.64</v>
      </c>
      <c r="H307">
        <v>21105.85</v>
      </c>
    </row>
    <row r="308" spans="1:8" x14ac:dyDescent="0.3">
      <c r="A308" s="1">
        <v>31845</v>
      </c>
      <c r="B308">
        <v>107.35</v>
      </c>
      <c r="C308">
        <v>1652</v>
      </c>
      <c r="D308">
        <v>1973.7</v>
      </c>
      <c r="E308">
        <v>288.3</v>
      </c>
      <c r="F308">
        <v>3602.23</v>
      </c>
      <c r="G308">
        <v>2820.38</v>
      </c>
      <c r="H308">
        <v>21166.400000000001</v>
      </c>
    </row>
    <row r="309" spans="1:8" x14ac:dyDescent="0.3">
      <c r="A309" s="1">
        <v>31846</v>
      </c>
      <c r="B309">
        <v>107.64</v>
      </c>
      <c r="C309">
        <v>1635.3</v>
      </c>
      <c r="D309">
        <v>1987.7</v>
      </c>
      <c r="E309">
        <v>290.86</v>
      </c>
      <c r="F309">
        <v>3604.82</v>
      </c>
      <c r="G309">
        <v>2731.05</v>
      </c>
      <c r="H309">
        <v>21214.46</v>
      </c>
    </row>
    <row r="310" spans="1:8" x14ac:dyDescent="0.3">
      <c r="A310" s="1">
        <v>31847</v>
      </c>
      <c r="B310">
        <v>109.19</v>
      </c>
      <c r="C310">
        <v>1634.2</v>
      </c>
      <c r="D310">
        <v>1979.4</v>
      </c>
      <c r="E310">
        <v>290.31</v>
      </c>
      <c r="F310">
        <v>3610.91</v>
      </c>
      <c r="G310">
        <v>2760.9</v>
      </c>
      <c r="H310">
        <v>21312.959999999999</v>
      </c>
    </row>
    <row r="311" spans="1:8" x14ac:dyDescent="0.3">
      <c r="A311" s="1">
        <v>31848</v>
      </c>
      <c r="B311">
        <v>109.85</v>
      </c>
      <c r="C311">
        <v>1625.7</v>
      </c>
      <c r="D311">
        <v>1989.7</v>
      </c>
      <c r="E311">
        <v>291.22000000000003</v>
      </c>
      <c r="F311">
        <v>3660.78</v>
      </c>
      <c r="G311">
        <v>2750.14</v>
      </c>
      <c r="H311">
        <v>21470.2</v>
      </c>
    </row>
    <row r="312" spans="1:8" x14ac:dyDescent="0.3">
      <c r="A312" s="1">
        <v>31849</v>
      </c>
      <c r="B312">
        <v>110.62</v>
      </c>
      <c r="C312">
        <v>1636.3</v>
      </c>
      <c r="D312">
        <v>2000</v>
      </c>
      <c r="E312">
        <v>289.89</v>
      </c>
      <c r="F312">
        <v>3677.74</v>
      </c>
      <c r="G312">
        <v>2721.17</v>
      </c>
      <c r="H312">
        <v>21497.95</v>
      </c>
    </row>
    <row r="313" spans="1:8" x14ac:dyDescent="0.3">
      <c r="A313" s="1">
        <v>31852</v>
      </c>
      <c r="B313">
        <v>109.5</v>
      </c>
      <c r="C313">
        <v>1629.1</v>
      </c>
      <c r="D313">
        <v>1991.8</v>
      </c>
      <c r="E313">
        <v>288.23</v>
      </c>
      <c r="F313">
        <v>3663.57</v>
      </c>
      <c r="G313">
        <v>2669.57</v>
      </c>
      <c r="H313">
        <v>21415.37</v>
      </c>
    </row>
    <row r="314" spans="1:8" x14ac:dyDescent="0.3">
      <c r="A314" s="1">
        <v>31853</v>
      </c>
      <c r="B314">
        <v>109.48</v>
      </c>
      <c r="C314">
        <v>1629.4</v>
      </c>
      <c r="D314">
        <v>2006.3</v>
      </c>
      <c r="E314">
        <v>292.47000000000003</v>
      </c>
      <c r="F314">
        <v>3723.52</v>
      </c>
      <c r="G314">
        <v>2629.28</v>
      </c>
      <c r="H314">
        <v>21514.73</v>
      </c>
    </row>
    <row r="315" spans="1:8" x14ac:dyDescent="0.3">
      <c r="A315" s="1">
        <v>31854</v>
      </c>
      <c r="B315">
        <v>108.83</v>
      </c>
      <c r="C315">
        <v>1639.2</v>
      </c>
      <c r="D315">
        <v>2006.6</v>
      </c>
      <c r="E315">
        <v>292.77999999999997</v>
      </c>
      <c r="F315">
        <v>3771.3</v>
      </c>
      <c r="G315">
        <v>2724.01</v>
      </c>
      <c r="H315">
        <v>21705.06</v>
      </c>
    </row>
    <row r="316" spans="1:8" x14ac:dyDescent="0.3">
      <c r="A316" s="1">
        <v>31855</v>
      </c>
      <c r="B316">
        <v>108.87</v>
      </c>
      <c r="C316">
        <v>1648.6</v>
      </c>
      <c r="D316">
        <v>1991</v>
      </c>
      <c r="E316">
        <v>294.08</v>
      </c>
      <c r="F316">
        <v>3800.22</v>
      </c>
      <c r="G316">
        <v>2721.28</v>
      </c>
      <c r="H316">
        <v>21644.32</v>
      </c>
    </row>
    <row r="317" spans="1:8" x14ac:dyDescent="0.3">
      <c r="A317" s="1">
        <v>31856</v>
      </c>
      <c r="B317">
        <v>109.49</v>
      </c>
      <c r="C317">
        <v>1652.2</v>
      </c>
      <c r="D317">
        <v>2017.5</v>
      </c>
      <c r="E317">
        <v>298.17</v>
      </c>
      <c r="F317">
        <v>3823.27</v>
      </c>
      <c r="G317">
        <v>2780.55</v>
      </c>
      <c r="H317">
        <v>21657.67</v>
      </c>
    </row>
    <row r="318" spans="1:8" x14ac:dyDescent="0.3">
      <c r="A318" s="1">
        <v>31859</v>
      </c>
      <c r="B318">
        <v>110.12</v>
      </c>
      <c r="C318">
        <v>1656.8</v>
      </c>
      <c r="D318">
        <v>2033</v>
      </c>
      <c r="E318">
        <v>301.16000000000003</v>
      </c>
      <c r="F318">
        <v>3832.34</v>
      </c>
      <c r="G318">
        <v>2813.4</v>
      </c>
      <c r="H318">
        <v>21588.25</v>
      </c>
    </row>
    <row r="319" spans="1:8" x14ac:dyDescent="0.3">
      <c r="A319" s="1">
        <v>31860</v>
      </c>
      <c r="B319">
        <v>109.49</v>
      </c>
      <c r="C319">
        <v>1663.8</v>
      </c>
      <c r="D319">
        <v>2056.1999999999998</v>
      </c>
      <c r="E319">
        <v>301.64</v>
      </c>
      <c r="F319">
        <v>3826.36</v>
      </c>
      <c r="G319">
        <v>2828.07</v>
      </c>
      <c r="H319">
        <v>21435.3</v>
      </c>
    </row>
    <row r="320" spans="1:8" x14ac:dyDescent="0.3">
      <c r="A320" s="1">
        <v>31861</v>
      </c>
      <c r="B320">
        <v>108.35</v>
      </c>
      <c r="C320">
        <v>1679</v>
      </c>
      <c r="D320">
        <v>2042.9</v>
      </c>
      <c r="E320">
        <v>300.38</v>
      </c>
      <c r="F320">
        <v>3818.78</v>
      </c>
      <c r="G320">
        <v>2831.5</v>
      </c>
      <c r="H320">
        <v>21472.97</v>
      </c>
    </row>
    <row r="321" spans="1:8" x14ac:dyDescent="0.3">
      <c r="A321" s="1">
        <v>31862</v>
      </c>
      <c r="B321">
        <v>108.58</v>
      </c>
      <c r="C321">
        <v>1690.1</v>
      </c>
      <c r="D321">
        <v>2037.8</v>
      </c>
      <c r="E321">
        <v>300.93</v>
      </c>
      <c r="F321">
        <v>3804.41</v>
      </c>
      <c r="G321">
        <v>2783.12</v>
      </c>
      <c r="H321">
        <v>21558.79</v>
      </c>
    </row>
    <row r="322" spans="1:8" x14ac:dyDescent="0.3">
      <c r="A322" s="1">
        <v>31863</v>
      </c>
      <c r="B322">
        <v>109.95</v>
      </c>
      <c r="C322">
        <v>1690.9</v>
      </c>
      <c r="D322">
        <v>2048.6</v>
      </c>
      <c r="E322">
        <v>296.13</v>
      </c>
      <c r="F322">
        <v>3795.64</v>
      </c>
      <c r="G322">
        <v>2798.74</v>
      </c>
      <c r="H322">
        <v>22026.66</v>
      </c>
    </row>
    <row r="323" spans="1:8" x14ac:dyDescent="0.3">
      <c r="A323" s="1">
        <v>31866</v>
      </c>
      <c r="B323">
        <v>108.99</v>
      </c>
      <c r="C323">
        <v>1711.5</v>
      </c>
      <c r="D323">
        <v>2002.5</v>
      </c>
      <c r="E323">
        <v>289.2</v>
      </c>
      <c r="F323">
        <v>3728.01</v>
      </c>
      <c r="G323">
        <v>2774.88</v>
      </c>
      <c r="H323">
        <v>21627.57</v>
      </c>
    </row>
    <row r="324" spans="1:8" x14ac:dyDescent="0.3">
      <c r="A324" s="1">
        <v>31867</v>
      </c>
      <c r="B324">
        <v>109.62</v>
      </c>
      <c r="C324">
        <v>1689.9</v>
      </c>
      <c r="D324">
        <v>1997.6</v>
      </c>
      <c r="E324">
        <v>291.7</v>
      </c>
      <c r="F324">
        <v>3730</v>
      </c>
      <c r="G324">
        <v>2713.81</v>
      </c>
      <c r="H324">
        <v>21566.66</v>
      </c>
    </row>
    <row r="325" spans="1:8" x14ac:dyDescent="0.3">
      <c r="A325" s="1">
        <v>31868</v>
      </c>
      <c r="B325">
        <v>110</v>
      </c>
      <c r="C325">
        <v>1691.1</v>
      </c>
      <c r="D325">
        <v>1973.1</v>
      </c>
      <c r="E325">
        <v>292.38</v>
      </c>
      <c r="F325">
        <v>3732.7</v>
      </c>
      <c r="G325">
        <v>2695.91</v>
      </c>
      <c r="H325">
        <v>22040.18</v>
      </c>
    </row>
    <row r="326" spans="1:8" x14ac:dyDescent="0.3">
      <c r="A326" s="1">
        <v>31869</v>
      </c>
      <c r="B326">
        <v>112.04</v>
      </c>
      <c r="C326">
        <v>1696.8</v>
      </c>
      <c r="D326">
        <v>1987.7</v>
      </c>
      <c r="E326">
        <v>293.63</v>
      </c>
      <c r="F326">
        <v>3774.49</v>
      </c>
      <c r="G326">
        <v>2709.41</v>
      </c>
      <c r="H326">
        <v>22367.72</v>
      </c>
    </row>
    <row r="327" spans="1:8" x14ac:dyDescent="0.3">
      <c r="A327" s="1">
        <v>31870</v>
      </c>
      <c r="B327">
        <v>112.17</v>
      </c>
      <c r="C327">
        <v>1721.5</v>
      </c>
      <c r="D327">
        <v>1965.1</v>
      </c>
      <c r="E327">
        <v>300.41000000000003</v>
      </c>
      <c r="F327">
        <v>3837.23</v>
      </c>
      <c r="G327">
        <v>2679.99</v>
      </c>
      <c r="H327">
        <v>22410.85</v>
      </c>
    </row>
    <row r="328" spans="1:8" x14ac:dyDescent="0.3">
      <c r="A328" s="1">
        <v>31873</v>
      </c>
      <c r="B328">
        <v>115.2</v>
      </c>
      <c r="C328">
        <v>1746.4</v>
      </c>
      <c r="D328">
        <v>1989.6</v>
      </c>
      <c r="E328">
        <v>301.95</v>
      </c>
      <c r="F328">
        <v>3871.34</v>
      </c>
      <c r="G328" t="e">
        <v>#N/A</v>
      </c>
      <c r="H328">
        <v>22586.11</v>
      </c>
    </row>
    <row r="329" spans="1:8" x14ac:dyDescent="0.3">
      <c r="A329" s="1">
        <v>31874</v>
      </c>
      <c r="B329">
        <v>116.16</v>
      </c>
      <c r="C329">
        <v>1755.1</v>
      </c>
      <c r="D329">
        <v>1987</v>
      </c>
      <c r="E329">
        <v>296.69</v>
      </c>
      <c r="F329">
        <v>3861.17</v>
      </c>
      <c r="G329">
        <v>2664.7</v>
      </c>
      <c r="H329">
        <v>22784.65</v>
      </c>
    </row>
    <row r="330" spans="1:8" x14ac:dyDescent="0.3">
      <c r="A330" s="1">
        <v>31875</v>
      </c>
      <c r="B330">
        <v>116.17</v>
      </c>
      <c r="C330">
        <v>1758.5</v>
      </c>
      <c r="D330">
        <v>1976.7</v>
      </c>
      <c r="E330">
        <v>297.26</v>
      </c>
      <c r="F330">
        <v>3857.08</v>
      </c>
      <c r="G330">
        <v>2729.55</v>
      </c>
      <c r="H330">
        <v>22912.99</v>
      </c>
    </row>
    <row r="331" spans="1:8" x14ac:dyDescent="0.3">
      <c r="A331" s="1">
        <v>31876</v>
      </c>
      <c r="B331">
        <v>115.06</v>
      </c>
      <c r="C331">
        <v>1771.2</v>
      </c>
      <c r="D331">
        <v>1962.8</v>
      </c>
      <c r="E331">
        <v>292.86</v>
      </c>
      <c r="F331">
        <v>3827.66</v>
      </c>
      <c r="G331">
        <v>2785.47</v>
      </c>
      <c r="H331">
        <v>22922.2</v>
      </c>
    </row>
    <row r="332" spans="1:8" x14ac:dyDescent="0.3">
      <c r="A332" s="1">
        <v>31877</v>
      </c>
      <c r="B332">
        <v>113.12</v>
      </c>
      <c r="C332">
        <v>1787.4</v>
      </c>
      <c r="D332">
        <v>1936.7</v>
      </c>
      <c r="E332">
        <v>292.49</v>
      </c>
      <c r="F332">
        <v>3832.04</v>
      </c>
      <c r="G332">
        <v>2766.41</v>
      </c>
      <c r="H332">
        <v>23216.59</v>
      </c>
    </row>
    <row r="333" spans="1:8" x14ac:dyDescent="0.3">
      <c r="A333" s="1">
        <v>31880</v>
      </c>
      <c r="B333">
        <v>112.54</v>
      </c>
      <c r="C333">
        <v>1799.7</v>
      </c>
      <c r="D333">
        <v>1917.1</v>
      </c>
      <c r="E333">
        <v>285.62</v>
      </c>
      <c r="F333">
        <v>3830.05</v>
      </c>
      <c r="G333">
        <v>2708.94</v>
      </c>
      <c r="H333">
        <v>22919.54</v>
      </c>
    </row>
    <row r="334" spans="1:8" x14ac:dyDescent="0.3">
      <c r="A334" s="1">
        <v>31881</v>
      </c>
      <c r="B334">
        <v>110.92</v>
      </c>
      <c r="C334">
        <v>1777.2</v>
      </c>
      <c r="D334">
        <v>1908.9</v>
      </c>
      <c r="E334">
        <v>279.16000000000003</v>
      </c>
      <c r="F334">
        <v>3763.82</v>
      </c>
      <c r="G334">
        <v>2668.35</v>
      </c>
      <c r="H334">
        <v>23524.080000000002</v>
      </c>
    </row>
    <row r="335" spans="1:8" x14ac:dyDescent="0.3">
      <c r="A335" s="1">
        <v>31882</v>
      </c>
      <c r="B335">
        <v>112.01</v>
      </c>
      <c r="C335">
        <v>1764.8</v>
      </c>
      <c r="D335">
        <v>1922.2</v>
      </c>
      <c r="E335">
        <v>284.44</v>
      </c>
      <c r="F335">
        <v>3762.42</v>
      </c>
      <c r="G335">
        <v>2693.62</v>
      </c>
      <c r="H335">
        <v>23510.69</v>
      </c>
    </row>
    <row r="336" spans="1:8" x14ac:dyDescent="0.3">
      <c r="A336" s="1">
        <v>31883</v>
      </c>
      <c r="B336">
        <v>112.98</v>
      </c>
      <c r="C336">
        <v>1763.5</v>
      </c>
      <c r="D336">
        <v>1949.4</v>
      </c>
      <c r="E336">
        <v>286.91000000000003</v>
      </c>
      <c r="F336">
        <v>3777.68</v>
      </c>
      <c r="G336">
        <v>2721.12</v>
      </c>
      <c r="H336">
        <v>23868.43</v>
      </c>
    </row>
    <row r="337" spans="1:8" x14ac:dyDescent="0.3">
      <c r="A337" s="1">
        <v>31884</v>
      </c>
      <c r="B337">
        <v>112.98</v>
      </c>
      <c r="G337" t="e">
        <v>#N/A</v>
      </c>
      <c r="H337">
        <v>23938.35</v>
      </c>
    </row>
    <row r="338" spans="1:8" x14ac:dyDescent="0.3">
      <c r="A338" s="1">
        <v>31887</v>
      </c>
      <c r="B338">
        <v>112.98</v>
      </c>
      <c r="E338">
        <v>286.08999999999997</v>
      </c>
      <c r="F338">
        <v>3795.64</v>
      </c>
      <c r="G338" t="e">
        <v>#N/A</v>
      </c>
      <c r="H338">
        <v>23895.22</v>
      </c>
    </row>
    <row r="339" spans="1:8" x14ac:dyDescent="0.3">
      <c r="A339" s="1">
        <v>31888</v>
      </c>
      <c r="B339">
        <v>111.68</v>
      </c>
      <c r="C339">
        <v>1763.3</v>
      </c>
      <c r="D339">
        <v>1940.2</v>
      </c>
      <c r="E339">
        <v>293.07</v>
      </c>
      <c r="F339">
        <v>3800.72</v>
      </c>
      <c r="G339">
        <v>2713.36</v>
      </c>
      <c r="H339">
        <v>23886.1</v>
      </c>
    </row>
    <row r="340" spans="1:8" x14ac:dyDescent="0.3">
      <c r="A340" s="1">
        <v>31889</v>
      </c>
      <c r="B340">
        <v>112.97</v>
      </c>
      <c r="C340">
        <v>1754.7</v>
      </c>
      <c r="D340">
        <v>1955.7</v>
      </c>
      <c r="E340">
        <v>287.19</v>
      </c>
      <c r="F340">
        <v>3778.88</v>
      </c>
      <c r="G340">
        <v>2716.89</v>
      </c>
      <c r="H340">
        <v>24097.79</v>
      </c>
    </row>
    <row r="341" spans="1:8" x14ac:dyDescent="0.3">
      <c r="A341" s="1">
        <v>31890</v>
      </c>
      <c r="B341">
        <v>112.03</v>
      </c>
      <c r="C341">
        <v>1743.3</v>
      </c>
      <c r="D341">
        <v>1968.3</v>
      </c>
      <c r="E341">
        <v>286.82</v>
      </c>
      <c r="F341">
        <v>3756.83</v>
      </c>
      <c r="G341">
        <v>2719.89</v>
      </c>
      <c r="H341">
        <v>24024.61</v>
      </c>
    </row>
    <row r="342" spans="1:8" x14ac:dyDescent="0.3">
      <c r="A342" s="1">
        <v>31891</v>
      </c>
      <c r="B342">
        <v>110.92</v>
      </c>
      <c r="C342">
        <v>1776.7</v>
      </c>
      <c r="D342">
        <v>2001.5</v>
      </c>
      <c r="E342">
        <v>281.52</v>
      </c>
      <c r="F342">
        <v>3723.82</v>
      </c>
      <c r="G342">
        <v>2707.61</v>
      </c>
      <c r="H342">
        <v>24006.37</v>
      </c>
    </row>
    <row r="343" spans="1:8" x14ac:dyDescent="0.3">
      <c r="A343" s="1">
        <v>31894</v>
      </c>
      <c r="B343">
        <v>108.47</v>
      </c>
      <c r="C343">
        <v>1799.9</v>
      </c>
      <c r="D343">
        <v>1986.6</v>
      </c>
      <c r="E343">
        <v>281.83</v>
      </c>
      <c r="F343">
        <v>3648.91</v>
      </c>
      <c r="G343">
        <v>2636.47</v>
      </c>
      <c r="H343">
        <v>23072.41</v>
      </c>
    </row>
    <row r="344" spans="1:8" x14ac:dyDescent="0.3">
      <c r="A344" s="1">
        <v>31895</v>
      </c>
      <c r="B344">
        <v>110.2</v>
      </c>
      <c r="C344">
        <v>1749.3</v>
      </c>
      <c r="D344">
        <v>2022.1</v>
      </c>
      <c r="E344">
        <v>282.51</v>
      </c>
      <c r="F344">
        <v>3676.04</v>
      </c>
      <c r="G344">
        <v>2617.08</v>
      </c>
      <c r="H344">
        <v>22889.86</v>
      </c>
    </row>
    <row r="345" spans="1:8" x14ac:dyDescent="0.3">
      <c r="A345" s="1">
        <v>31896</v>
      </c>
      <c r="B345">
        <v>109.67</v>
      </c>
      <c r="C345">
        <v>1756.8</v>
      </c>
      <c r="D345">
        <v>2038.6</v>
      </c>
      <c r="E345">
        <v>284.57</v>
      </c>
      <c r="F345">
        <v>3694.79</v>
      </c>
      <c r="G345">
        <v>2589.54</v>
      </c>
    </row>
    <row r="346" spans="1:8" x14ac:dyDescent="0.3">
      <c r="A346" s="1">
        <v>31897</v>
      </c>
      <c r="B346">
        <v>109.67</v>
      </c>
      <c r="C346">
        <v>1749.6</v>
      </c>
      <c r="D346">
        <v>2050.5</v>
      </c>
      <c r="E346">
        <v>288.36</v>
      </c>
      <c r="F346">
        <v>3707.26</v>
      </c>
      <c r="G346">
        <v>2659.85</v>
      </c>
      <c r="H346">
        <v>23274.83</v>
      </c>
    </row>
    <row r="347" spans="1:8" x14ac:dyDescent="0.3">
      <c r="A347" s="1">
        <v>31898</v>
      </c>
      <c r="B347">
        <v>109.31</v>
      </c>
      <c r="C347">
        <v>1753.3</v>
      </c>
      <c r="D347">
        <v>2068.5</v>
      </c>
      <c r="E347">
        <v>288.02999999999997</v>
      </c>
      <c r="F347">
        <v>3699.08</v>
      </c>
      <c r="G347">
        <v>2685.37</v>
      </c>
      <c r="H347">
        <v>23680.89</v>
      </c>
    </row>
    <row r="348" spans="1:8" x14ac:dyDescent="0.3">
      <c r="A348" s="1">
        <v>31901</v>
      </c>
      <c r="B348">
        <v>108.49</v>
      </c>
      <c r="C348">
        <v>1765.4</v>
      </c>
      <c r="E348">
        <v>289.36</v>
      </c>
      <c r="F348">
        <v>3720.83</v>
      </c>
      <c r="G348">
        <v>2685.75</v>
      </c>
    </row>
    <row r="349" spans="1:8" x14ac:dyDescent="0.3">
      <c r="A349" s="1">
        <v>31902</v>
      </c>
      <c r="B349">
        <v>108.4</v>
      </c>
      <c r="C349">
        <v>1790.6</v>
      </c>
      <c r="D349">
        <v>2065.1</v>
      </c>
      <c r="E349">
        <v>295.33999999999997</v>
      </c>
      <c r="F349">
        <v>3745.17</v>
      </c>
      <c r="G349">
        <v>2713.83</v>
      </c>
    </row>
    <row r="350" spans="1:8" x14ac:dyDescent="0.3">
      <c r="A350" s="1">
        <v>31903</v>
      </c>
      <c r="B350">
        <v>109.92</v>
      </c>
      <c r="C350">
        <v>1796</v>
      </c>
      <c r="D350">
        <v>2086.5</v>
      </c>
      <c r="E350">
        <v>295.47000000000003</v>
      </c>
      <c r="F350">
        <v>3757.93</v>
      </c>
      <c r="G350">
        <v>2792.89</v>
      </c>
      <c r="H350">
        <v>23918.560000000001</v>
      </c>
    </row>
    <row r="351" spans="1:8" x14ac:dyDescent="0.3">
      <c r="A351" s="1">
        <v>31904</v>
      </c>
      <c r="B351">
        <v>110.81</v>
      </c>
      <c r="C351">
        <v>1823.3</v>
      </c>
      <c r="D351">
        <v>2077.9</v>
      </c>
      <c r="E351">
        <v>294.70999999999998</v>
      </c>
      <c r="F351">
        <v>3784.07</v>
      </c>
      <c r="G351">
        <v>2785.56</v>
      </c>
      <c r="H351">
        <v>24207.55</v>
      </c>
    </row>
    <row r="352" spans="1:8" x14ac:dyDescent="0.3">
      <c r="A352" s="1">
        <v>31905</v>
      </c>
      <c r="B352">
        <v>111.12</v>
      </c>
      <c r="C352">
        <v>1827.1</v>
      </c>
      <c r="D352">
        <v>2126.5</v>
      </c>
      <c r="E352">
        <v>293.37</v>
      </c>
      <c r="F352">
        <v>3808.4</v>
      </c>
      <c r="G352">
        <v>2805.06</v>
      </c>
      <c r="H352">
        <v>24589.23</v>
      </c>
    </row>
    <row r="353" spans="1:8" x14ac:dyDescent="0.3">
      <c r="A353" s="1">
        <v>31908</v>
      </c>
      <c r="B353">
        <v>111.97</v>
      </c>
      <c r="C353">
        <v>1820.6</v>
      </c>
      <c r="D353">
        <v>2163.3000000000002</v>
      </c>
      <c r="E353">
        <v>291.57</v>
      </c>
      <c r="F353">
        <v>3814.79</v>
      </c>
      <c r="G353">
        <v>2846.93</v>
      </c>
      <c r="H353">
        <v>24608.22</v>
      </c>
    </row>
    <row r="354" spans="1:8" x14ac:dyDescent="0.3">
      <c r="A354" s="1">
        <v>31909</v>
      </c>
      <c r="B354">
        <v>111.34</v>
      </c>
      <c r="C354">
        <v>1843.7</v>
      </c>
      <c r="D354">
        <v>2143.3000000000002</v>
      </c>
      <c r="E354">
        <v>293.3</v>
      </c>
      <c r="F354">
        <v>3813.99</v>
      </c>
      <c r="G354">
        <v>2853.42</v>
      </c>
      <c r="H354">
        <v>24535.85</v>
      </c>
    </row>
    <row r="355" spans="1:8" x14ac:dyDescent="0.3">
      <c r="A355" s="1">
        <v>31910</v>
      </c>
      <c r="B355">
        <v>111.4</v>
      </c>
      <c r="C355">
        <v>1849.2</v>
      </c>
      <c r="D355">
        <v>2163.4</v>
      </c>
      <c r="E355">
        <v>293.98</v>
      </c>
      <c r="F355">
        <v>3819.97</v>
      </c>
      <c r="G355">
        <v>2833.53</v>
      </c>
      <c r="H355">
        <v>24363.19</v>
      </c>
    </row>
    <row r="356" spans="1:8" x14ac:dyDescent="0.3">
      <c r="A356" s="1">
        <v>31911</v>
      </c>
      <c r="B356">
        <v>111.3</v>
      </c>
      <c r="C356">
        <v>1848.5</v>
      </c>
      <c r="D356">
        <v>2180</v>
      </c>
      <c r="E356">
        <v>294.24</v>
      </c>
      <c r="F356">
        <v>3823.17</v>
      </c>
      <c r="G356">
        <v>2853.92</v>
      </c>
      <c r="H356">
        <v>24651.439999999999</v>
      </c>
    </row>
    <row r="357" spans="1:8" x14ac:dyDescent="0.3">
      <c r="A357" s="1">
        <v>31912</v>
      </c>
      <c r="B357">
        <v>111.12</v>
      </c>
      <c r="C357">
        <v>1848.5</v>
      </c>
      <c r="D357">
        <v>2189.6999999999998</v>
      </c>
      <c r="E357">
        <v>287.43</v>
      </c>
      <c r="F357">
        <v>3804.11</v>
      </c>
      <c r="G357">
        <v>2872.19</v>
      </c>
      <c r="H357">
        <v>24729.03</v>
      </c>
    </row>
    <row r="358" spans="1:8" x14ac:dyDescent="0.3">
      <c r="A358" s="1">
        <v>31915</v>
      </c>
      <c r="B358">
        <v>111.1</v>
      </c>
      <c r="C358">
        <v>1859.3</v>
      </c>
      <c r="D358">
        <v>2192.1</v>
      </c>
      <c r="E358">
        <v>286.64999999999998</v>
      </c>
      <c r="G358">
        <v>2875.45</v>
      </c>
      <c r="H358">
        <v>24298.98</v>
      </c>
    </row>
    <row r="359" spans="1:8" x14ac:dyDescent="0.3">
      <c r="A359" s="1">
        <v>31916</v>
      </c>
      <c r="B359">
        <v>111.66</v>
      </c>
      <c r="C359">
        <v>1838.7</v>
      </c>
      <c r="D359">
        <v>2214.3000000000002</v>
      </c>
      <c r="E359">
        <v>279.62</v>
      </c>
      <c r="F359">
        <v>3755.14</v>
      </c>
      <c r="G359">
        <v>2881.47</v>
      </c>
      <c r="H359">
        <v>24077.88</v>
      </c>
    </row>
    <row r="360" spans="1:8" x14ac:dyDescent="0.3">
      <c r="A360" s="1">
        <v>31917</v>
      </c>
      <c r="B360">
        <v>109.05</v>
      </c>
      <c r="C360">
        <v>1854.6</v>
      </c>
      <c r="D360">
        <v>2174</v>
      </c>
      <c r="E360">
        <v>278.20999999999998</v>
      </c>
      <c r="F360">
        <v>3710.85</v>
      </c>
      <c r="G360">
        <v>2878.1</v>
      </c>
      <c r="H360">
        <v>23419.599999999999</v>
      </c>
    </row>
    <row r="361" spans="1:8" x14ac:dyDescent="0.3">
      <c r="A361" s="1">
        <v>31918</v>
      </c>
      <c r="B361">
        <v>109.81</v>
      </c>
      <c r="C361">
        <v>1842.9</v>
      </c>
      <c r="D361">
        <v>2153.6999999999998</v>
      </c>
      <c r="E361">
        <v>280.17</v>
      </c>
      <c r="F361">
        <v>3687.51</v>
      </c>
      <c r="G361">
        <v>2870.91</v>
      </c>
      <c r="H361">
        <v>23754.01</v>
      </c>
    </row>
    <row r="362" spans="1:8" x14ac:dyDescent="0.3">
      <c r="A362" s="1">
        <v>31919</v>
      </c>
      <c r="B362">
        <v>109.08</v>
      </c>
      <c r="C362">
        <v>1826.1</v>
      </c>
      <c r="D362">
        <v>2167.5</v>
      </c>
      <c r="E362">
        <v>282.16000000000003</v>
      </c>
      <c r="F362">
        <v>3669.56</v>
      </c>
      <c r="G362">
        <v>2897.62</v>
      </c>
      <c r="H362">
        <v>24156.71</v>
      </c>
    </row>
    <row r="363" spans="1:8" x14ac:dyDescent="0.3">
      <c r="A363" s="1">
        <v>31922</v>
      </c>
      <c r="B363">
        <v>108.43</v>
      </c>
      <c r="C363">
        <v>1802.3</v>
      </c>
      <c r="G363">
        <v>2926.1</v>
      </c>
      <c r="H363">
        <v>24582.77</v>
      </c>
    </row>
    <row r="364" spans="1:8" x14ac:dyDescent="0.3">
      <c r="A364" s="1">
        <v>31923</v>
      </c>
      <c r="B364">
        <v>109.21</v>
      </c>
      <c r="C364">
        <v>1803</v>
      </c>
      <c r="D364">
        <v>2153.4</v>
      </c>
      <c r="E364">
        <v>289.11</v>
      </c>
      <c r="F364">
        <v>3666.47</v>
      </c>
      <c r="G364">
        <v>2935.88</v>
      </c>
      <c r="H364">
        <v>24580.87</v>
      </c>
    </row>
    <row r="365" spans="1:8" x14ac:dyDescent="0.3">
      <c r="A365" s="1">
        <v>31924</v>
      </c>
      <c r="B365">
        <v>109</v>
      </c>
      <c r="C365">
        <v>1756.7</v>
      </c>
      <c r="D365">
        <v>2145.6999999999998</v>
      </c>
      <c r="E365">
        <v>288.73</v>
      </c>
      <c r="F365">
        <v>3675.44</v>
      </c>
      <c r="G365">
        <v>2942.92</v>
      </c>
      <c r="H365">
        <v>24539.75</v>
      </c>
    </row>
    <row r="366" spans="1:8" x14ac:dyDescent="0.3">
      <c r="A366" s="1">
        <v>31925</v>
      </c>
      <c r="B366">
        <v>109</v>
      </c>
      <c r="C366">
        <v>1744.6</v>
      </c>
      <c r="D366">
        <v>2157.4</v>
      </c>
      <c r="E366">
        <v>290.76</v>
      </c>
      <c r="F366">
        <v>3678.93</v>
      </c>
      <c r="G366">
        <v>2950.81</v>
      </c>
      <c r="H366">
        <v>24433.65</v>
      </c>
    </row>
    <row r="367" spans="1:8" x14ac:dyDescent="0.3">
      <c r="A367" s="1">
        <v>31926</v>
      </c>
      <c r="B367">
        <v>109.15</v>
      </c>
      <c r="C367">
        <v>1770.8</v>
      </c>
      <c r="D367">
        <v>2203</v>
      </c>
      <c r="E367">
        <v>290.10000000000002</v>
      </c>
      <c r="F367">
        <v>3675.84</v>
      </c>
      <c r="G367">
        <v>2919.7</v>
      </c>
      <c r="H367">
        <v>24772.39</v>
      </c>
    </row>
    <row r="368" spans="1:8" x14ac:dyDescent="0.3">
      <c r="A368" s="1">
        <v>31929</v>
      </c>
      <c r="B368">
        <v>109.25</v>
      </c>
      <c r="C368">
        <v>1776.2</v>
      </c>
      <c r="D368">
        <v>2228.1999999999998</v>
      </c>
      <c r="E368">
        <v>289.83</v>
      </c>
      <c r="F368">
        <v>3650.31</v>
      </c>
      <c r="G368" t="e">
        <v>#N/A</v>
      </c>
      <c r="H368">
        <v>24992.78</v>
      </c>
    </row>
    <row r="369" spans="1:8" x14ac:dyDescent="0.3">
      <c r="A369" s="1">
        <v>31930</v>
      </c>
      <c r="B369">
        <v>107.74</v>
      </c>
      <c r="C369">
        <v>1758.3</v>
      </c>
      <c r="D369">
        <v>2219.6</v>
      </c>
      <c r="E369">
        <v>288.45999999999998</v>
      </c>
      <c r="F369">
        <v>3667.16</v>
      </c>
      <c r="G369">
        <v>2934.19</v>
      </c>
      <c r="H369">
        <v>24902.63</v>
      </c>
    </row>
    <row r="370" spans="1:8" x14ac:dyDescent="0.3">
      <c r="A370" s="1">
        <v>31931</v>
      </c>
      <c r="B370">
        <v>108.09</v>
      </c>
      <c r="C370">
        <v>1776.2</v>
      </c>
      <c r="D370">
        <v>2235.4</v>
      </c>
      <c r="E370">
        <v>293.47000000000003</v>
      </c>
      <c r="F370">
        <v>3691.5</v>
      </c>
      <c r="G370">
        <v>2985.1</v>
      </c>
      <c r="H370">
        <v>25049.4</v>
      </c>
    </row>
    <row r="371" spans="1:8" x14ac:dyDescent="0.3">
      <c r="A371" s="1">
        <v>31932</v>
      </c>
      <c r="B371">
        <v>108.8</v>
      </c>
      <c r="C371">
        <v>1772.4</v>
      </c>
      <c r="D371">
        <v>2214.1999999999998</v>
      </c>
      <c r="E371">
        <v>295.08999999999997</v>
      </c>
      <c r="F371">
        <v>3716.74</v>
      </c>
      <c r="G371">
        <v>3023.6</v>
      </c>
      <c r="H371">
        <v>25366.11</v>
      </c>
    </row>
    <row r="372" spans="1:8" x14ac:dyDescent="0.3">
      <c r="A372" s="1">
        <v>31933</v>
      </c>
      <c r="B372">
        <v>108.25</v>
      </c>
      <c r="C372">
        <v>1777.9</v>
      </c>
      <c r="D372">
        <v>2228.8000000000002</v>
      </c>
      <c r="E372">
        <v>293.45</v>
      </c>
      <c r="F372">
        <v>3718.53</v>
      </c>
      <c r="G372">
        <v>3064.33</v>
      </c>
      <c r="H372">
        <v>25271.3</v>
      </c>
    </row>
    <row r="373" spans="1:8" x14ac:dyDescent="0.3">
      <c r="A373" s="1">
        <v>31936</v>
      </c>
      <c r="B373">
        <v>108.25</v>
      </c>
      <c r="D373">
        <v>2228.4</v>
      </c>
      <c r="E373">
        <v>296.72000000000003</v>
      </c>
      <c r="F373">
        <v>3719.83</v>
      </c>
      <c r="G373">
        <v>3068.06</v>
      </c>
      <c r="H373">
        <v>25523.89</v>
      </c>
    </row>
    <row r="374" spans="1:8" x14ac:dyDescent="0.3">
      <c r="A374" s="1">
        <v>31937</v>
      </c>
      <c r="B374">
        <v>108.16</v>
      </c>
      <c r="C374">
        <v>1781.5</v>
      </c>
      <c r="D374">
        <v>2265.1999999999998</v>
      </c>
      <c r="E374">
        <v>297.27999999999997</v>
      </c>
      <c r="F374">
        <v>3708.36</v>
      </c>
      <c r="G374">
        <v>3108.57</v>
      </c>
      <c r="H374">
        <v>25379.88</v>
      </c>
    </row>
    <row r="375" spans="1:8" x14ac:dyDescent="0.3">
      <c r="A375" s="1">
        <v>31938</v>
      </c>
      <c r="B375">
        <v>108.49</v>
      </c>
      <c r="C375">
        <v>1788.4</v>
      </c>
      <c r="D375">
        <v>2256.1</v>
      </c>
      <c r="E375">
        <v>297.47000000000003</v>
      </c>
      <c r="F375">
        <v>3700.38</v>
      </c>
      <c r="G375">
        <v>3097.33</v>
      </c>
      <c r="H375">
        <v>25738.959999999999</v>
      </c>
    </row>
    <row r="376" spans="1:8" x14ac:dyDescent="0.3">
      <c r="A376" s="1">
        <v>31939</v>
      </c>
      <c r="B376">
        <v>108.64</v>
      </c>
      <c r="C376">
        <v>1803.6</v>
      </c>
      <c r="D376">
        <v>2249.3000000000002</v>
      </c>
      <c r="E376">
        <v>298.73</v>
      </c>
      <c r="F376">
        <v>3716.94</v>
      </c>
      <c r="G376">
        <v>3087.52</v>
      </c>
      <c r="H376">
        <v>25890.95</v>
      </c>
    </row>
    <row r="377" spans="1:8" x14ac:dyDescent="0.3">
      <c r="A377" s="1">
        <v>31940</v>
      </c>
      <c r="B377">
        <v>108.9</v>
      </c>
      <c r="C377">
        <v>1827.8</v>
      </c>
      <c r="D377">
        <v>2289.5</v>
      </c>
      <c r="E377">
        <v>301.62</v>
      </c>
      <c r="F377">
        <v>3715.94</v>
      </c>
      <c r="G377">
        <v>3129.88</v>
      </c>
      <c r="H377">
        <v>25894.27</v>
      </c>
    </row>
    <row r="378" spans="1:8" x14ac:dyDescent="0.3">
      <c r="A378" s="1">
        <v>31943</v>
      </c>
      <c r="B378">
        <v>109.95</v>
      </c>
      <c r="C378">
        <v>1818.4</v>
      </c>
      <c r="D378">
        <v>2307.6</v>
      </c>
      <c r="E378">
        <v>303.14</v>
      </c>
      <c r="F378">
        <v>3708.86</v>
      </c>
      <c r="G378" t="e">
        <v>#N/A</v>
      </c>
      <c r="H378">
        <v>25756.44</v>
      </c>
    </row>
    <row r="379" spans="1:8" x14ac:dyDescent="0.3">
      <c r="A379" s="1">
        <v>31944</v>
      </c>
      <c r="B379">
        <v>110.85</v>
      </c>
      <c r="C379">
        <v>1807.9</v>
      </c>
      <c r="D379">
        <v>2309</v>
      </c>
      <c r="E379">
        <v>304.76</v>
      </c>
      <c r="F379">
        <v>3687.71</v>
      </c>
      <c r="G379">
        <v>3170.88</v>
      </c>
      <c r="H379">
        <v>25738.86</v>
      </c>
    </row>
    <row r="380" spans="1:8" x14ac:dyDescent="0.3">
      <c r="A380" s="1">
        <v>31945</v>
      </c>
      <c r="B380">
        <v>112.53</v>
      </c>
      <c r="C380">
        <v>1802.8</v>
      </c>
      <c r="D380">
        <v>2320.4</v>
      </c>
      <c r="E380">
        <v>304.81</v>
      </c>
      <c r="F380">
        <v>3709.66</v>
      </c>
      <c r="G380">
        <v>3178.62</v>
      </c>
      <c r="H380">
        <v>25929.42</v>
      </c>
    </row>
    <row r="381" spans="1:8" x14ac:dyDescent="0.3">
      <c r="A381" s="1">
        <v>31946</v>
      </c>
      <c r="B381">
        <v>112.21</v>
      </c>
      <c r="C381">
        <v>1798.3</v>
      </c>
      <c r="D381">
        <v>2293.1999999999998</v>
      </c>
      <c r="E381">
        <v>305.69</v>
      </c>
      <c r="F381">
        <v>3711.15</v>
      </c>
      <c r="G381">
        <v>3133.74</v>
      </c>
      <c r="H381">
        <v>25750.55</v>
      </c>
    </row>
    <row r="382" spans="1:8" x14ac:dyDescent="0.3">
      <c r="A382" s="1">
        <v>31947</v>
      </c>
      <c r="B382">
        <v>113.5</v>
      </c>
      <c r="C382">
        <v>1798.1</v>
      </c>
      <c r="D382">
        <v>2266.1</v>
      </c>
      <c r="E382">
        <v>306.97000000000003</v>
      </c>
      <c r="F382">
        <v>3730.7</v>
      </c>
      <c r="G382">
        <v>3165.64</v>
      </c>
      <c r="H382">
        <v>25288.12</v>
      </c>
    </row>
    <row r="383" spans="1:8" x14ac:dyDescent="0.3">
      <c r="A383" s="1">
        <v>31950</v>
      </c>
      <c r="B383">
        <v>115.4</v>
      </c>
      <c r="C383">
        <v>1774.1</v>
      </c>
      <c r="D383">
        <v>2244.6</v>
      </c>
      <c r="E383">
        <v>309.64999999999998</v>
      </c>
      <c r="F383">
        <v>3697.19</v>
      </c>
      <c r="G383">
        <v>3131.19</v>
      </c>
      <c r="H383">
        <v>24640.35</v>
      </c>
    </row>
    <row r="384" spans="1:8" x14ac:dyDescent="0.3">
      <c r="A384" s="1">
        <v>31951</v>
      </c>
      <c r="B384">
        <v>115.25</v>
      </c>
      <c r="C384">
        <v>1742</v>
      </c>
      <c r="D384">
        <v>2265.5</v>
      </c>
      <c r="E384">
        <v>308.43</v>
      </c>
      <c r="F384">
        <v>3681.63</v>
      </c>
      <c r="G384">
        <v>3110.41</v>
      </c>
      <c r="H384">
        <v>24794.91</v>
      </c>
    </row>
    <row r="385" spans="1:8" x14ac:dyDescent="0.3">
      <c r="A385" s="1">
        <v>31952</v>
      </c>
      <c r="B385">
        <v>115</v>
      </c>
      <c r="C385">
        <v>1739.5</v>
      </c>
      <c r="D385">
        <v>2284</v>
      </c>
      <c r="E385">
        <v>306.86</v>
      </c>
      <c r="F385">
        <v>3683.12</v>
      </c>
      <c r="G385">
        <v>3178.98</v>
      </c>
      <c r="H385">
        <v>24892.75</v>
      </c>
    </row>
    <row r="386" spans="1:8" x14ac:dyDescent="0.3">
      <c r="A386" s="1">
        <v>31953</v>
      </c>
      <c r="B386">
        <v>117.14</v>
      </c>
      <c r="C386">
        <v>1742.9</v>
      </c>
      <c r="D386">
        <v>2277.1999999999998</v>
      </c>
      <c r="E386">
        <v>308.95999999999998</v>
      </c>
      <c r="F386">
        <v>3696.59</v>
      </c>
      <c r="G386">
        <v>3136.31</v>
      </c>
      <c r="H386">
        <v>25031.35</v>
      </c>
    </row>
    <row r="387" spans="1:8" x14ac:dyDescent="0.3">
      <c r="A387" s="1">
        <v>31954</v>
      </c>
      <c r="B387">
        <v>117.6</v>
      </c>
      <c r="C387">
        <v>1748.2</v>
      </c>
      <c r="D387">
        <v>2291.3000000000002</v>
      </c>
      <c r="E387">
        <v>307.16000000000003</v>
      </c>
      <c r="F387">
        <v>3717.73</v>
      </c>
      <c r="G387">
        <v>3138.68</v>
      </c>
      <c r="H387">
        <v>25049.83</v>
      </c>
    </row>
    <row r="388" spans="1:8" x14ac:dyDescent="0.3">
      <c r="A388" s="1">
        <v>31957</v>
      </c>
      <c r="B388">
        <v>117.91</v>
      </c>
      <c r="C388">
        <v>1761.9</v>
      </c>
      <c r="D388">
        <v>2289.3000000000002</v>
      </c>
      <c r="E388">
        <v>307.89999999999998</v>
      </c>
      <c r="F388">
        <v>3724.02</v>
      </c>
      <c r="G388">
        <v>3151.98</v>
      </c>
      <c r="H388">
        <v>24509.41</v>
      </c>
    </row>
    <row r="389" spans="1:8" x14ac:dyDescent="0.3">
      <c r="A389" s="1">
        <v>31958</v>
      </c>
      <c r="B389">
        <v>117.56</v>
      </c>
      <c r="C389">
        <v>1765.8</v>
      </c>
      <c r="D389">
        <v>2284.1</v>
      </c>
      <c r="E389">
        <v>304</v>
      </c>
      <c r="F389">
        <v>3730.7</v>
      </c>
      <c r="G389">
        <v>3178.19</v>
      </c>
      <c r="H389">
        <v>24176.400000000001</v>
      </c>
    </row>
    <row r="390" spans="1:8" x14ac:dyDescent="0.3">
      <c r="A390" s="1">
        <v>31959</v>
      </c>
      <c r="B390">
        <v>116.39</v>
      </c>
      <c r="C390">
        <v>1774</v>
      </c>
      <c r="D390">
        <v>2269.8000000000002</v>
      </c>
      <c r="E390">
        <v>302.94</v>
      </c>
      <c r="G390">
        <v>3163.99</v>
      </c>
      <c r="H390">
        <v>24252.38</v>
      </c>
    </row>
    <row r="391" spans="1:8" x14ac:dyDescent="0.3">
      <c r="A391" s="1">
        <v>31960</v>
      </c>
      <c r="B391">
        <v>117.84</v>
      </c>
      <c r="C391">
        <v>1800</v>
      </c>
      <c r="D391">
        <v>2297.4</v>
      </c>
      <c r="E391">
        <v>305.63</v>
      </c>
      <c r="F391">
        <v>3758.03</v>
      </c>
      <c r="G391">
        <v>3229.15</v>
      </c>
      <c r="H391">
        <v>24636.46</v>
      </c>
    </row>
    <row r="392" spans="1:8" x14ac:dyDescent="0.3">
      <c r="A392" s="1">
        <v>31961</v>
      </c>
      <c r="B392">
        <v>119.28</v>
      </c>
      <c r="C392">
        <v>1833.7</v>
      </c>
      <c r="D392">
        <v>2328.1</v>
      </c>
      <c r="F392">
        <v>3798.33</v>
      </c>
      <c r="G392">
        <v>3208.84</v>
      </c>
      <c r="H392">
        <v>24465.48</v>
      </c>
    </row>
    <row r="393" spans="1:8" x14ac:dyDescent="0.3">
      <c r="A393" s="1">
        <v>31964</v>
      </c>
      <c r="B393">
        <v>120.27</v>
      </c>
      <c r="C393">
        <v>1833.4</v>
      </c>
      <c r="D393">
        <v>2351.9</v>
      </c>
      <c r="E393">
        <v>304.92</v>
      </c>
      <c r="F393">
        <v>3826.76</v>
      </c>
      <c r="G393">
        <v>3220.68</v>
      </c>
      <c r="H393">
        <v>23870.86</v>
      </c>
    </row>
    <row r="394" spans="1:8" x14ac:dyDescent="0.3">
      <c r="A394" s="1">
        <v>31965</v>
      </c>
      <c r="B394">
        <v>119.92</v>
      </c>
      <c r="C394">
        <v>1862.8</v>
      </c>
      <c r="D394">
        <v>2365.4</v>
      </c>
      <c r="E394">
        <v>307.39999999999998</v>
      </c>
      <c r="F394">
        <v>3874.64</v>
      </c>
      <c r="G394">
        <v>3236.41</v>
      </c>
      <c r="H394">
        <v>23816.09</v>
      </c>
    </row>
    <row r="395" spans="1:8" x14ac:dyDescent="0.3">
      <c r="A395" s="1">
        <v>31966</v>
      </c>
      <c r="B395">
        <v>119.38</v>
      </c>
      <c r="C395">
        <v>1883.5</v>
      </c>
      <c r="D395">
        <v>2356.9</v>
      </c>
      <c r="E395">
        <v>308.29000000000002</v>
      </c>
      <c r="F395">
        <v>3926.6</v>
      </c>
      <c r="G395">
        <v>3251.38</v>
      </c>
      <c r="H395">
        <v>23472.42</v>
      </c>
    </row>
    <row r="396" spans="1:8" x14ac:dyDescent="0.3">
      <c r="A396" s="1">
        <v>31967</v>
      </c>
      <c r="B396">
        <v>118.6</v>
      </c>
      <c r="C396">
        <v>1898.6</v>
      </c>
      <c r="D396">
        <v>2371</v>
      </c>
      <c r="E396">
        <v>307.52</v>
      </c>
      <c r="F396">
        <v>3922.51</v>
      </c>
      <c r="G396">
        <v>3225.97</v>
      </c>
      <c r="H396">
        <v>23755.9</v>
      </c>
    </row>
    <row r="397" spans="1:8" x14ac:dyDescent="0.3">
      <c r="A397" s="1">
        <v>31968</v>
      </c>
      <c r="B397">
        <v>118.9</v>
      </c>
      <c r="C397">
        <v>1915.2</v>
      </c>
      <c r="D397">
        <v>2382</v>
      </c>
      <c r="E397">
        <v>308.37</v>
      </c>
      <c r="F397">
        <v>3915.03</v>
      </c>
      <c r="G397">
        <v>3207.21</v>
      </c>
      <c r="H397">
        <v>24102.99</v>
      </c>
    </row>
    <row r="398" spans="1:8" x14ac:dyDescent="0.3">
      <c r="A398" s="1">
        <v>31971</v>
      </c>
      <c r="B398">
        <v>119.49</v>
      </c>
      <c r="C398">
        <v>1930.7</v>
      </c>
      <c r="D398">
        <v>2386.6</v>
      </c>
      <c r="E398">
        <v>307.63</v>
      </c>
      <c r="F398">
        <v>3915.43</v>
      </c>
      <c r="G398">
        <v>3216.11</v>
      </c>
      <c r="H398">
        <v>24118.01</v>
      </c>
    </row>
    <row r="399" spans="1:8" x14ac:dyDescent="0.3">
      <c r="A399" s="1">
        <v>31972</v>
      </c>
      <c r="B399">
        <v>120.24</v>
      </c>
      <c r="C399">
        <v>1927</v>
      </c>
      <c r="D399">
        <v>2403</v>
      </c>
      <c r="E399">
        <v>310.68</v>
      </c>
      <c r="F399">
        <v>3946.95</v>
      </c>
      <c r="G399">
        <v>3253.42</v>
      </c>
      <c r="H399">
        <v>23931.53</v>
      </c>
    </row>
    <row r="400" spans="1:8" x14ac:dyDescent="0.3">
      <c r="A400" s="1">
        <v>31973</v>
      </c>
      <c r="B400">
        <v>120.02</v>
      </c>
      <c r="C400">
        <v>1934.2</v>
      </c>
      <c r="D400">
        <v>2419.1999999999998</v>
      </c>
      <c r="E400">
        <v>310.42</v>
      </c>
      <c r="F400">
        <v>3967.3</v>
      </c>
      <c r="G400">
        <v>3262.3</v>
      </c>
      <c r="H400">
        <v>23969.759999999998</v>
      </c>
    </row>
    <row r="401" spans="1:8" x14ac:dyDescent="0.3">
      <c r="A401" s="1">
        <v>31974</v>
      </c>
      <c r="B401">
        <v>121.59</v>
      </c>
      <c r="C401">
        <v>1960</v>
      </c>
      <c r="D401">
        <v>2443.4</v>
      </c>
      <c r="E401">
        <v>312.7</v>
      </c>
      <c r="F401">
        <v>3987.85</v>
      </c>
      <c r="G401">
        <v>3305.82</v>
      </c>
      <c r="H401">
        <v>24003.61</v>
      </c>
    </row>
    <row r="402" spans="1:8" x14ac:dyDescent="0.3">
      <c r="A402" s="1">
        <v>31975</v>
      </c>
      <c r="B402">
        <v>123.3</v>
      </c>
      <c r="C402">
        <v>1975.4</v>
      </c>
      <c r="D402">
        <v>2428.6999999999998</v>
      </c>
      <c r="E402">
        <v>314.58999999999997</v>
      </c>
      <c r="F402">
        <v>3974.18</v>
      </c>
      <c r="G402">
        <v>3342.13</v>
      </c>
      <c r="H402">
        <v>23983.45</v>
      </c>
    </row>
    <row r="403" spans="1:8" x14ac:dyDescent="0.3">
      <c r="A403" s="1">
        <v>31978</v>
      </c>
      <c r="B403">
        <v>123.1</v>
      </c>
      <c r="C403">
        <v>1977.7</v>
      </c>
      <c r="D403">
        <v>2400.6999999999998</v>
      </c>
      <c r="E403">
        <v>311.39</v>
      </c>
      <c r="F403">
        <v>3965.9</v>
      </c>
      <c r="G403">
        <v>3386.09</v>
      </c>
      <c r="H403">
        <v>23328.639999999999</v>
      </c>
    </row>
    <row r="404" spans="1:8" x14ac:dyDescent="0.3">
      <c r="A404" s="1">
        <v>31979</v>
      </c>
      <c r="B404">
        <v>123.64</v>
      </c>
      <c r="C404">
        <v>1973.3</v>
      </c>
      <c r="D404">
        <v>2390.5</v>
      </c>
      <c r="E404">
        <v>308.55</v>
      </c>
      <c r="F404">
        <v>3943.56</v>
      </c>
      <c r="G404">
        <v>3353.78</v>
      </c>
      <c r="H404">
        <v>23078.36</v>
      </c>
    </row>
    <row r="405" spans="1:8" x14ac:dyDescent="0.3">
      <c r="A405" s="1">
        <v>31980</v>
      </c>
      <c r="B405">
        <v>122.37</v>
      </c>
      <c r="C405">
        <v>1961.5</v>
      </c>
      <c r="D405">
        <v>2344.5</v>
      </c>
      <c r="E405">
        <v>308.47000000000003</v>
      </c>
      <c r="F405">
        <v>3930.29</v>
      </c>
      <c r="G405">
        <v>3380.41</v>
      </c>
      <c r="H405">
        <v>22702.74</v>
      </c>
    </row>
    <row r="406" spans="1:8" x14ac:dyDescent="0.3">
      <c r="A406" s="1">
        <v>31981</v>
      </c>
      <c r="B406">
        <v>121.6</v>
      </c>
      <c r="C406">
        <v>1984.9</v>
      </c>
      <c r="D406">
        <v>2340.1999999999998</v>
      </c>
      <c r="E406">
        <v>307.81</v>
      </c>
      <c r="F406">
        <v>3935.98</v>
      </c>
      <c r="G406">
        <v>3366.82</v>
      </c>
      <c r="H406">
        <v>23036.52</v>
      </c>
    </row>
    <row r="407" spans="1:8" x14ac:dyDescent="0.3">
      <c r="A407" s="1">
        <v>31982</v>
      </c>
      <c r="B407">
        <v>121.72</v>
      </c>
      <c r="C407">
        <v>1998</v>
      </c>
      <c r="D407">
        <v>2346.9</v>
      </c>
      <c r="E407">
        <v>309.27</v>
      </c>
      <c r="F407">
        <v>3946.25</v>
      </c>
      <c r="G407">
        <v>3343.6</v>
      </c>
      <c r="H407">
        <v>23942.94</v>
      </c>
    </row>
    <row r="408" spans="1:8" x14ac:dyDescent="0.3">
      <c r="A408" s="1">
        <v>31985</v>
      </c>
      <c r="B408">
        <v>121.96</v>
      </c>
      <c r="C408">
        <v>1998.1</v>
      </c>
      <c r="D408">
        <v>2333.9</v>
      </c>
      <c r="E408">
        <v>310.64999999999998</v>
      </c>
      <c r="F408">
        <v>3936.28</v>
      </c>
      <c r="G408">
        <v>3346.87</v>
      </c>
      <c r="H408">
        <v>24104.98</v>
      </c>
    </row>
    <row r="409" spans="1:8" x14ac:dyDescent="0.3">
      <c r="A409" s="1">
        <v>31986</v>
      </c>
      <c r="B409">
        <v>122.06</v>
      </c>
      <c r="C409">
        <v>1981</v>
      </c>
      <c r="D409">
        <v>2359.9</v>
      </c>
      <c r="E409">
        <v>312.33</v>
      </c>
      <c r="F409">
        <v>3946.15</v>
      </c>
      <c r="G409">
        <v>3337.46</v>
      </c>
      <c r="H409">
        <v>24385.82</v>
      </c>
    </row>
    <row r="410" spans="1:8" x14ac:dyDescent="0.3">
      <c r="A410" s="1">
        <v>31987</v>
      </c>
      <c r="B410">
        <v>122.96</v>
      </c>
      <c r="C410">
        <v>1999.9</v>
      </c>
      <c r="D410">
        <v>2383.1</v>
      </c>
      <c r="E410">
        <v>315.64999999999998</v>
      </c>
      <c r="F410">
        <v>3990.64</v>
      </c>
      <c r="G410">
        <v>3389.73</v>
      </c>
      <c r="H410">
        <v>24427.119999999999</v>
      </c>
    </row>
    <row r="411" spans="1:8" x14ac:dyDescent="0.3">
      <c r="A411" s="1">
        <v>31988</v>
      </c>
      <c r="B411">
        <v>124.67</v>
      </c>
      <c r="C411">
        <v>2022.4</v>
      </c>
      <c r="D411">
        <v>2370.5</v>
      </c>
      <c r="E411">
        <v>318.05</v>
      </c>
      <c r="F411">
        <v>4013.28</v>
      </c>
      <c r="G411">
        <v>3419.28</v>
      </c>
      <c r="H411">
        <v>24510.37</v>
      </c>
    </row>
    <row r="412" spans="1:8" x14ac:dyDescent="0.3">
      <c r="A412" s="1">
        <v>31989</v>
      </c>
      <c r="B412">
        <v>124.14</v>
      </c>
      <c r="C412">
        <v>2030.2</v>
      </c>
      <c r="D412">
        <v>2360.9</v>
      </c>
      <c r="E412">
        <v>318.66000000000003</v>
      </c>
      <c r="F412">
        <v>4020.16</v>
      </c>
      <c r="G412">
        <v>3479.24</v>
      </c>
      <c r="H412">
        <v>24488.11</v>
      </c>
    </row>
    <row r="413" spans="1:8" x14ac:dyDescent="0.3">
      <c r="A413" s="1">
        <v>31992</v>
      </c>
      <c r="B413">
        <v>122.65</v>
      </c>
      <c r="C413">
        <v>2060.6</v>
      </c>
      <c r="D413">
        <v>2334.3000000000002</v>
      </c>
      <c r="E413">
        <v>317.57</v>
      </c>
      <c r="G413">
        <v>3514.25</v>
      </c>
      <c r="H413">
        <v>24483.82</v>
      </c>
    </row>
    <row r="414" spans="1:8" x14ac:dyDescent="0.3">
      <c r="A414" s="1">
        <v>31993</v>
      </c>
      <c r="B414">
        <v>124.95</v>
      </c>
      <c r="C414">
        <v>2087.8000000000002</v>
      </c>
      <c r="D414">
        <v>2307.8000000000002</v>
      </c>
      <c r="E414">
        <v>316.23</v>
      </c>
      <c r="F414">
        <v>4044.6</v>
      </c>
      <c r="G414">
        <v>3531.88</v>
      </c>
      <c r="H414">
        <v>24172.6</v>
      </c>
    </row>
    <row r="415" spans="1:8" x14ac:dyDescent="0.3">
      <c r="A415" s="1">
        <v>31994</v>
      </c>
      <c r="B415">
        <v>126.73</v>
      </c>
      <c r="C415">
        <v>2088.1</v>
      </c>
      <c r="D415">
        <v>2317.4</v>
      </c>
      <c r="E415">
        <v>318.45</v>
      </c>
      <c r="F415">
        <v>4030.64</v>
      </c>
      <c r="G415">
        <v>3517.13</v>
      </c>
      <c r="H415">
        <v>24297.15</v>
      </c>
    </row>
    <row r="416" spans="1:8" x14ac:dyDescent="0.3">
      <c r="A416" s="1">
        <v>31995</v>
      </c>
      <c r="B416">
        <v>127.51</v>
      </c>
      <c r="C416">
        <v>2083.4</v>
      </c>
      <c r="D416">
        <v>2261.4</v>
      </c>
      <c r="E416">
        <v>322.08999999999997</v>
      </c>
      <c r="F416">
        <v>4029.44</v>
      </c>
      <c r="G416">
        <v>3497.95</v>
      </c>
      <c r="H416">
        <v>24658.23</v>
      </c>
    </row>
    <row r="417" spans="1:8" x14ac:dyDescent="0.3">
      <c r="A417" s="1">
        <v>31996</v>
      </c>
      <c r="B417">
        <v>128.53</v>
      </c>
      <c r="C417">
        <v>2083.8000000000002</v>
      </c>
      <c r="D417">
        <v>2226.1999999999998</v>
      </c>
      <c r="E417">
        <v>323</v>
      </c>
      <c r="F417">
        <v>4027.85</v>
      </c>
      <c r="G417">
        <v>3536.19</v>
      </c>
      <c r="H417">
        <v>24800.95</v>
      </c>
    </row>
    <row r="418" spans="1:8" x14ac:dyDescent="0.3">
      <c r="A418" s="1">
        <v>31999</v>
      </c>
      <c r="B418">
        <v>129.30000000000001</v>
      </c>
      <c r="C418">
        <v>2079.3000000000002</v>
      </c>
      <c r="D418">
        <v>2242.1999999999998</v>
      </c>
      <c r="E418">
        <v>328</v>
      </c>
      <c r="F418">
        <v>4057.17</v>
      </c>
      <c r="G418">
        <v>3543.76</v>
      </c>
      <c r="H418">
        <v>25119.7</v>
      </c>
    </row>
    <row r="419" spans="1:8" x14ac:dyDescent="0.3">
      <c r="A419" s="1">
        <v>32000</v>
      </c>
      <c r="B419">
        <v>129.80000000000001</v>
      </c>
      <c r="C419">
        <v>2084.1999999999998</v>
      </c>
      <c r="D419">
        <v>2275.4</v>
      </c>
      <c r="E419">
        <v>333.33</v>
      </c>
      <c r="F419">
        <v>4093.68</v>
      </c>
      <c r="G419">
        <v>3546.52</v>
      </c>
      <c r="H419">
        <v>25282.97</v>
      </c>
    </row>
    <row r="420" spans="1:8" x14ac:dyDescent="0.3">
      <c r="A420" s="1">
        <v>32001</v>
      </c>
      <c r="B420">
        <v>128.44999999999999</v>
      </c>
      <c r="C420">
        <v>2095.9</v>
      </c>
      <c r="D420">
        <v>2286.1</v>
      </c>
      <c r="E420">
        <v>332.39</v>
      </c>
      <c r="F420">
        <v>4094.58</v>
      </c>
      <c r="G420">
        <v>3557.43</v>
      </c>
      <c r="H420">
        <v>25560.23</v>
      </c>
    </row>
    <row r="421" spans="1:8" x14ac:dyDescent="0.3">
      <c r="A421" s="1">
        <v>32002</v>
      </c>
      <c r="B421">
        <v>128.24</v>
      </c>
      <c r="C421">
        <v>2104.6</v>
      </c>
      <c r="D421">
        <v>2290.1</v>
      </c>
      <c r="E421">
        <v>334.65</v>
      </c>
      <c r="F421">
        <v>4102.46</v>
      </c>
      <c r="G421">
        <v>3514.27</v>
      </c>
      <c r="H421">
        <v>25575.74</v>
      </c>
    </row>
    <row r="422" spans="1:8" x14ac:dyDescent="0.3">
      <c r="A422" s="1">
        <v>32003</v>
      </c>
      <c r="B422">
        <v>127.8</v>
      </c>
      <c r="C422">
        <v>2114.5</v>
      </c>
      <c r="D422">
        <v>2295.4</v>
      </c>
      <c r="E422">
        <v>333.99</v>
      </c>
      <c r="F422">
        <v>4072.83</v>
      </c>
      <c r="G422">
        <v>3512.15</v>
      </c>
      <c r="H422">
        <v>25494.01</v>
      </c>
    </row>
    <row r="423" spans="1:8" x14ac:dyDescent="0.3">
      <c r="A423" s="1">
        <v>32006</v>
      </c>
      <c r="B423">
        <v>128.02000000000001</v>
      </c>
      <c r="C423">
        <v>2110.4</v>
      </c>
      <c r="D423">
        <v>2295.4</v>
      </c>
      <c r="E423">
        <v>334.11</v>
      </c>
      <c r="F423">
        <v>4061.96</v>
      </c>
      <c r="G423">
        <v>3510.66</v>
      </c>
      <c r="H423">
        <v>25378.880000000001</v>
      </c>
    </row>
    <row r="424" spans="1:8" x14ac:dyDescent="0.3">
      <c r="A424" s="1">
        <v>32007</v>
      </c>
      <c r="B424">
        <v>124.97</v>
      </c>
      <c r="C424">
        <v>2108.5</v>
      </c>
      <c r="D424">
        <v>2224.8000000000002</v>
      </c>
      <c r="E424">
        <v>329.25</v>
      </c>
      <c r="F424">
        <v>4022.26</v>
      </c>
      <c r="G424">
        <v>3504.87</v>
      </c>
      <c r="H424">
        <v>25344.34</v>
      </c>
    </row>
    <row r="425" spans="1:8" x14ac:dyDescent="0.3">
      <c r="A425" s="1">
        <v>32008</v>
      </c>
      <c r="B425">
        <v>125.43</v>
      </c>
      <c r="C425">
        <v>2103</v>
      </c>
      <c r="D425">
        <v>2197.6</v>
      </c>
      <c r="E425">
        <v>329.83</v>
      </c>
      <c r="F425">
        <v>4006.7</v>
      </c>
      <c r="G425">
        <v>3450.64</v>
      </c>
      <c r="H425">
        <v>25231.59</v>
      </c>
    </row>
    <row r="426" spans="1:8" x14ac:dyDescent="0.3">
      <c r="A426" s="1">
        <v>32009</v>
      </c>
      <c r="B426">
        <v>126.6</v>
      </c>
      <c r="C426">
        <v>2085.1</v>
      </c>
      <c r="D426">
        <v>2185.3000000000002</v>
      </c>
      <c r="E426">
        <v>334.84</v>
      </c>
      <c r="F426">
        <v>4036.22</v>
      </c>
      <c r="G426">
        <v>3408.01</v>
      </c>
      <c r="H426">
        <v>25396.57</v>
      </c>
    </row>
    <row r="427" spans="1:8" x14ac:dyDescent="0.3">
      <c r="A427" s="1">
        <v>32010</v>
      </c>
      <c r="B427">
        <v>127.15</v>
      </c>
      <c r="C427">
        <v>2087.1</v>
      </c>
      <c r="D427">
        <v>2205.8000000000002</v>
      </c>
      <c r="E427">
        <v>335.9</v>
      </c>
      <c r="F427">
        <v>4030.04</v>
      </c>
      <c r="G427">
        <v>3446.59</v>
      </c>
      <c r="H427">
        <v>25559.18</v>
      </c>
    </row>
    <row r="428" spans="1:8" x14ac:dyDescent="0.3">
      <c r="A428" s="1">
        <v>32013</v>
      </c>
      <c r="B428">
        <v>127.24</v>
      </c>
      <c r="C428">
        <v>2085.6</v>
      </c>
      <c r="D428">
        <v>2225.1</v>
      </c>
      <c r="E428">
        <v>333.33</v>
      </c>
      <c r="F428">
        <v>4009.99</v>
      </c>
      <c r="G428">
        <v>3391.26</v>
      </c>
      <c r="H428">
        <v>25754.33</v>
      </c>
    </row>
    <row r="429" spans="1:8" x14ac:dyDescent="0.3">
      <c r="A429" s="1">
        <v>32014</v>
      </c>
      <c r="B429">
        <v>128.24</v>
      </c>
      <c r="C429">
        <v>2102.5</v>
      </c>
      <c r="D429">
        <v>2248.1</v>
      </c>
      <c r="E429">
        <v>336.77</v>
      </c>
      <c r="F429">
        <v>4023.46</v>
      </c>
      <c r="G429">
        <v>3447.3</v>
      </c>
      <c r="H429">
        <v>25643.39</v>
      </c>
    </row>
    <row r="430" spans="1:8" x14ac:dyDescent="0.3">
      <c r="A430" s="1">
        <v>32015</v>
      </c>
      <c r="B430">
        <v>128.19999999999999</v>
      </c>
      <c r="C430">
        <v>2120.6999999999998</v>
      </c>
      <c r="D430">
        <v>2249.6</v>
      </c>
      <c r="E430">
        <v>334.57</v>
      </c>
      <c r="F430">
        <v>3997.82</v>
      </c>
      <c r="G430">
        <v>3526.26</v>
      </c>
      <c r="H430">
        <v>25875.74</v>
      </c>
    </row>
    <row r="431" spans="1:8" x14ac:dyDescent="0.3">
      <c r="A431" s="1">
        <v>32016</v>
      </c>
      <c r="B431">
        <v>125.86</v>
      </c>
      <c r="C431">
        <v>2155.5</v>
      </c>
      <c r="D431">
        <v>2245.8000000000002</v>
      </c>
      <c r="E431">
        <v>331.38</v>
      </c>
      <c r="F431">
        <v>3984.95</v>
      </c>
      <c r="G431">
        <v>3583.33</v>
      </c>
      <c r="H431">
        <v>25968.78</v>
      </c>
    </row>
    <row r="432" spans="1:8" x14ac:dyDescent="0.3">
      <c r="A432" s="1">
        <v>32017</v>
      </c>
      <c r="B432">
        <v>125.12</v>
      </c>
      <c r="C432">
        <v>2163.1</v>
      </c>
      <c r="D432">
        <v>2249.6999999999998</v>
      </c>
      <c r="E432">
        <v>327.04000000000002</v>
      </c>
      <c r="F432">
        <v>3965.2</v>
      </c>
      <c r="G432">
        <v>3611.74</v>
      </c>
      <c r="H432">
        <v>25974.959999999999</v>
      </c>
    </row>
    <row r="433" spans="1:8" x14ac:dyDescent="0.3">
      <c r="A433" s="1">
        <v>32020</v>
      </c>
      <c r="B433">
        <v>123.57</v>
      </c>
      <c r="C433">
        <v>2150</v>
      </c>
      <c r="E433">
        <v>329.8</v>
      </c>
      <c r="F433">
        <v>3983.46</v>
      </c>
      <c r="G433" t="e">
        <v>#N/A</v>
      </c>
      <c r="H433">
        <v>26029.22</v>
      </c>
    </row>
    <row r="434" spans="1:8" x14ac:dyDescent="0.3">
      <c r="A434" s="1">
        <v>32021</v>
      </c>
      <c r="B434">
        <v>124.7</v>
      </c>
      <c r="C434">
        <v>2157.6999999999998</v>
      </c>
      <c r="D434">
        <v>2272.8000000000002</v>
      </c>
      <c r="E434">
        <v>323.39999999999998</v>
      </c>
      <c r="F434">
        <v>3972.09</v>
      </c>
      <c r="G434">
        <v>3644.28</v>
      </c>
      <c r="H434">
        <v>26118.42</v>
      </c>
    </row>
    <row r="435" spans="1:8" x14ac:dyDescent="0.3">
      <c r="A435" s="1">
        <v>32022</v>
      </c>
      <c r="B435">
        <v>122.52</v>
      </c>
      <c r="C435">
        <v>2176.9</v>
      </c>
      <c r="D435">
        <v>2249.5</v>
      </c>
      <c r="E435">
        <v>321.68</v>
      </c>
      <c r="F435">
        <v>3967.8</v>
      </c>
      <c r="G435">
        <v>3635.86</v>
      </c>
      <c r="H435">
        <v>25946.6</v>
      </c>
    </row>
    <row r="436" spans="1:8" x14ac:dyDescent="0.3">
      <c r="A436" s="1">
        <v>32023</v>
      </c>
      <c r="B436">
        <v>122.15</v>
      </c>
      <c r="C436">
        <v>2203.6999999999998</v>
      </c>
      <c r="D436">
        <v>2268.1</v>
      </c>
      <c r="E436">
        <v>320.20999999999998</v>
      </c>
      <c r="F436">
        <v>3952.54</v>
      </c>
      <c r="G436">
        <v>3653.95</v>
      </c>
      <c r="H436">
        <v>25649.88</v>
      </c>
    </row>
    <row r="437" spans="1:8" x14ac:dyDescent="0.3">
      <c r="A437" s="1">
        <v>32024</v>
      </c>
      <c r="B437">
        <v>121.14</v>
      </c>
      <c r="C437">
        <v>2194.9</v>
      </c>
      <c r="D437">
        <v>2274.9</v>
      </c>
      <c r="E437">
        <v>316.7</v>
      </c>
      <c r="F437">
        <v>3945.36</v>
      </c>
      <c r="G437">
        <v>3654.48</v>
      </c>
      <c r="H437">
        <v>25744.03</v>
      </c>
    </row>
    <row r="438" spans="1:8" x14ac:dyDescent="0.3">
      <c r="A438" s="1">
        <v>32027</v>
      </c>
      <c r="B438">
        <v>119.05</v>
      </c>
      <c r="C438">
        <v>2210.1999999999998</v>
      </c>
      <c r="D438">
        <v>2283.6</v>
      </c>
      <c r="G438">
        <v>3646.33</v>
      </c>
      <c r="H438">
        <v>25004.09</v>
      </c>
    </row>
    <row r="439" spans="1:8" x14ac:dyDescent="0.3">
      <c r="A439" s="1">
        <v>32028</v>
      </c>
      <c r="B439">
        <v>120.51</v>
      </c>
      <c r="C439">
        <v>2207.8000000000002</v>
      </c>
      <c r="D439">
        <v>2275</v>
      </c>
      <c r="E439">
        <v>313.56</v>
      </c>
      <c r="F439">
        <v>3890</v>
      </c>
      <c r="G439">
        <v>3601.54</v>
      </c>
      <c r="H439">
        <v>25204.09</v>
      </c>
    </row>
    <row r="440" spans="1:8" x14ac:dyDescent="0.3">
      <c r="A440" s="1">
        <v>32029</v>
      </c>
      <c r="B440">
        <v>120.96</v>
      </c>
      <c r="C440">
        <v>2188.5</v>
      </c>
      <c r="D440">
        <v>2249.1</v>
      </c>
      <c r="E440">
        <v>313.92</v>
      </c>
      <c r="F440">
        <v>3878.92</v>
      </c>
      <c r="G440">
        <v>3577.64</v>
      </c>
      <c r="H440">
        <v>24937.93</v>
      </c>
    </row>
    <row r="441" spans="1:8" x14ac:dyDescent="0.3">
      <c r="A441" s="1">
        <v>32030</v>
      </c>
      <c r="B441">
        <v>122.39</v>
      </c>
      <c r="C441">
        <v>2185</v>
      </c>
      <c r="D441">
        <v>2253.1999999999998</v>
      </c>
      <c r="E441">
        <v>317.13</v>
      </c>
      <c r="F441">
        <v>3918.82</v>
      </c>
      <c r="G441">
        <v>3600.96</v>
      </c>
      <c r="H441">
        <v>24795.24</v>
      </c>
    </row>
    <row r="442" spans="1:8" x14ac:dyDescent="0.3">
      <c r="A442" s="1">
        <v>32031</v>
      </c>
      <c r="B442">
        <v>121.72</v>
      </c>
      <c r="C442">
        <v>2206.6999999999998</v>
      </c>
      <c r="D442">
        <v>2261.1999999999998</v>
      </c>
      <c r="E442">
        <v>321.98</v>
      </c>
      <c r="F442">
        <v>3930.79</v>
      </c>
      <c r="G442">
        <v>3660.5</v>
      </c>
      <c r="H442">
        <v>24828.27</v>
      </c>
    </row>
    <row r="443" spans="1:8" x14ac:dyDescent="0.3">
      <c r="A443" s="1">
        <v>32034</v>
      </c>
      <c r="B443">
        <v>123.95</v>
      </c>
      <c r="C443">
        <v>2206</v>
      </c>
      <c r="D443">
        <v>2271.8000000000002</v>
      </c>
      <c r="E443">
        <v>323.08</v>
      </c>
      <c r="F443">
        <v>3930.09</v>
      </c>
      <c r="G443">
        <v>3649.84</v>
      </c>
      <c r="H443">
        <v>24954.02</v>
      </c>
    </row>
    <row r="444" spans="1:8" x14ac:dyDescent="0.3">
      <c r="A444" s="1">
        <v>32035</v>
      </c>
      <c r="B444">
        <v>123.44</v>
      </c>
      <c r="C444">
        <v>2230.6</v>
      </c>
      <c r="D444">
        <v>2264.5</v>
      </c>
      <c r="E444">
        <v>317.74</v>
      </c>
      <c r="F444">
        <v>3911.64</v>
      </c>
      <c r="G444">
        <v>3646.92</v>
      </c>
    </row>
    <row r="445" spans="1:8" x14ac:dyDescent="0.3">
      <c r="A445" s="1">
        <v>32036</v>
      </c>
      <c r="B445">
        <v>122.01</v>
      </c>
      <c r="C445">
        <v>2274.5</v>
      </c>
      <c r="D445">
        <v>2279.8000000000002</v>
      </c>
      <c r="E445">
        <v>314.86</v>
      </c>
      <c r="F445">
        <v>3898.28</v>
      </c>
      <c r="G445">
        <v>3604.64</v>
      </c>
      <c r="H445">
        <v>24967.73</v>
      </c>
    </row>
    <row r="446" spans="1:8" x14ac:dyDescent="0.3">
      <c r="A446" s="1">
        <v>32037</v>
      </c>
      <c r="B446">
        <v>120.45</v>
      </c>
      <c r="C446">
        <v>2283.9</v>
      </c>
      <c r="D446">
        <v>2304.5</v>
      </c>
      <c r="E446">
        <v>314.93</v>
      </c>
      <c r="F446">
        <v>3891.09</v>
      </c>
      <c r="G446">
        <v>3571.36</v>
      </c>
      <c r="H446">
        <v>24855.31</v>
      </c>
    </row>
    <row r="447" spans="1:8" x14ac:dyDescent="0.3">
      <c r="A447" s="1">
        <v>32038</v>
      </c>
      <c r="B447">
        <v>120.76</v>
      </c>
      <c r="C447">
        <v>2305.4</v>
      </c>
      <c r="D447">
        <v>2328.3000000000002</v>
      </c>
      <c r="E447">
        <v>314.86</v>
      </c>
      <c r="F447">
        <v>3903.66</v>
      </c>
      <c r="G447">
        <v>3649.96</v>
      </c>
      <c r="H447">
        <v>24844.84</v>
      </c>
    </row>
    <row r="448" spans="1:8" x14ac:dyDescent="0.3">
      <c r="A448" s="1">
        <v>32041</v>
      </c>
      <c r="B448">
        <v>120.55</v>
      </c>
      <c r="C448">
        <v>2305.9</v>
      </c>
      <c r="D448">
        <v>2334.8000000000002</v>
      </c>
      <c r="E448">
        <v>310.54000000000002</v>
      </c>
      <c r="F448">
        <v>3876.53</v>
      </c>
      <c r="G448">
        <v>3667.95</v>
      </c>
      <c r="H448">
        <v>24912.42</v>
      </c>
    </row>
    <row r="449" spans="1:8" x14ac:dyDescent="0.3">
      <c r="A449" s="1">
        <v>32042</v>
      </c>
      <c r="B449">
        <v>118.86</v>
      </c>
      <c r="C449">
        <v>2291.6999999999998</v>
      </c>
      <c r="D449">
        <v>2336.1999999999998</v>
      </c>
      <c r="E449">
        <v>319.5</v>
      </c>
      <c r="F449">
        <v>3881.92</v>
      </c>
      <c r="G449">
        <v>3695.53</v>
      </c>
      <c r="H449">
        <v>24866.06</v>
      </c>
    </row>
    <row r="450" spans="1:8" x14ac:dyDescent="0.3">
      <c r="A450" s="1">
        <v>32043</v>
      </c>
      <c r="B450">
        <v>121.93</v>
      </c>
      <c r="C450">
        <v>2271</v>
      </c>
      <c r="D450">
        <v>2352.4</v>
      </c>
      <c r="E450">
        <v>321.19</v>
      </c>
      <c r="F450">
        <v>3909.45</v>
      </c>
      <c r="G450">
        <v>3763.11</v>
      </c>
    </row>
    <row r="451" spans="1:8" x14ac:dyDescent="0.3">
      <c r="A451" s="1">
        <v>32044</v>
      </c>
      <c r="B451">
        <v>120.05</v>
      </c>
      <c r="C451">
        <v>2277.6</v>
      </c>
      <c r="D451">
        <v>2313.4</v>
      </c>
      <c r="E451">
        <v>319.72000000000003</v>
      </c>
      <c r="F451">
        <v>3928.2</v>
      </c>
      <c r="G451">
        <v>3768.42</v>
      </c>
      <c r="H451">
        <v>24944.880000000001</v>
      </c>
    </row>
    <row r="452" spans="1:8" x14ac:dyDescent="0.3">
      <c r="A452" s="1">
        <v>32045</v>
      </c>
      <c r="B452">
        <v>120.52</v>
      </c>
      <c r="C452">
        <v>2282.5</v>
      </c>
      <c r="D452">
        <v>2342.6</v>
      </c>
      <c r="E452">
        <v>320.16000000000003</v>
      </c>
      <c r="F452">
        <v>3926.5</v>
      </c>
      <c r="G452">
        <v>3840.11</v>
      </c>
      <c r="H452">
        <v>25095.86</v>
      </c>
    </row>
    <row r="453" spans="1:8" x14ac:dyDescent="0.3">
      <c r="A453" s="1">
        <v>32048</v>
      </c>
      <c r="B453">
        <v>121.57</v>
      </c>
      <c r="C453">
        <v>2274.4</v>
      </c>
      <c r="D453">
        <v>2368.1</v>
      </c>
      <c r="E453">
        <v>323.2</v>
      </c>
      <c r="F453">
        <v>3918.92</v>
      </c>
      <c r="G453">
        <v>3884.65</v>
      </c>
      <c r="H453">
        <v>25837.34</v>
      </c>
    </row>
    <row r="454" spans="1:8" x14ac:dyDescent="0.3">
      <c r="A454" s="1">
        <v>32049</v>
      </c>
      <c r="B454">
        <v>121.61</v>
      </c>
      <c r="C454">
        <v>2262.8000000000002</v>
      </c>
      <c r="D454">
        <v>2368.3000000000002</v>
      </c>
      <c r="E454">
        <v>321.69</v>
      </c>
      <c r="F454">
        <v>3899.77</v>
      </c>
      <c r="G454">
        <v>3859.48</v>
      </c>
      <c r="H454">
        <v>25998</v>
      </c>
    </row>
    <row r="455" spans="1:8" x14ac:dyDescent="0.3">
      <c r="A455" s="1">
        <v>32050</v>
      </c>
      <c r="B455">
        <v>121.3</v>
      </c>
      <c r="C455">
        <v>2247.6</v>
      </c>
      <c r="D455">
        <v>2366</v>
      </c>
      <c r="E455">
        <v>321.83</v>
      </c>
      <c r="F455">
        <v>3892.49</v>
      </c>
      <c r="G455">
        <v>3943.64</v>
      </c>
      <c r="H455">
        <v>26010.880000000001</v>
      </c>
    </row>
    <row r="456" spans="1:8" x14ac:dyDescent="0.3">
      <c r="A456" s="1">
        <v>32051</v>
      </c>
      <c r="B456">
        <v>121.67</v>
      </c>
      <c r="C456">
        <v>2247.6</v>
      </c>
      <c r="D456">
        <v>2373.8000000000002</v>
      </c>
      <c r="E456">
        <v>327.33</v>
      </c>
      <c r="F456">
        <v>3888.1</v>
      </c>
      <c r="G456">
        <v>3949.73</v>
      </c>
      <c r="H456">
        <v>25721.74</v>
      </c>
    </row>
    <row r="457" spans="1:8" x14ac:dyDescent="0.3">
      <c r="A457" s="1">
        <v>32052</v>
      </c>
      <c r="B457">
        <v>121.66</v>
      </c>
      <c r="C457">
        <v>2247.6</v>
      </c>
      <c r="D457">
        <v>2382.1999999999998</v>
      </c>
      <c r="E457">
        <v>328.07</v>
      </c>
      <c r="F457">
        <v>3883.61</v>
      </c>
      <c r="G457">
        <v>3932.04</v>
      </c>
      <c r="H457">
        <v>25862.45</v>
      </c>
    </row>
    <row r="458" spans="1:8" x14ac:dyDescent="0.3">
      <c r="A458" s="1">
        <v>32055</v>
      </c>
      <c r="B458">
        <v>122.01</v>
      </c>
      <c r="C458">
        <v>2247.6</v>
      </c>
      <c r="D458">
        <v>2385.8000000000002</v>
      </c>
      <c r="E458">
        <v>328.08</v>
      </c>
      <c r="F458">
        <v>3908.15</v>
      </c>
      <c r="G458">
        <v>3944.24</v>
      </c>
      <c r="H458">
        <v>26018.33</v>
      </c>
    </row>
    <row r="459" spans="1:8" x14ac:dyDescent="0.3">
      <c r="A459" s="1">
        <v>32056</v>
      </c>
      <c r="B459">
        <v>120.68</v>
      </c>
      <c r="C459">
        <v>2247</v>
      </c>
      <c r="D459">
        <v>2367.9</v>
      </c>
      <c r="E459">
        <v>319.22000000000003</v>
      </c>
      <c r="F459">
        <v>3851.99</v>
      </c>
      <c r="G459">
        <v>3906.44</v>
      </c>
      <c r="H459">
        <v>26088.97</v>
      </c>
    </row>
    <row r="460" spans="1:8" x14ac:dyDescent="0.3">
      <c r="A460" s="1">
        <v>32057</v>
      </c>
      <c r="B460">
        <v>119.39</v>
      </c>
      <c r="C460">
        <v>2217.3000000000002</v>
      </c>
      <c r="D460">
        <v>2359.8000000000002</v>
      </c>
      <c r="E460">
        <v>318.54000000000002</v>
      </c>
      <c r="F460">
        <v>3828.65</v>
      </c>
      <c r="G460">
        <v>3936.13</v>
      </c>
      <c r="H460">
        <v>25952.27</v>
      </c>
    </row>
    <row r="461" spans="1:8" x14ac:dyDescent="0.3">
      <c r="A461" s="1">
        <v>32058</v>
      </c>
      <c r="B461">
        <v>119.72</v>
      </c>
      <c r="C461">
        <v>2223</v>
      </c>
      <c r="D461">
        <v>2375.5</v>
      </c>
      <c r="E461">
        <v>314.16000000000003</v>
      </c>
      <c r="F461">
        <v>3796.63</v>
      </c>
      <c r="G461" t="e">
        <v>#N/A</v>
      </c>
      <c r="H461">
        <v>26286.75</v>
      </c>
    </row>
    <row r="462" spans="1:8" x14ac:dyDescent="0.3">
      <c r="A462" s="1">
        <v>32059</v>
      </c>
      <c r="B462">
        <v>118.01</v>
      </c>
      <c r="C462">
        <v>2220.5</v>
      </c>
      <c r="D462">
        <v>2366.5</v>
      </c>
      <c r="E462">
        <v>311.07</v>
      </c>
      <c r="F462">
        <v>3771.6</v>
      </c>
      <c r="G462">
        <v>3882.42</v>
      </c>
      <c r="H462">
        <v>26338.77</v>
      </c>
    </row>
    <row r="463" spans="1:8" x14ac:dyDescent="0.3">
      <c r="A463" s="1">
        <v>32062</v>
      </c>
      <c r="B463">
        <v>116.52</v>
      </c>
      <c r="C463">
        <v>2185</v>
      </c>
      <c r="D463">
        <v>2338.5</v>
      </c>
      <c r="E463">
        <v>309.39</v>
      </c>
      <c r="G463">
        <v>3900.17</v>
      </c>
      <c r="H463">
        <v>26284.65</v>
      </c>
    </row>
    <row r="464" spans="1:8" x14ac:dyDescent="0.3">
      <c r="A464" s="1">
        <v>32063</v>
      </c>
      <c r="B464">
        <v>117.44</v>
      </c>
      <c r="C464">
        <v>2167.3000000000002</v>
      </c>
      <c r="D464">
        <v>2350.1999999999998</v>
      </c>
      <c r="E464">
        <v>314.52</v>
      </c>
      <c r="F464">
        <v>3750.25</v>
      </c>
      <c r="G464">
        <v>3841.28</v>
      </c>
      <c r="H464">
        <v>26400.63</v>
      </c>
    </row>
    <row r="465" spans="1:8" x14ac:dyDescent="0.3">
      <c r="A465" s="1">
        <v>32064</v>
      </c>
      <c r="B465">
        <v>115.23</v>
      </c>
      <c r="C465">
        <v>2184.9</v>
      </c>
      <c r="D465">
        <v>2322.9</v>
      </c>
      <c r="E465">
        <v>305.23</v>
      </c>
      <c r="F465">
        <v>3710.05</v>
      </c>
      <c r="G465">
        <v>3812.8</v>
      </c>
      <c r="H465">
        <v>26646.43</v>
      </c>
    </row>
    <row r="466" spans="1:8" x14ac:dyDescent="0.3">
      <c r="A466" s="1">
        <v>32065</v>
      </c>
      <c r="B466">
        <v>112.77</v>
      </c>
      <c r="C466">
        <v>2146.4</v>
      </c>
      <c r="D466">
        <v>2301.9</v>
      </c>
      <c r="E466">
        <v>298.08</v>
      </c>
      <c r="F466">
        <v>3665.57</v>
      </c>
      <c r="G466">
        <v>3828.64</v>
      </c>
      <c r="H466">
        <v>26428.22</v>
      </c>
    </row>
    <row r="467" spans="1:8" x14ac:dyDescent="0.3">
      <c r="A467" s="1">
        <v>32066</v>
      </c>
      <c r="B467">
        <v>112.12</v>
      </c>
      <c r="C467">
        <v>2144.9</v>
      </c>
      <c r="D467">
        <v>2301.9</v>
      </c>
      <c r="E467">
        <v>282.7</v>
      </c>
      <c r="F467">
        <v>3589.46</v>
      </c>
      <c r="G467">
        <v>3783.2</v>
      </c>
      <c r="H467">
        <v>26366.74</v>
      </c>
    </row>
    <row r="468" spans="1:8" x14ac:dyDescent="0.3">
      <c r="A468" s="1">
        <v>32069</v>
      </c>
      <c r="B468">
        <v>98.67</v>
      </c>
      <c r="C468">
        <v>2065.4</v>
      </c>
      <c r="D468">
        <v>2052.3000000000002</v>
      </c>
      <c r="E468">
        <v>224.84</v>
      </c>
      <c r="F468">
        <v>3190.08</v>
      </c>
      <c r="G468">
        <v>3362.39</v>
      </c>
      <c r="H468">
        <v>25746.560000000001</v>
      </c>
    </row>
    <row r="469" spans="1:8" x14ac:dyDescent="0.3">
      <c r="A469" s="1">
        <v>32070</v>
      </c>
      <c r="B469">
        <v>92.83</v>
      </c>
      <c r="C469">
        <v>1549.9</v>
      </c>
      <c r="D469">
        <v>1801.6</v>
      </c>
      <c r="E469">
        <v>236.83</v>
      </c>
      <c r="F469">
        <v>2969.74</v>
      </c>
      <c r="G469" t="e">
        <v>#N/A</v>
      </c>
      <c r="H469">
        <v>21910.080000000002</v>
      </c>
    </row>
    <row r="470" spans="1:8" x14ac:dyDescent="0.3">
      <c r="A470" s="1">
        <v>32071</v>
      </c>
      <c r="B470">
        <v>101.38</v>
      </c>
      <c r="C470">
        <v>1568.6</v>
      </c>
      <c r="D470">
        <v>1943.8</v>
      </c>
      <c r="E470">
        <v>258.38</v>
      </c>
      <c r="F470">
        <v>3237.96</v>
      </c>
      <c r="G470" t="e">
        <v>#N/A</v>
      </c>
      <c r="H470">
        <v>23947.4</v>
      </c>
    </row>
    <row r="471" spans="1:8" x14ac:dyDescent="0.3">
      <c r="A471" s="1">
        <v>32072</v>
      </c>
      <c r="B471">
        <v>94.04</v>
      </c>
      <c r="C471">
        <v>1628.9</v>
      </c>
      <c r="D471">
        <v>1833.2</v>
      </c>
      <c r="E471">
        <v>248.25</v>
      </c>
      <c r="F471">
        <v>3099.71</v>
      </c>
      <c r="G471" t="e">
        <v>#N/A</v>
      </c>
      <c r="H471">
        <v>24404.45</v>
      </c>
    </row>
    <row r="472" spans="1:8" x14ac:dyDescent="0.3">
      <c r="A472" s="1">
        <v>32073</v>
      </c>
      <c r="B472">
        <v>94.25</v>
      </c>
      <c r="C472">
        <v>1513.9</v>
      </c>
      <c r="D472">
        <v>1795.2</v>
      </c>
      <c r="E472">
        <v>248.22</v>
      </c>
      <c r="F472">
        <v>3071.58</v>
      </c>
      <c r="G472" t="e">
        <v>#N/A</v>
      </c>
      <c r="H472">
        <v>23201.22</v>
      </c>
    </row>
    <row r="473" spans="1:8" x14ac:dyDescent="0.3">
      <c r="A473" s="1">
        <v>32076</v>
      </c>
      <c r="B473">
        <v>85.51</v>
      </c>
      <c r="C473">
        <v>1415</v>
      </c>
      <c r="D473">
        <v>1684.1</v>
      </c>
      <c r="E473">
        <v>227.67</v>
      </c>
      <c r="F473">
        <v>2839.27</v>
      </c>
      <c r="G473">
        <v>2241.69</v>
      </c>
      <c r="H473">
        <v>22202.560000000001</v>
      </c>
    </row>
    <row r="474" spans="1:8" x14ac:dyDescent="0.3">
      <c r="A474" s="1">
        <v>32077</v>
      </c>
      <c r="B474">
        <v>88.29</v>
      </c>
      <c r="C474">
        <v>1316.3</v>
      </c>
      <c r="D474">
        <v>1703.9</v>
      </c>
      <c r="E474">
        <v>233.19</v>
      </c>
      <c r="F474">
        <v>2868.8</v>
      </c>
      <c r="G474">
        <v>2395.7199999999998</v>
      </c>
      <c r="H474">
        <v>22834.959999999999</v>
      </c>
    </row>
    <row r="475" spans="1:8" x14ac:dyDescent="0.3">
      <c r="A475" s="1">
        <v>32078</v>
      </c>
      <c r="B475">
        <v>83.04</v>
      </c>
      <c r="C475">
        <v>1389.6</v>
      </c>
      <c r="D475">
        <v>1658.4</v>
      </c>
      <c r="E475">
        <v>233.28</v>
      </c>
      <c r="F475">
        <v>2830.59</v>
      </c>
      <c r="G475">
        <v>2370.16</v>
      </c>
      <c r="H475">
        <v>22577.53</v>
      </c>
    </row>
    <row r="476" spans="1:8" x14ac:dyDescent="0.3">
      <c r="A476" s="1">
        <v>32079</v>
      </c>
      <c r="B476">
        <v>83.25</v>
      </c>
      <c r="C476">
        <v>1283.8</v>
      </c>
      <c r="D476">
        <v>1682</v>
      </c>
      <c r="E476">
        <v>244.77</v>
      </c>
      <c r="F476">
        <v>2865.01</v>
      </c>
      <c r="G476">
        <v>2204.52</v>
      </c>
      <c r="H476">
        <v>22033.89</v>
      </c>
    </row>
    <row r="477" spans="1:8" x14ac:dyDescent="0.3">
      <c r="A477" s="1">
        <v>32080</v>
      </c>
      <c r="B477">
        <v>87.91</v>
      </c>
      <c r="C477">
        <v>1295.2</v>
      </c>
      <c r="D477">
        <v>1749.8</v>
      </c>
      <c r="E477">
        <v>251.79</v>
      </c>
      <c r="F477">
        <v>3011.63</v>
      </c>
      <c r="G477">
        <v>2240.13</v>
      </c>
      <c r="H477">
        <v>22765.040000000001</v>
      </c>
    </row>
    <row r="478" spans="1:8" x14ac:dyDescent="0.3">
      <c r="A478" s="1">
        <v>32083</v>
      </c>
      <c r="B478">
        <v>85.45</v>
      </c>
      <c r="C478">
        <v>1360.9</v>
      </c>
      <c r="D478">
        <v>1723.7</v>
      </c>
      <c r="E478">
        <v>255.75</v>
      </c>
      <c r="F478">
        <v>3072.08</v>
      </c>
      <c r="G478">
        <v>2203.23</v>
      </c>
      <c r="H478">
        <v>23358.6</v>
      </c>
    </row>
    <row r="479" spans="1:8" x14ac:dyDescent="0.3">
      <c r="A479" s="1">
        <v>32084</v>
      </c>
      <c r="B479">
        <v>80.89</v>
      </c>
      <c r="C479">
        <v>1364.6</v>
      </c>
      <c r="D479">
        <v>1653.9</v>
      </c>
      <c r="E479">
        <v>250.82</v>
      </c>
      <c r="F479">
        <v>2998.27</v>
      </c>
      <c r="G479">
        <v>2180.7399999999998</v>
      </c>
    </row>
    <row r="480" spans="1:8" x14ac:dyDescent="0.3">
      <c r="A480" s="1">
        <v>32085</v>
      </c>
      <c r="B480">
        <v>77.83</v>
      </c>
      <c r="C480">
        <v>1290.0999999999999</v>
      </c>
      <c r="D480">
        <v>1608.1</v>
      </c>
      <c r="E480">
        <v>248.96</v>
      </c>
      <c r="F480">
        <v>2960.86</v>
      </c>
      <c r="G480">
        <v>2077.11</v>
      </c>
      <c r="H480">
        <v>23060.53</v>
      </c>
    </row>
    <row r="481" spans="1:8" x14ac:dyDescent="0.3">
      <c r="A481" s="1">
        <v>32086</v>
      </c>
      <c r="B481">
        <v>77.64</v>
      </c>
      <c r="C481">
        <v>1250.5</v>
      </c>
      <c r="D481">
        <v>1638.8</v>
      </c>
      <c r="E481">
        <v>254.48</v>
      </c>
      <c r="F481">
        <v>2952.68</v>
      </c>
      <c r="G481">
        <v>1960.9</v>
      </c>
      <c r="H481">
        <v>22629.65</v>
      </c>
    </row>
    <row r="482" spans="1:8" x14ac:dyDescent="0.3">
      <c r="A482" s="1">
        <v>32087</v>
      </c>
      <c r="B482">
        <v>77.88</v>
      </c>
      <c r="C482">
        <v>1238</v>
      </c>
      <c r="D482">
        <v>1620.8</v>
      </c>
      <c r="E482">
        <v>250.41</v>
      </c>
      <c r="F482">
        <v>2955.38</v>
      </c>
      <c r="G482">
        <v>2113.67</v>
      </c>
      <c r="H482">
        <v>22795.02</v>
      </c>
    </row>
    <row r="483" spans="1:8" x14ac:dyDescent="0.3">
      <c r="A483" s="1">
        <v>32090</v>
      </c>
      <c r="B483">
        <v>72.33</v>
      </c>
      <c r="C483">
        <v>1252</v>
      </c>
      <c r="D483">
        <v>1565.2</v>
      </c>
      <c r="E483">
        <v>243.17</v>
      </c>
      <c r="F483">
        <v>2892.24</v>
      </c>
      <c r="G483">
        <v>2139.31</v>
      </c>
      <c r="H483">
        <v>22418.37</v>
      </c>
    </row>
    <row r="484" spans="1:8" x14ac:dyDescent="0.3">
      <c r="A484" s="1">
        <v>32091</v>
      </c>
      <c r="B484">
        <v>69.14</v>
      </c>
      <c r="C484">
        <v>1203.9000000000001</v>
      </c>
      <c r="D484">
        <v>1573.5</v>
      </c>
      <c r="E484">
        <v>239</v>
      </c>
      <c r="F484">
        <v>2836.68</v>
      </c>
      <c r="G484">
        <v>2043.24</v>
      </c>
      <c r="H484">
        <v>21686.46</v>
      </c>
    </row>
    <row r="485" spans="1:8" x14ac:dyDescent="0.3">
      <c r="A485" s="1">
        <v>32092</v>
      </c>
      <c r="B485">
        <v>77.319999999999993</v>
      </c>
      <c r="C485">
        <v>1151</v>
      </c>
      <c r="D485">
        <v>1639.3</v>
      </c>
      <c r="E485">
        <v>241.9</v>
      </c>
      <c r="F485">
        <v>2865.11</v>
      </c>
      <c r="G485">
        <v>2046.18</v>
      </c>
      <c r="H485">
        <v>21036.76</v>
      </c>
    </row>
    <row r="486" spans="1:8" x14ac:dyDescent="0.3">
      <c r="A486" s="1">
        <v>32093</v>
      </c>
      <c r="B486">
        <v>84.05</v>
      </c>
      <c r="C486">
        <v>1205.9000000000001</v>
      </c>
      <c r="D486">
        <v>1702.5</v>
      </c>
      <c r="E486">
        <v>248.52</v>
      </c>
      <c r="F486">
        <v>2931.44</v>
      </c>
      <c r="G486">
        <v>2150.87</v>
      </c>
      <c r="H486">
        <v>21546.5</v>
      </c>
    </row>
    <row r="487" spans="1:8" x14ac:dyDescent="0.3">
      <c r="A487" s="1">
        <v>32094</v>
      </c>
      <c r="B487">
        <v>81.739999999999995</v>
      </c>
      <c r="C487">
        <v>1275.9000000000001</v>
      </c>
      <c r="D487">
        <v>1678.3</v>
      </c>
      <c r="E487">
        <v>245.64</v>
      </c>
      <c r="F487">
        <v>2938.62</v>
      </c>
      <c r="G487">
        <v>2226.7399999999998</v>
      </c>
      <c r="H487">
        <v>22448.25</v>
      </c>
    </row>
    <row r="488" spans="1:8" x14ac:dyDescent="0.3">
      <c r="A488" s="1">
        <v>32097</v>
      </c>
      <c r="B488">
        <v>84.98</v>
      </c>
      <c r="C488">
        <v>1292.3</v>
      </c>
      <c r="D488">
        <v>1684.8</v>
      </c>
      <c r="E488">
        <v>246.76</v>
      </c>
      <c r="F488">
        <v>2947.7</v>
      </c>
      <c r="G488">
        <v>2310.86</v>
      </c>
      <c r="H488">
        <v>22615.43</v>
      </c>
    </row>
    <row r="489" spans="1:8" x14ac:dyDescent="0.3">
      <c r="A489" s="1">
        <v>32098</v>
      </c>
      <c r="B489">
        <v>81.66</v>
      </c>
      <c r="C489">
        <v>1296.9000000000001</v>
      </c>
      <c r="D489">
        <v>1660.1</v>
      </c>
      <c r="E489">
        <v>243.04</v>
      </c>
      <c r="F489">
        <v>2903.91</v>
      </c>
      <c r="G489">
        <v>2290.37</v>
      </c>
      <c r="H489">
        <v>22344.28</v>
      </c>
    </row>
    <row r="490" spans="1:8" x14ac:dyDescent="0.3">
      <c r="A490" s="1">
        <v>32099</v>
      </c>
      <c r="B490">
        <v>82.59</v>
      </c>
      <c r="C490">
        <v>1284</v>
      </c>
      <c r="D490">
        <v>1663.7</v>
      </c>
      <c r="E490">
        <v>245.55</v>
      </c>
      <c r="F490">
        <v>2915.28</v>
      </c>
      <c r="G490">
        <v>2285.15</v>
      </c>
      <c r="H490">
        <v>22734.49</v>
      </c>
    </row>
    <row r="491" spans="1:8" x14ac:dyDescent="0.3">
      <c r="A491" s="1">
        <v>32100</v>
      </c>
      <c r="B491">
        <v>80.47</v>
      </c>
      <c r="C491">
        <v>1283.7</v>
      </c>
      <c r="D491">
        <v>1639.1</v>
      </c>
      <c r="E491">
        <v>240.05</v>
      </c>
      <c r="F491">
        <v>2880.07</v>
      </c>
      <c r="G491">
        <v>2257.6</v>
      </c>
      <c r="H491">
        <v>22668.799999999999</v>
      </c>
    </row>
    <row r="492" spans="1:8" x14ac:dyDescent="0.3">
      <c r="A492" s="1">
        <v>32101</v>
      </c>
      <c r="B492">
        <v>77.27</v>
      </c>
      <c r="C492">
        <v>1255.9000000000001</v>
      </c>
      <c r="D492">
        <v>1633</v>
      </c>
      <c r="E492">
        <v>242</v>
      </c>
      <c r="F492">
        <v>2893.03</v>
      </c>
      <c r="G492">
        <v>2214.6999999999998</v>
      </c>
      <c r="H492">
        <v>22705.56</v>
      </c>
    </row>
    <row r="493" spans="1:8" x14ac:dyDescent="0.3">
      <c r="A493" s="1">
        <v>32104</v>
      </c>
      <c r="B493">
        <v>79.599999999999994</v>
      </c>
      <c r="C493">
        <v>1249.5</v>
      </c>
      <c r="D493">
        <v>1657.7</v>
      </c>
      <c r="E493">
        <v>242.99</v>
      </c>
      <c r="F493">
        <v>2910.89</v>
      </c>
      <c r="G493">
        <v>2141.71</v>
      </c>
    </row>
    <row r="494" spans="1:8" x14ac:dyDescent="0.3">
      <c r="A494" s="1">
        <v>32105</v>
      </c>
      <c r="B494">
        <v>81.349999999999994</v>
      </c>
      <c r="C494">
        <v>1266.0999999999999</v>
      </c>
      <c r="D494">
        <v>1689.1</v>
      </c>
      <c r="E494">
        <v>246.39</v>
      </c>
      <c r="F494">
        <v>2987</v>
      </c>
      <c r="G494">
        <v>2134.84</v>
      </c>
      <c r="H494">
        <v>22856.02</v>
      </c>
    </row>
    <row r="495" spans="1:8" x14ac:dyDescent="0.3">
      <c r="A495" s="1">
        <v>32106</v>
      </c>
      <c r="B495">
        <v>79.39</v>
      </c>
      <c r="C495">
        <v>1297.3</v>
      </c>
      <c r="D495">
        <v>1664.1</v>
      </c>
      <c r="E495">
        <v>244.1</v>
      </c>
      <c r="F495">
        <v>3020.31</v>
      </c>
      <c r="G495">
        <v>2184.41</v>
      </c>
      <c r="H495">
        <v>23219.69</v>
      </c>
    </row>
    <row r="496" spans="1:8" x14ac:dyDescent="0.3">
      <c r="A496" s="1">
        <v>32107</v>
      </c>
      <c r="B496">
        <v>77.95</v>
      </c>
      <c r="C496">
        <v>1311</v>
      </c>
      <c r="D496">
        <v>1660.7</v>
      </c>
      <c r="G496">
        <v>2179.58</v>
      </c>
      <c r="H496">
        <v>23282.18</v>
      </c>
    </row>
    <row r="497" spans="1:8" x14ac:dyDescent="0.3">
      <c r="A497" s="1">
        <v>32108</v>
      </c>
      <c r="B497">
        <v>77.58</v>
      </c>
      <c r="C497">
        <v>1321.9</v>
      </c>
      <c r="D497">
        <v>1651.6</v>
      </c>
      <c r="E497">
        <v>240.34</v>
      </c>
      <c r="F497">
        <v>3078.26</v>
      </c>
      <c r="G497">
        <v>2194.1799999999998</v>
      </c>
      <c r="H497">
        <v>23268.62</v>
      </c>
    </row>
    <row r="498" spans="1:8" x14ac:dyDescent="0.3">
      <c r="A498" s="1">
        <v>32111</v>
      </c>
      <c r="B498">
        <v>72.27</v>
      </c>
      <c r="C498">
        <v>1328.7</v>
      </c>
      <c r="D498">
        <v>1579.9</v>
      </c>
      <c r="E498">
        <v>230.3</v>
      </c>
      <c r="F498">
        <v>2970.74</v>
      </c>
      <c r="G498">
        <v>2138.39</v>
      </c>
      <c r="H498">
        <v>22686.78</v>
      </c>
    </row>
    <row r="499" spans="1:8" x14ac:dyDescent="0.3">
      <c r="A499" s="1">
        <v>32112</v>
      </c>
      <c r="B499">
        <v>74.540000000000006</v>
      </c>
      <c r="C499">
        <v>1328.7</v>
      </c>
      <c r="D499">
        <v>1578.5</v>
      </c>
      <c r="E499">
        <v>232</v>
      </c>
      <c r="F499">
        <v>2990.09</v>
      </c>
      <c r="G499">
        <v>2108.5500000000002</v>
      </c>
      <c r="H499">
        <v>22832.89</v>
      </c>
    </row>
    <row r="500" spans="1:8" x14ac:dyDescent="0.3">
      <c r="A500" s="1">
        <v>32113</v>
      </c>
      <c r="B500">
        <v>73.78</v>
      </c>
      <c r="C500">
        <v>1307.2</v>
      </c>
      <c r="D500">
        <v>1590.3</v>
      </c>
      <c r="E500">
        <v>233.45</v>
      </c>
      <c r="F500">
        <v>3013.83</v>
      </c>
      <c r="G500">
        <v>2100.83</v>
      </c>
      <c r="H500">
        <v>22915.49</v>
      </c>
    </row>
    <row r="501" spans="1:8" x14ac:dyDescent="0.3">
      <c r="A501" s="1">
        <v>32114</v>
      </c>
      <c r="B501">
        <v>74.180000000000007</v>
      </c>
      <c r="C501">
        <v>1286.3</v>
      </c>
      <c r="D501">
        <v>1588.4</v>
      </c>
      <c r="E501">
        <v>225.21</v>
      </c>
      <c r="F501">
        <v>2940.91</v>
      </c>
      <c r="G501">
        <v>2057.4299999999998</v>
      </c>
      <c r="H501">
        <v>22808.16</v>
      </c>
    </row>
    <row r="502" spans="1:8" x14ac:dyDescent="0.3">
      <c r="A502" s="1">
        <v>32115</v>
      </c>
      <c r="B502">
        <v>71.94</v>
      </c>
      <c r="C502">
        <v>1247.2</v>
      </c>
      <c r="D502">
        <v>1582.7</v>
      </c>
      <c r="E502">
        <v>223.92</v>
      </c>
      <c r="F502">
        <v>2901.81</v>
      </c>
      <c r="G502">
        <v>1994.22</v>
      </c>
      <c r="H502">
        <v>22602.75</v>
      </c>
    </row>
    <row r="503" spans="1:8" x14ac:dyDescent="0.3">
      <c r="A503" s="1">
        <v>32118</v>
      </c>
      <c r="B503">
        <v>73.13</v>
      </c>
      <c r="C503">
        <v>1231.7</v>
      </c>
      <c r="D503">
        <v>1598</v>
      </c>
      <c r="E503">
        <v>228.76</v>
      </c>
      <c r="F503">
        <v>2975.03</v>
      </c>
      <c r="G503">
        <v>1894.94</v>
      </c>
      <c r="H503">
        <v>22586.52</v>
      </c>
    </row>
    <row r="504" spans="1:8" x14ac:dyDescent="0.3">
      <c r="A504" s="1">
        <v>32119</v>
      </c>
      <c r="B504">
        <v>73.41</v>
      </c>
      <c r="C504">
        <v>1219.4000000000001</v>
      </c>
      <c r="D504">
        <v>1624.4</v>
      </c>
      <c r="E504">
        <v>234.91</v>
      </c>
      <c r="F504">
        <v>3042.85</v>
      </c>
      <c r="G504">
        <v>1986.12</v>
      </c>
      <c r="H504">
        <v>22948.34</v>
      </c>
    </row>
    <row r="505" spans="1:8" x14ac:dyDescent="0.3">
      <c r="A505" s="1">
        <v>32120</v>
      </c>
      <c r="B505">
        <v>73.48</v>
      </c>
      <c r="C505">
        <v>1237.9000000000001</v>
      </c>
      <c r="D505">
        <v>1639.3</v>
      </c>
      <c r="E505">
        <v>238.89</v>
      </c>
      <c r="F505">
        <v>3055.92</v>
      </c>
      <c r="G505">
        <v>1984.98</v>
      </c>
      <c r="H505">
        <v>22885.7</v>
      </c>
    </row>
    <row r="506" spans="1:8" x14ac:dyDescent="0.3">
      <c r="A506" s="1">
        <v>32121</v>
      </c>
      <c r="B506">
        <v>71.959999999999994</v>
      </c>
      <c r="C506">
        <v>1236.5999999999999</v>
      </c>
      <c r="D506">
        <v>1619.6</v>
      </c>
      <c r="E506">
        <v>233.57</v>
      </c>
      <c r="F506">
        <v>3046.34</v>
      </c>
      <c r="G506">
        <v>2027.67</v>
      </c>
      <c r="H506">
        <v>23280.84</v>
      </c>
    </row>
    <row r="507" spans="1:8" x14ac:dyDescent="0.3">
      <c r="A507" s="1">
        <v>32122</v>
      </c>
      <c r="B507">
        <v>73.680000000000007</v>
      </c>
      <c r="C507">
        <v>1219.4000000000001</v>
      </c>
      <c r="D507">
        <v>1651.6</v>
      </c>
      <c r="E507">
        <v>235.32</v>
      </c>
      <c r="F507">
        <v>3092.83</v>
      </c>
      <c r="G507">
        <v>1989.58</v>
      </c>
      <c r="H507">
        <v>23035.81</v>
      </c>
    </row>
    <row r="508" spans="1:8" x14ac:dyDescent="0.3">
      <c r="A508" s="1">
        <v>32125</v>
      </c>
      <c r="B508">
        <v>75.099999999999994</v>
      </c>
      <c r="C508">
        <v>1222.4000000000001</v>
      </c>
      <c r="D508">
        <v>1652.6</v>
      </c>
      <c r="E508">
        <v>242.19</v>
      </c>
      <c r="F508">
        <v>3163.05</v>
      </c>
      <c r="G508">
        <v>2040.62</v>
      </c>
      <c r="H508">
        <v>22926.28</v>
      </c>
    </row>
    <row r="509" spans="1:8" x14ac:dyDescent="0.3">
      <c r="A509" s="1">
        <v>32126</v>
      </c>
      <c r="B509">
        <v>78.150000000000006</v>
      </c>
      <c r="C509">
        <v>1248.7</v>
      </c>
      <c r="D509">
        <v>1670</v>
      </c>
      <c r="E509">
        <v>242.81</v>
      </c>
      <c r="F509">
        <v>3136.51</v>
      </c>
      <c r="G509">
        <v>2080.62</v>
      </c>
      <c r="H509">
        <v>22846.73</v>
      </c>
    </row>
    <row r="510" spans="1:8" x14ac:dyDescent="0.3">
      <c r="A510" s="1">
        <v>32127</v>
      </c>
      <c r="B510">
        <v>79.42</v>
      </c>
      <c r="C510">
        <v>1243.0999999999999</v>
      </c>
      <c r="D510">
        <v>1689.8</v>
      </c>
      <c r="E510">
        <v>248.08</v>
      </c>
      <c r="F510">
        <v>3137.71</v>
      </c>
      <c r="G510">
        <v>2145.71</v>
      </c>
      <c r="H510">
        <v>22819.42</v>
      </c>
    </row>
    <row r="511" spans="1:8" x14ac:dyDescent="0.3">
      <c r="A511" s="1">
        <v>32128</v>
      </c>
      <c r="B511">
        <v>78.5</v>
      </c>
      <c r="C511">
        <v>1250.5999999999999</v>
      </c>
      <c r="D511">
        <v>1706.2</v>
      </c>
      <c r="E511">
        <v>242.98</v>
      </c>
      <c r="F511">
        <v>3105.29</v>
      </c>
      <c r="G511">
        <v>2142.23</v>
      </c>
      <c r="H511">
        <v>22899.83</v>
      </c>
    </row>
    <row r="512" spans="1:8" x14ac:dyDescent="0.3">
      <c r="A512" s="1">
        <v>32129</v>
      </c>
      <c r="B512">
        <v>77.63</v>
      </c>
      <c r="C512">
        <v>1239.8</v>
      </c>
      <c r="D512">
        <v>1717</v>
      </c>
      <c r="E512">
        <v>249.16</v>
      </c>
      <c r="F512">
        <v>3149.38</v>
      </c>
      <c r="G512">
        <v>2180.46</v>
      </c>
      <c r="H512">
        <v>22826.97</v>
      </c>
    </row>
    <row r="513" spans="1:8" x14ac:dyDescent="0.3">
      <c r="A513" s="1">
        <v>32132</v>
      </c>
      <c r="B513">
        <v>79.22</v>
      </c>
      <c r="C513">
        <v>1250.3</v>
      </c>
      <c r="D513">
        <v>1750.2</v>
      </c>
      <c r="E513">
        <v>249.54</v>
      </c>
      <c r="F513">
        <v>3161.95</v>
      </c>
      <c r="G513">
        <v>2278.13</v>
      </c>
      <c r="H513">
        <v>22956.84</v>
      </c>
    </row>
    <row r="514" spans="1:8" x14ac:dyDescent="0.3">
      <c r="A514" s="1">
        <v>32133</v>
      </c>
      <c r="B514">
        <v>78.87</v>
      </c>
      <c r="C514">
        <v>1267.8</v>
      </c>
      <c r="D514">
        <v>1747.4</v>
      </c>
      <c r="E514">
        <v>249.95</v>
      </c>
      <c r="F514">
        <v>3148.58</v>
      </c>
      <c r="G514">
        <v>2276.41</v>
      </c>
      <c r="H514">
        <v>22741.02</v>
      </c>
    </row>
    <row r="515" spans="1:8" x14ac:dyDescent="0.3">
      <c r="A515" s="1">
        <v>32134</v>
      </c>
      <c r="B515">
        <v>80.39</v>
      </c>
      <c r="C515">
        <v>1287.5</v>
      </c>
      <c r="D515">
        <v>1771.4</v>
      </c>
      <c r="E515">
        <v>253.16</v>
      </c>
      <c r="F515">
        <v>3191.97</v>
      </c>
      <c r="G515">
        <v>2325.5500000000002</v>
      </c>
      <c r="H515">
        <v>22693.85</v>
      </c>
    </row>
    <row r="516" spans="1:8" x14ac:dyDescent="0.3">
      <c r="A516" s="1">
        <v>32135</v>
      </c>
      <c r="B516">
        <v>81.31</v>
      </c>
      <c r="C516">
        <v>1313.1</v>
      </c>
      <c r="D516">
        <v>1791.1</v>
      </c>
      <c r="E516">
        <v>252.03</v>
      </c>
      <c r="F516">
        <v>3199.55</v>
      </c>
      <c r="G516">
        <v>2379.0700000000002</v>
      </c>
      <c r="H516">
        <v>22543.37</v>
      </c>
    </row>
    <row r="517" spans="1:8" x14ac:dyDescent="0.3">
      <c r="A517" s="1">
        <v>32136</v>
      </c>
      <c r="B517">
        <v>81.31</v>
      </c>
      <c r="G517" t="e">
        <v>#N/A</v>
      </c>
      <c r="H517">
        <v>22120.94</v>
      </c>
    </row>
    <row r="518" spans="1:8" x14ac:dyDescent="0.3">
      <c r="A518" s="1">
        <v>32139</v>
      </c>
      <c r="B518">
        <v>76.89</v>
      </c>
      <c r="E518">
        <v>245.57</v>
      </c>
      <c r="F518">
        <v>3151.68</v>
      </c>
      <c r="G518">
        <v>2286.75</v>
      </c>
      <c r="H518">
        <v>21564</v>
      </c>
    </row>
    <row r="519" spans="1:8" x14ac:dyDescent="0.3">
      <c r="A519" s="1">
        <v>32140</v>
      </c>
      <c r="B519">
        <v>77.83</v>
      </c>
      <c r="C519">
        <v>1304.8</v>
      </c>
      <c r="D519">
        <v>1730.3</v>
      </c>
      <c r="E519">
        <v>244.59</v>
      </c>
      <c r="F519">
        <v>3141.8</v>
      </c>
      <c r="G519">
        <v>2301.27</v>
      </c>
    </row>
    <row r="520" spans="1:8" x14ac:dyDescent="0.3">
      <c r="A520" s="1">
        <v>32141</v>
      </c>
      <c r="B520">
        <v>77.87</v>
      </c>
      <c r="C520">
        <v>1298.7</v>
      </c>
      <c r="D520">
        <v>1759.8</v>
      </c>
      <c r="E520">
        <v>247.86</v>
      </c>
      <c r="F520">
        <v>3160.05</v>
      </c>
      <c r="G520">
        <v>2291.98</v>
      </c>
    </row>
    <row r="521" spans="1:8" x14ac:dyDescent="0.3">
      <c r="A521" s="1">
        <v>32142</v>
      </c>
      <c r="C521">
        <v>1320</v>
      </c>
      <c r="D521">
        <v>1713.9</v>
      </c>
      <c r="E521">
        <v>247.08</v>
      </c>
      <c r="F521">
        <v>3152.07</v>
      </c>
      <c r="G521">
        <v>2302.75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7D16-98F8-4823-8886-E582B2866B4E}">
  <dimension ref="A1:P731"/>
  <sheetViews>
    <sheetView workbookViewId="0">
      <selection activeCell="L6" sqref="L6"/>
    </sheetView>
  </sheetViews>
  <sheetFormatPr defaultRowHeight="14.4" x14ac:dyDescent="0.3"/>
  <cols>
    <col min="1" max="1" width="10.33203125" bestFit="1" customWidth="1"/>
  </cols>
  <sheetData>
    <row r="1" spans="1:16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O1" t="s">
        <v>19</v>
      </c>
      <c r="P1" s="3" t="s">
        <v>20</v>
      </c>
    </row>
    <row r="2" spans="1:16" x14ac:dyDescent="0.3">
      <c r="A2" s="1">
        <v>31413</v>
      </c>
      <c r="C2">
        <v>9.49</v>
      </c>
      <c r="F2">
        <v>5</v>
      </c>
      <c r="G2">
        <v>5.5</v>
      </c>
      <c r="H2">
        <v>7.75</v>
      </c>
    </row>
    <row r="3" spans="1:16" x14ac:dyDescent="0.3">
      <c r="A3" s="1">
        <v>31414</v>
      </c>
      <c r="B3">
        <v>18.75</v>
      </c>
      <c r="C3">
        <v>9.6199999999999992</v>
      </c>
      <c r="D3">
        <v>11.375</v>
      </c>
      <c r="F3">
        <v>5</v>
      </c>
      <c r="G3">
        <v>5.5</v>
      </c>
      <c r="H3">
        <v>7.75</v>
      </c>
    </row>
    <row r="4" spans="1:16" x14ac:dyDescent="0.3">
      <c r="A4" s="1">
        <v>31415</v>
      </c>
      <c r="B4">
        <v>18.5</v>
      </c>
      <c r="C4">
        <v>9.6199999999999992</v>
      </c>
      <c r="D4">
        <v>11.375</v>
      </c>
      <c r="F4">
        <v>5</v>
      </c>
      <c r="G4">
        <v>5.5</v>
      </c>
      <c r="H4">
        <v>7.75</v>
      </c>
    </row>
    <row r="5" spans="1:16" x14ac:dyDescent="0.3">
      <c r="A5" s="1">
        <v>31416</v>
      </c>
      <c r="F5">
        <v>5</v>
      </c>
      <c r="G5">
        <v>5.5</v>
      </c>
      <c r="H5">
        <v>7.75</v>
      </c>
    </row>
    <row r="6" spans="1:16" x14ac:dyDescent="0.3">
      <c r="A6" s="1">
        <v>31417</v>
      </c>
      <c r="F6">
        <v>5</v>
      </c>
      <c r="G6">
        <v>5.5</v>
      </c>
      <c r="H6">
        <v>7.75</v>
      </c>
    </row>
    <row r="7" spans="1:16" x14ac:dyDescent="0.3">
      <c r="A7" s="1">
        <v>31418</v>
      </c>
      <c r="B7">
        <v>19</v>
      </c>
      <c r="C7">
        <v>9.6199999999999992</v>
      </c>
      <c r="D7">
        <v>11.375</v>
      </c>
      <c r="F7">
        <v>5</v>
      </c>
      <c r="G7">
        <v>5.5</v>
      </c>
      <c r="H7">
        <v>7.75</v>
      </c>
    </row>
    <row r="8" spans="1:16" x14ac:dyDescent="0.3">
      <c r="A8" s="1">
        <v>31419</v>
      </c>
      <c r="B8">
        <v>18.88</v>
      </c>
      <c r="C8">
        <v>9.6199999999999992</v>
      </c>
      <c r="D8">
        <v>11.375</v>
      </c>
      <c r="F8">
        <v>5</v>
      </c>
      <c r="G8">
        <v>5.5</v>
      </c>
      <c r="H8">
        <v>7.75</v>
      </c>
    </row>
    <row r="9" spans="1:16" x14ac:dyDescent="0.3">
      <c r="A9" s="1">
        <v>31420</v>
      </c>
      <c r="B9">
        <v>18.75</v>
      </c>
      <c r="C9">
        <v>9.6199999999999992</v>
      </c>
      <c r="D9">
        <v>11.375</v>
      </c>
      <c r="F9">
        <v>5</v>
      </c>
      <c r="G9">
        <v>5.5</v>
      </c>
      <c r="H9">
        <v>7.75</v>
      </c>
    </row>
    <row r="10" spans="1:16" x14ac:dyDescent="0.3">
      <c r="A10" s="1">
        <v>31421</v>
      </c>
      <c r="B10">
        <v>19.13</v>
      </c>
      <c r="C10">
        <v>10.210000000000001</v>
      </c>
      <c r="D10">
        <v>11.375</v>
      </c>
      <c r="F10">
        <v>5</v>
      </c>
      <c r="G10">
        <v>5.5</v>
      </c>
      <c r="H10">
        <v>7.75</v>
      </c>
    </row>
    <row r="11" spans="1:16" x14ac:dyDescent="0.3">
      <c r="A11" s="1">
        <v>31422</v>
      </c>
      <c r="B11">
        <v>19.25</v>
      </c>
      <c r="C11">
        <v>10.210000000000001</v>
      </c>
      <c r="D11">
        <v>11.375</v>
      </c>
      <c r="F11">
        <v>5</v>
      </c>
      <c r="G11">
        <v>5.5</v>
      </c>
      <c r="H11">
        <v>7.75</v>
      </c>
    </row>
    <row r="12" spans="1:16" x14ac:dyDescent="0.3">
      <c r="A12" s="1">
        <v>31423</v>
      </c>
      <c r="F12">
        <v>5</v>
      </c>
      <c r="G12">
        <v>5.5</v>
      </c>
      <c r="H12">
        <v>7.75</v>
      </c>
    </row>
    <row r="13" spans="1:16" x14ac:dyDescent="0.3">
      <c r="A13" s="1">
        <v>31424</v>
      </c>
      <c r="F13">
        <v>5</v>
      </c>
      <c r="G13">
        <v>5.5</v>
      </c>
      <c r="H13">
        <v>7.75</v>
      </c>
    </row>
    <row r="14" spans="1:16" x14ac:dyDescent="0.3">
      <c r="A14" s="1">
        <v>31425</v>
      </c>
      <c r="B14">
        <v>19.25</v>
      </c>
      <c r="C14">
        <v>10.210000000000001</v>
      </c>
      <c r="D14">
        <v>11.375</v>
      </c>
      <c r="F14">
        <v>5</v>
      </c>
      <c r="G14">
        <v>5.5</v>
      </c>
      <c r="H14">
        <v>7.75</v>
      </c>
    </row>
    <row r="15" spans="1:16" x14ac:dyDescent="0.3">
      <c r="A15" s="1">
        <v>31426</v>
      </c>
      <c r="B15">
        <v>19.38</v>
      </c>
      <c r="C15">
        <v>10.210000000000001</v>
      </c>
      <c r="D15">
        <v>11.375</v>
      </c>
      <c r="F15">
        <v>5</v>
      </c>
      <c r="G15">
        <v>5.5</v>
      </c>
      <c r="H15">
        <v>7.75</v>
      </c>
    </row>
    <row r="16" spans="1:16" x14ac:dyDescent="0.3">
      <c r="A16" s="1">
        <v>31427</v>
      </c>
      <c r="B16">
        <v>19.25</v>
      </c>
      <c r="C16">
        <v>10.210000000000001</v>
      </c>
      <c r="D16">
        <v>12.375</v>
      </c>
      <c r="F16">
        <v>5</v>
      </c>
      <c r="G16">
        <v>5.5</v>
      </c>
      <c r="H16">
        <v>7.75</v>
      </c>
    </row>
    <row r="17" spans="1:8" x14ac:dyDescent="0.3">
      <c r="A17" s="1">
        <v>31428</v>
      </c>
      <c r="B17">
        <v>19.25</v>
      </c>
      <c r="C17">
        <v>10.38</v>
      </c>
      <c r="D17">
        <v>12.375</v>
      </c>
      <c r="F17">
        <v>5</v>
      </c>
      <c r="G17">
        <v>5.5</v>
      </c>
      <c r="H17">
        <v>7.75</v>
      </c>
    </row>
    <row r="18" spans="1:8" x14ac:dyDescent="0.3">
      <c r="A18" s="1">
        <v>31429</v>
      </c>
      <c r="B18">
        <v>19</v>
      </c>
      <c r="C18">
        <v>10.38</v>
      </c>
      <c r="D18">
        <v>12.375</v>
      </c>
      <c r="F18">
        <v>5</v>
      </c>
      <c r="G18">
        <v>5.5</v>
      </c>
      <c r="H18">
        <v>7.75</v>
      </c>
    </row>
    <row r="19" spans="1:8" x14ac:dyDescent="0.3">
      <c r="A19" s="1">
        <v>31430</v>
      </c>
      <c r="F19">
        <v>5</v>
      </c>
      <c r="G19">
        <v>5.5</v>
      </c>
      <c r="H19">
        <v>7.75</v>
      </c>
    </row>
    <row r="20" spans="1:8" x14ac:dyDescent="0.3">
      <c r="A20" s="1">
        <v>31431</v>
      </c>
      <c r="F20">
        <v>5</v>
      </c>
      <c r="G20">
        <v>5.5</v>
      </c>
      <c r="H20">
        <v>7.75</v>
      </c>
    </row>
    <row r="21" spans="1:8" x14ac:dyDescent="0.3">
      <c r="A21" s="1">
        <v>31432</v>
      </c>
      <c r="B21">
        <v>19</v>
      </c>
      <c r="C21">
        <v>10.38</v>
      </c>
      <c r="D21">
        <v>12.375</v>
      </c>
      <c r="F21">
        <v>5</v>
      </c>
      <c r="G21">
        <v>5.5</v>
      </c>
      <c r="H21">
        <v>7.75</v>
      </c>
    </row>
    <row r="22" spans="1:8" x14ac:dyDescent="0.3">
      <c r="A22" s="1">
        <v>31433</v>
      </c>
      <c r="B22">
        <v>19</v>
      </c>
      <c r="C22">
        <v>10.38</v>
      </c>
      <c r="D22">
        <v>12.375</v>
      </c>
      <c r="F22">
        <v>5</v>
      </c>
      <c r="G22">
        <v>5.5</v>
      </c>
      <c r="H22">
        <v>7.75</v>
      </c>
    </row>
    <row r="23" spans="1:8" x14ac:dyDescent="0.3">
      <c r="A23" s="1">
        <v>31434</v>
      </c>
      <c r="B23">
        <v>18.88</v>
      </c>
      <c r="C23">
        <v>10.38</v>
      </c>
      <c r="D23">
        <v>12.375</v>
      </c>
      <c r="F23">
        <v>5</v>
      </c>
      <c r="G23">
        <v>5.5</v>
      </c>
      <c r="H23">
        <v>7.75</v>
      </c>
    </row>
    <row r="24" spans="1:8" x14ac:dyDescent="0.3">
      <c r="A24" s="1">
        <v>31435</v>
      </c>
      <c r="B24">
        <v>18.75</v>
      </c>
      <c r="C24">
        <v>10.33</v>
      </c>
      <c r="D24">
        <v>12.375</v>
      </c>
      <c r="F24">
        <v>5</v>
      </c>
      <c r="G24">
        <v>5.5</v>
      </c>
      <c r="H24">
        <v>7.75</v>
      </c>
    </row>
    <row r="25" spans="1:8" x14ac:dyDescent="0.3">
      <c r="A25" s="1">
        <v>31436</v>
      </c>
      <c r="B25">
        <v>18.75</v>
      </c>
      <c r="C25">
        <v>10.33</v>
      </c>
      <c r="D25">
        <v>12.375</v>
      </c>
      <c r="F25">
        <v>5</v>
      </c>
      <c r="G25">
        <v>5.5</v>
      </c>
      <c r="H25">
        <v>7.75</v>
      </c>
    </row>
    <row r="26" spans="1:8" x14ac:dyDescent="0.3">
      <c r="A26" s="1">
        <v>31437</v>
      </c>
      <c r="F26">
        <v>5</v>
      </c>
      <c r="G26">
        <v>5.5</v>
      </c>
      <c r="H26">
        <v>7.75</v>
      </c>
    </row>
    <row r="27" spans="1:8" x14ac:dyDescent="0.3">
      <c r="A27" s="1">
        <v>31438</v>
      </c>
      <c r="F27">
        <v>5</v>
      </c>
      <c r="G27">
        <v>5.5</v>
      </c>
      <c r="H27">
        <v>7.75</v>
      </c>
    </row>
    <row r="28" spans="1:8" x14ac:dyDescent="0.3">
      <c r="A28" s="1">
        <v>31439</v>
      </c>
      <c r="C28">
        <v>10.33</v>
      </c>
      <c r="D28">
        <v>12.375</v>
      </c>
      <c r="F28">
        <v>5</v>
      </c>
      <c r="G28">
        <v>5.5</v>
      </c>
      <c r="H28">
        <v>7.75</v>
      </c>
    </row>
    <row r="29" spans="1:8" x14ac:dyDescent="0.3">
      <c r="A29" s="1">
        <v>31440</v>
      </c>
      <c r="B29">
        <v>18.75</v>
      </c>
      <c r="C29">
        <v>10.33</v>
      </c>
      <c r="D29">
        <v>12.375</v>
      </c>
      <c r="F29">
        <v>5</v>
      </c>
      <c r="G29">
        <v>5.5</v>
      </c>
      <c r="H29">
        <v>7.75</v>
      </c>
    </row>
    <row r="30" spans="1:8" x14ac:dyDescent="0.3">
      <c r="A30" s="1">
        <v>31441</v>
      </c>
      <c r="B30">
        <v>18.5</v>
      </c>
      <c r="C30">
        <v>10.33</v>
      </c>
      <c r="D30">
        <v>12.375</v>
      </c>
      <c r="F30">
        <v>5</v>
      </c>
      <c r="G30">
        <v>5.5</v>
      </c>
      <c r="H30">
        <v>7.75</v>
      </c>
    </row>
    <row r="31" spans="1:8" x14ac:dyDescent="0.3">
      <c r="A31" s="1">
        <v>31442</v>
      </c>
      <c r="B31">
        <v>18.25</v>
      </c>
      <c r="C31">
        <v>10.8</v>
      </c>
      <c r="D31">
        <v>12.375</v>
      </c>
      <c r="F31">
        <v>4.5</v>
      </c>
      <c r="G31">
        <v>5.5</v>
      </c>
      <c r="H31">
        <v>7.75</v>
      </c>
    </row>
    <row r="32" spans="1:8" x14ac:dyDescent="0.3">
      <c r="A32" s="1">
        <v>31443</v>
      </c>
      <c r="B32">
        <v>18.75</v>
      </c>
      <c r="C32">
        <v>10.8</v>
      </c>
      <c r="D32">
        <v>12.375</v>
      </c>
      <c r="F32">
        <v>4.5</v>
      </c>
      <c r="G32">
        <v>5.5</v>
      </c>
      <c r="H32">
        <v>7.75</v>
      </c>
    </row>
    <row r="33" spans="1:8" x14ac:dyDescent="0.3">
      <c r="A33" s="1">
        <v>31444</v>
      </c>
      <c r="F33">
        <v>4.5</v>
      </c>
      <c r="G33">
        <v>5.5</v>
      </c>
      <c r="H33">
        <v>7.75</v>
      </c>
    </row>
    <row r="34" spans="1:8" x14ac:dyDescent="0.3">
      <c r="A34" s="1">
        <v>31445</v>
      </c>
      <c r="F34">
        <v>4.5</v>
      </c>
      <c r="G34">
        <v>5.5</v>
      </c>
      <c r="H34">
        <v>7.75</v>
      </c>
    </row>
    <row r="35" spans="1:8" x14ac:dyDescent="0.3">
      <c r="A35" s="1">
        <v>31446</v>
      </c>
      <c r="B35">
        <v>18.5</v>
      </c>
      <c r="C35">
        <v>10.8</v>
      </c>
      <c r="D35">
        <v>12.375</v>
      </c>
      <c r="F35">
        <v>4.5</v>
      </c>
      <c r="G35">
        <v>5.5</v>
      </c>
      <c r="H35">
        <v>7.75</v>
      </c>
    </row>
    <row r="36" spans="1:8" x14ac:dyDescent="0.3">
      <c r="A36" s="1">
        <v>31447</v>
      </c>
      <c r="B36">
        <v>18.5</v>
      </c>
      <c r="C36">
        <v>10.8</v>
      </c>
      <c r="D36">
        <v>12.375</v>
      </c>
      <c r="F36">
        <v>4.5</v>
      </c>
      <c r="G36">
        <v>5.5</v>
      </c>
      <c r="H36">
        <v>7.75</v>
      </c>
    </row>
    <row r="37" spans="1:8" x14ac:dyDescent="0.3">
      <c r="A37" s="1">
        <v>31448</v>
      </c>
      <c r="B37">
        <v>18.63</v>
      </c>
      <c r="C37">
        <v>10.8</v>
      </c>
      <c r="D37">
        <v>12.375</v>
      </c>
      <c r="F37">
        <v>4.5</v>
      </c>
      <c r="G37">
        <v>5.5</v>
      </c>
      <c r="H37">
        <v>7.75</v>
      </c>
    </row>
    <row r="38" spans="1:8" x14ac:dyDescent="0.3">
      <c r="A38" s="1">
        <v>31449</v>
      </c>
      <c r="B38">
        <v>18.5</v>
      </c>
      <c r="C38">
        <v>11.47</v>
      </c>
      <c r="D38">
        <v>12.375</v>
      </c>
      <c r="F38">
        <v>4.5</v>
      </c>
      <c r="G38">
        <v>5.5</v>
      </c>
      <c r="H38">
        <v>7.75</v>
      </c>
    </row>
    <row r="39" spans="1:8" x14ac:dyDescent="0.3">
      <c r="A39" s="1">
        <v>31450</v>
      </c>
      <c r="B39">
        <v>18.63</v>
      </c>
      <c r="C39">
        <v>11.47</v>
      </c>
      <c r="D39">
        <v>12.375</v>
      </c>
      <c r="F39">
        <v>4.5</v>
      </c>
      <c r="G39">
        <v>5.5</v>
      </c>
      <c r="H39">
        <v>7.75</v>
      </c>
    </row>
    <row r="40" spans="1:8" x14ac:dyDescent="0.3">
      <c r="A40" s="1">
        <v>31451</v>
      </c>
      <c r="F40">
        <v>4.5</v>
      </c>
      <c r="G40">
        <v>5.5</v>
      </c>
      <c r="H40">
        <v>7.75</v>
      </c>
    </row>
    <row r="41" spans="1:8" x14ac:dyDescent="0.3">
      <c r="A41" s="1">
        <v>31452</v>
      </c>
      <c r="F41">
        <v>4.5</v>
      </c>
      <c r="G41">
        <v>5.5</v>
      </c>
      <c r="H41">
        <v>7.75</v>
      </c>
    </row>
    <row r="42" spans="1:8" x14ac:dyDescent="0.3">
      <c r="A42" s="1">
        <v>31453</v>
      </c>
      <c r="B42">
        <v>18.75</v>
      </c>
      <c r="C42">
        <v>11.47</v>
      </c>
      <c r="D42">
        <v>12.375</v>
      </c>
      <c r="F42">
        <v>4.5</v>
      </c>
      <c r="G42">
        <v>5.5</v>
      </c>
      <c r="H42">
        <v>7.75</v>
      </c>
    </row>
    <row r="43" spans="1:8" x14ac:dyDescent="0.3">
      <c r="A43" s="1">
        <v>31454</v>
      </c>
      <c r="B43">
        <v>19.5</v>
      </c>
      <c r="C43">
        <v>11.47</v>
      </c>
      <c r="D43">
        <v>12.375</v>
      </c>
      <c r="F43">
        <v>4.5</v>
      </c>
      <c r="G43">
        <v>5.5</v>
      </c>
      <c r="H43">
        <v>7.75</v>
      </c>
    </row>
    <row r="44" spans="1:8" x14ac:dyDescent="0.3">
      <c r="A44" s="1">
        <v>31455</v>
      </c>
      <c r="B44">
        <v>19.25</v>
      </c>
      <c r="C44">
        <v>11.47</v>
      </c>
      <c r="D44">
        <v>12.375</v>
      </c>
      <c r="F44">
        <v>4.5</v>
      </c>
      <c r="G44">
        <v>5.5</v>
      </c>
      <c r="H44">
        <v>7.75</v>
      </c>
    </row>
    <row r="45" spans="1:8" x14ac:dyDescent="0.3">
      <c r="A45" s="1">
        <v>31456</v>
      </c>
      <c r="B45">
        <v>19.13</v>
      </c>
      <c r="C45">
        <v>12.1</v>
      </c>
      <c r="D45">
        <v>12.375</v>
      </c>
      <c r="F45">
        <v>4.5</v>
      </c>
      <c r="G45">
        <v>5.5</v>
      </c>
      <c r="H45">
        <v>7.75</v>
      </c>
    </row>
    <row r="46" spans="1:8" x14ac:dyDescent="0.3">
      <c r="A46" s="1">
        <v>31457</v>
      </c>
      <c r="B46">
        <v>18.63</v>
      </c>
      <c r="C46">
        <v>12.1</v>
      </c>
      <c r="D46">
        <v>12.375</v>
      </c>
      <c r="F46">
        <v>4.5</v>
      </c>
      <c r="G46">
        <v>5.5</v>
      </c>
      <c r="H46">
        <v>7.75</v>
      </c>
    </row>
    <row r="47" spans="1:8" x14ac:dyDescent="0.3">
      <c r="A47" s="1">
        <v>31458</v>
      </c>
      <c r="F47">
        <v>4.5</v>
      </c>
      <c r="G47">
        <v>5.5</v>
      </c>
      <c r="H47">
        <v>7.75</v>
      </c>
    </row>
    <row r="48" spans="1:8" x14ac:dyDescent="0.3">
      <c r="A48" s="1">
        <v>31459</v>
      </c>
      <c r="F48">
        <v>4.5</v>
      </c>
      <c r="G48">
        <v>5.5</v>
      </c>
      <c r="H48">
        <v>7.75</v>
      </c>
    </row>
    <row r="49" spans="1:8" x14ac:dyDescent="0.3">
      <c r="A49" s="1">
        <v>31460</v>
      </c>
      <c r="B49">
        <v>18.5</v>
      </c>
      <c r="C49">
        <v>12.1</v>
      </c>
      <c r="D49">
        <v>12.375</v>
      </c>
      <c r="F49">
        <v>4.5</v>
      </c>
      <c r="G49">
        <v>5.5</v>
      </c>
      <c r="H49">
        <v>7.75</v>
      </c>
    </row>
    <row r="50" spans="1:8" x14ac:dyDescent="0.3">
      <c r="A50" s="1">
        <v>31461</v>
      </c>
      <c r="B50">
        <v>18.88</v>
      </c>
      <c r="C50">
        <v>12.1</v>
      </c>
      <c r="D50">
        <v>12.375</v>
      </c>
      <c r="F50">
        <v>4.5</v>
      </c>
      <c r="G50">
        <v>5.5</v>
      </c>
      <c r="H50">
        <v>7.75</v>
      </c>
    </row>
    <row r="51" spans="1:8" x14ac:dyDescent="0.3">
      <c r="A51" s="1">
        <v>31462</v>
      </c>
      <c r="B51">
        <v>19.38</v>
      </c>
      <c r="C51">
        <v>12.1</v>
      </c>
      <c r="D51">
        <v>12.375</v>
      </c>
      <c r="F51">
        <v>4.5</v>
      </c>
      <c r="G51">
        <v>5.5</v>
      </c>
      <c r="H51">
        <v>7.75</v>
      </c>
    </row>
    <row r="52" spans="1:8" x14ac:dyDescent="0.3">
      <c r="A52" s="1">
        <v>31463</v>
      </c>
      <c r="B52">
        <v>19</v>
      </c>
      <c r="C52">
        <v>11.84</v>
      </c>
      <c r="D52">
        <v>12.375</v>
      </c>
      <c r="F52">
        <v>4.5</v>
      </c>
      <c r="G52">
        <v>5.5</v>
      </c>
      <c r="H52">
        <v>7.75</v>
      </c>
    </row>
    <row r="53" spans="1:8" x14ac:dyDescent="0.3">
      <c r="A53" s="1">
        <v>31464</v>
      </c>
      <c r="B53">
        <v>18.38</v>
      </c>
      <c r="C53">
        <v>11.84</v>
      </c>
      <c r="D53">
        <v>12.375</v>
      </c>
      <c r="F53">
        <v>4.5</v>
      </c>
      <c r="G53">
        <v>5.5</v>
      </c>
      <c r="H53">
        <v>7.75</v>
      </c>
    </row>
    <row r="54" spans="1:8" x14ac:dyDescent="0.3">
      <c r="A54" s="1">
        <v>31465</v>
      </c>
      <c r="F54">
        <v>4.5</v>
      </c>
      <c r="G54">
        <v>5.5</v>
      </c>
      <c r="H54">
        <v>7.75</v>
      </c>
    </row>
    <row r="55" spans="1:8" x14ac:dyDescent="0.3">
      <c r="A55" s="1">
        <v>31466</v>
      </c>
      <c r="F55">
        <v>4.5</v>
      </c>
      <c r="G55">
        <v>5.5</v>
      </c>
      <c r="H55">
        <v>7.75</v>
      </c>
    </row>
    <row r="56" spans="1:8" x14ac:dyDescent="0.3">
      <c r="A56" s="1">
        <v>31467</v>
      </c>
      <c r="B56">
        <v>18.5</v>
      </c>
      <c r="C56">
        <v>11.84</v>
      </c>
      <c r="D56">
        <v>12.375</v>
      </c>
      <c r="F56">
        <v>4.5</v>
      </c>
      <c r="G56">
        <v>5.5</v>
      </c>
      <c r="H56">
        <v>7.75</v>
      </c>
    </row>
    <row r="57" spans="1:8" x14ac:dyDescent="0.3">
      <c r="A57" s="1">
        <v>31468</v>
      </c>
      <c r="B57">
        <v>18.25</v>
      </c>
      <c r="C57">
        <v>11.84</v>
      </c>
      <c r="D57">
        <v>12.375</v>
      </c>
      <c r="F57">
        <v>4.5</v>
      </c>
      <c r="G57">
        <v>5.5</v>
      </c>
      <c r="H57">
        <v>7.75</v>
      </c>
    </row>
    <row r="58" spans="1:8" x14ac:dyDescent="0.3">
      <c r="A58" s="1">
        <v>31469</v>
      </c>
      <c r="B58">
        <v>18.25</v>
      </c>
      <c r="C58">
        <v>11.84</v>
      </c>
      <c r="D58">
        <v>12.375</v>
      </c>
      <c r="F58">
        <v>4.5</v>
      </c>
      <c r="G58">
        <v>5.5</v>
      </c>
      <c r="H58">
        <v>7.75</v>
      </c>
    </row>
    <row r="59" spans="1:8" x14ac:dyDescent="0.3">
      <c r="A59" s="1">
        <v>31470</v>
      </c>
      <c r="B59">
        <v>17.5</v>
      </c>
      <c r="C59">
        <v>11.8</v>
      </c>
      <c r="D59">
        <v>12.375</v>
      </c>
      <c r="F59">
        <v>4.5</v>
      </c>
      <c r="G59">
        <v>5.5</v>
      </c>
      <c r="H59">
        <v>7.75</v>
      </c>
    </row>
    <row r="60" spans="1:8" x14ac:dyDescent="0.3">
      <c r="A60" s="1">
        <v>31471</v>
      </c>
      <c r="B60">
        <v>17</v>
      </c>
      <c r="C60">
        <v>11.8</v>
      </c>
      <c r="D60">
        <v>12.375</v>
      </c>
      <c r="F60">
        <v>4.5</v>
      </c>
      <c r="G60">
        <v>5.5</v>
      </c>
      <c r="H60">
        <v>7.75</v>
      </c>
    </row>
    <row r="61" spans="1:8" x14ac:dyDescent="0.3">
      <c r="A61" s="1">
        <v>31472</v>
      </c>
      <c r="F61">
        <v>4.5</v>
      </c>
      <c r="G61">
        <v>5.5</v>
      </c>
      <c r="H61">
        <v>7.75</v>
      </c>
    </row>
    <row r="62" spans="1:8" x14ac:dyDescent="0.3">
      <c r="A62" s="1">
        <v>31473</v>
      </c>
      <c r="F62">
        <v>4.5</v>
      </c>
      <c r="G62">
        <v>5.5</v>
      </c>
      <c r="H62">
        <v>7.75</v>
      </c>
    </row>
    <row r="63" spans="1:8" x14ac:dyDescent="0.3">
      <c r="A63" s="1">
        <v>31474</v>
      </c>
      <c r="B63">
        <v>17</v>
      </c>
      <c r="C63">
        <v>11.8</v>
      </c>
      <c r="D63">
        <v>12.375</v>
      </c>
      <c r="F63">
        <v>4.5</v>
      </c>
      <c r="G63">
        <v>5.5</v>
      </c>
      <c r="H63">
        <v>7.75</v>
      </c>
    </row>
    <row r="64" spans="1:8" x14ac:dyDescent="0.3">
      <c r="A64" s="1">
        <v>31475</v>
      </c>
      <c r="B64">
        <v>16.5</v>
      </c>
      <c r="C64">
        <v>11.8</v>
      </c>
      <c r="D64">
        <v>12.375</v>
      </c>
      <c r="F64">
        <v>4.5</v>
      </c>
      <c r="G64">
        <v>5.5</v>
      </c>
      <c r="H64">
        <v>7.75</v>
      </c>
    </row>
    <row r="65" spans="1:8" x14ac:dyDescent="0.3">
      <c r="A65" s="1">
        <v>31476</v>
      </c>
      <c r="B65">
        <v>17.63</v>
      </c>
      <c r="C65">
        <v>11.8</v>
      </c>
      <c r="D65">
        <v>12.375</v>
      </c>
      <c r="F65">
        <v>4.5</v>
      </c>
      <c r="G65">
        <v>5.5</v>
      </c>
      <c r="H65">
        <v>7.75</v>
      </c>
    </row>
    <row r="66" spans="1:8" x14ac:dyDescent="0.3">
      <c r="A66" s="1">
        <v>31477</v>
      </c>
      <c r="B66">
        <v>17.63</v>
      </c>
      <c r="C66">
        <v>11.74</v>
      </c>
      <c r="D66">
        <v>12.375</v>
      </c>
      <c r="F66">
        <v>4.5</v>
      </c>
      <c r="G66">
        <v>5.5</v>
      </c>
      <c r="H66">
        <v>7.75</v>
      </c>
    </row>
    <row r="67" spans="1:8" x14ac:dyDescent="0.3">
      <c r="A67" s="1">
        <v>31478</v>
      </c>
      <c r="B67">
        <v>17.13</v>
      </c>
      <c r="C67">
        <v>11.74</v>
      </c>
      <c r="D67">
        <v>12.375</v>
      </c>
      <c r="F67">
        <v>4.5</v>
      </c>
      <c r="G67">
        <v>5</v>
      </c>
      <c r="H67">
        <v>7.25</v>
      </c>
    </row>
    <row r="68" spans="1:8" x14ac:dyDescent="0.3">
      <c r="A68" s="1">
        <v>31479</v>
      </c>
      <c r="F68">
        <v>4.5</v>
      </c>
      <c r="G68">
        <v>5</v>
      </c>
      <c r="H68">
        <v>7.25</v>
      </c>
    </row>
    <row r="69" spans="1:8" x14ac:dyDescent="0.3">
      <c r="A69" s="1">
        <v>31480</v>
      </c>
      <c r="F69">
        <v>4.5</v>
      </c>
      <c r="G69">
        <v>5</v>
      </c>
      <c r="H69">
        <v>7.25</v>
      </c>
    </row>
    <row r="70" spans="1:8" x14ac:dyDescent="0.3">
      <c r="A70" s="1">
        <v>31481</v>
      </c>
      <c r="B70">
        <v>17.25</v>
      </c>
      <c r="C70">
        <v>11.74</v>
      </c>
      <c r="D70">
        <v>12.375</v>
      </c>
      <c r="F70">
        <v>4</v>
      </c>
      <c r="G70">
        <v>5</v>
      </c>
      <c r="H70">
        <v>7.25</v>
      </c>
    </row>
    <row r="71" spans="1:8" x14ac:dyDescent="0.3">
      <c r="A71" s="1">
        <v>31482</v>
      </c>
      <c r="B71">
        <v>17.88</v>
      </c>
      <c r="C71">
        <v>11.74</v>
      </c>
      <c r="D71">
        <v>12.375</v>
      </c>
      <c r="F71">
        <v>4</v>
      </c>
      <c r="G71">
        <v>5</v>
      </c>
      <c r="H71">
        <v>7.25</v>
      </c>
    </row>
    <row r="72" spans="1:8" x14ac:dyDescent="0.3">
      <c r="A72" s="1">
        <v>31483</v>
      </c>
      <c r="B72">
        <v>18.25</v>
      </c>
      <c r="C72">
        <v>11.74</v>
      </c>
      <c r="D72">
        <v>12.375</v>
      </c>
      <c r="F72">
        <v>4</v>
      </c>
      <c r="G72">
        <v>5</v>
      </c>
      <c r="H72">
        <v>7.25</v>
      </c>
    </row>
    <row r="73" spans="1:8" x14ac:dyDescent="0.3">
      <c r="A73" s="1">
        <v>31484</v>
      </c>
      <c r="B73">
        <v>17.5</v>
      </c>
      <c r="C73">
        <v>10.69</v>
      </c>
      <c r="D73">
        <v>12.375</v>
      </c>
      <c r="F73">
        <v>4</v>
      </c>
      <c r="G73">
        <v>5</v>
      </c>
      <c r="H73">
        <v>7.25</v>
      </c>
    </row>
    <row r="74" spans="1:8" x14ac:dyDescent="0.3">
      <c r="A74" s="1">
        <v>31485</v>
      </c>
      <c r="B74">
        <v>17.13</v>
      </c>
      <c r="C74">
        <v>10.69</v>
      </c>
      <c r="D74">
        <v>12.375</v>
      </c>
      <c r="F74">
        <v>4</v>
      </c>
      <c r="G74">
        <v>5</v>
      </c>
      <c r="H74">
        <v>7.25</v>
      </c>
    </row>
    <row r="75" spans="1:8" x14ac:dyDescent="0.3">
      <c r="A75" s="1">
        <v>31486</v>
      </c>
      <c r="F75">
        <v>4</v>
      </c>
      <c r="G75">
        <v>5</v>
      </c>
      <c r="H75">
        <v>7.25</v>
      </c>
    </row>
    <row r="76" spans="1:8" x14ac:dyDescent="0.3">
      <c r="A76" s="1">
        <v>31487</v>
      </c>
      <c r="F76">
        <v>4</v>
      </c>
      <c r="G76">
        <v>5</v>
      </c>
      <c r="H76">
        <v>7.25</v>
      </c>
    </row>
    <row r="77" spans="1:8" x14ac:dyDescent="0.3">
      <c r="A77" s="1">
        <v>31488</v>
      </c>
      <c r="B77">
        <v>17.88</v>
      </c>
      <c r="C77">
        <v>10.69</v>
      </c>
      <c r="D77">
        <v>12.375</v>
      </c>
      <c r="F77">
        <v>4</v>
      </c>
      <c r="G77">
        <v>5</v>
      </c>
      <c r="H77">
        <v>7.25</v>
      </c>
    </row>
    <row r="78" spans="1:8" x14ac:dyDescent="0.3">
      <c r="A78" s="1">
        <v>31489</v>
      </c>
      <c r="B78">
        <v>18</v>
      </c>
      <c r="C78">
        <v>10.69</v>
      </c>
      <c r="D78">
        <v>12.375</v>
      </c>
      <c r="F78">
        <v>4</v>
      </c>
      <c r="G78">
        <v>5</v>
      </c>
      <c r="H78">
        <v>7.25</v>
      </c>
    </row>
    <row r="79" spans="1:8" x14ac:dyDescent="0.3">
      <c r="A79" s="1">
        <v>31490</v>
      </c>
      <c r="B79">
        <v>17.38</v>
      </c>
      <c r="C79">
        <v>10.69</v>
      </c>
      <c r="D79">
        <v>11.375</v>
      </c>
      <c r="F79">
        <v>4</v>
      </c>
      <c r="G79">
        <v>5</v>
      </c>
      <c r="H79">
        <v>7.25</v>
      </c>
    </row>
    <row r="80" spans="1:8" x14ac:dyDescent="0.3">
      <c r="A80" s="1">
        <v>31491</v>
      </c>
      <c r="B80">
        <v>17.38</v>
      </c>
      <c r="C80">
        <v>10.11</v>
      </c>
      <c r="D80">
        <v>11.375</v>
      </c>
      <c r="F80">
        <v>4</v>
      </c>
      <c r="G80">
        <v>5</v>
      </c>
      <c r="H80">
        <v>7.25</v>
      </c>
    </row>
    <row r="81" spans="1:8" x14ac:dyDescent="0.3">
      <c r="A81" s="1">
        <v>31492</v>
      </c>
      <c r="B81">
        <v>16</v>
      </c>
      <c r="C81">
        <v>10.11</v>
      </c>
      <c r="D81">
        <v>11.375</v>
      </c>
      <c r="F81">
        <v>4</v>
      </c>
      <c r="G81">
        <v>5</v>
      </c>
      <c r="H81">
        <v>7.25</v>
      </c>
    </row>
    <row r="82" spans="1:8" x14ac:dyDescent="0.3">
      <c r="A82" s="1">
        <v>31493</v>
      </c>
      <c r="F82">
        <v>4</v>
      </c>
      <c r="G82">
        <v>5</v>
      </c>
      <c r="H82">
        <v>7.25</v>
      </c>
    </row>
    <row r="83" spans="1:8" x14ac:dyDescent="0.3">
      <c r="A83" s="1">
        <v>31494</v>
      </c>
      <c r="F83">
        <v>4</v>
      </c>
      <c r="G83">
        <v>5</v>
      </c>
      <c r="H83">
        <v>7.25</v>
      </c>
    </row>
    <row r="84" spans="1:8" x14ac:dyDescent="0.3">
      <c r="A84" s="1">
        <v>31495</v>
      </c>
      <c r="B84">
        <v>16.88</v>
      </c>
      <c r="C84">
        <v>10.11</v>
      </c>
      <c r="D84">
        <v>11.375</v>
      </c>
      <c r="F84">
        <v>4</v>
      </c>
      <c r="G84">
        <v>5</v>
      </c>
      <c r="H84">
        <v>7.25</v>
      </c>
    </row>
    <row r="85" spans="1:8" x14ac:dyDescent="0.3">
      <c r="A85" s="1">
        <v>31496</v>
      </c>
      <c r="B85">
        <v>17</v>
      </c>
      <c r="C85">
        <v>10.11</v>
      </c>
      <c r="D85">
        <v>11.375</v>
      </c>
      <c r="F85">
        <v>4</v>
      </c>
      <c r="G85">
        <v>5</v>
      </c>
      <c r="H85">
        <v>7.25</v>
      </c>
    </row>
    <row r="86" spans="1:8" x14ac:dyDescent="0.3">
      <c r="A86" s="1">
        <v>31497</v>
      </c>
      <c r="B86">
        <v>17.38</v>
      </c>
      <c r="C86">
        <v>10.44</v>
      </c>
      <c r="D86">
        <v>11.375</v>
      </c>
      <c r="F86">
        <v>4</v>
      </c>
      <c r="G86">
        <v>5</v>
      </c>
      <c r="H86">
        <v>7.25</v>
      </c>
    </row>
    <row r="87" spans="1:8" x14ac:dyDescent="0.3">
      <c r="A87" s="1">
        <v>31498</v>
      </c>
      <c r="B87">
        <v>16.75</v>
      </c>
      <c r="C87">
        <v>10.44</v>
      </c>
      <c r="D87">
        <v>11.375</v>
      </c>
      <c r="F87">
        <v>4</v>
      </c>
      <c r="G87">
        <v>5</v>
      </c>
      <c r="H87">
        <v>7.25</v>
      </c>
    </row>
    <row r="88" spans="1:8" x14ac:dyDescent="0.3">
      <c r="A88" s="1">
        <v>31499</v>
      </c>
      <c r="C88">
        <v>10.44</v>
      </c>
      <c r="F88">
        <v>4</v>
      </c>
      <c r="G88">
        <v>5</v>
      </c>
      <c r="H88">
        <v>7.25</v>
      </c>
    </row>
    <row r="89" spans="1:8" x14ac:dyDescent="0.3">
      <c r="A89" s="1">
        <v>31500</v>
      </c>
      <c r="F89">
        <v>4</v>
      </c>
      <c r="G89">
        <v>5</v>
      </c>
      <c r="H89">
        <v>7.25</v>
      </c>
    </row>
    <row r="90" spans="1:8" x14ac:dyDescent="0.3">
      <c r="A90" s="1">
        <v>31501</v>
      </c>
      <c r="F90">
        <v>4</v>
      </c>
      <c r="G90">
        <v>5</v>
      </c>
      <c r="H90">
        <v>7.25</v>
      </c>
    </row>
    <row r="91" spans="1:8" x14ac:dyDescent="0.3">
      <c r="A91" s="1">
        <v>31502</v>
      </c>
      <c r="C91">
        <v>10.44</v>
      </c>
      <c r="F91">
        <v>4</v>
      </c>
      <c r="G91">
        <v>5</v>
      </c>
      <c r="H91">
        <v>7.25</v>
      </c>
    </row>
    <row r="92" spans="1:8" x14ac:dyDescent="0.3">
      <c r="A92" s="1">
        <v>31503</v>
      </c>
      <c r="B92">
        <v>17</v>
      </c>
      <c r="C92">
        <v>10.44</v>
      </c>
      <c r="D92">
        <v>11.375</v>
      </c>
      <c r="F92">
        <v>4</v>
      </c>
      <c r="G92">
        <v>5</v>
      </c>
      <c r="H92">
        <v>7.25</v>
      </c>
    </row>
    <row r="93" spans="1:8" x14ac:dyDescent="0.3">
      <c r="A93" s="1">
        <v>31504</v>
      </c>
      <c r="B93">
        <v>17</v>
      </c>
      <c r="C93">
        <v>10.44</v>
      </c>
      <c r="D93">
        <v>11.375</v>
      </c>
      <c r="F93">
        <v>4</v>
      </c>
      <c r="G93">
        <v>5</v>
      </c>
      <c r="H93">
        <v>7.3215000000000003</v>
      </c>
    </row>
    <row r="94" spans="1:8" x14ac:dyDescent="0.3">
      <c r="A94" s="1">
        <v>31505</v>
      </c>
      <c r="B94">
        <v>17</v>
      </c>
      <c r="C94">
        <v>10.14</v>
      </c>
      <c r="D94">
        <v>11.375</v>
      </c>
      <c r="F94">
        <v>4</v>
      </c>
      <c r="G94">
        <v>5</v>
      </c>
      <c r="H94">
        <v>7.3215000000000003</v>
      </c>
    </row>
    <row r="95" spans="1:8" x14ac:dyDescent="0.3">
      <c r="A95" s="1">
        <v>31506</v>
      </c>
      <c r="B95">
        <v>16.38</v>
      </c>
      <c r="C95">
        <v>10.14</v>
      </c>
      <c r="D95">
        <v>11.375</v>
      </c>
      <c r="F95">
        <v>4</v>
      </c>
      <c r="G95">
        <v>5</v>
      </c>
      <c r="H95">
        <v>7.3215000000000003</v>
      </c>
    </row>
    <row r="96" spans="1:8" x14ac:dyDescent="0.3">
      <c r="A96" s="1">
        <v>31507</v>
      </c>
      <c r="F96">
        <v>4</v>
      </c>
      <c r="G96">
        <v>5</v>
      </c>
      <c r="H96">
        <v>7.3215000000000003</v>
      </c>
    </row>
    <row r="97" spans="1:8" x14ac:dyDescent="0.3">
      <c r="A97" s="1">
        <v>31508</v>
      </c>
      <c r="F97">
        <v>4</v>
      </c>
      <c r="G97">
        <v>5</v>
      </c>
      <c r="H97">
        <v>7.3215000000000003</v>
      </c>
    </row>
    <row r="98" spans="1:8" x14ac:dyDescent="0.3">
      <c r="A98" s="1">
        <v>31509</v>
      </c>
      <c r="B98">
        <v>17.38</v>
      </c>
      <c r="C98">
        <v>10.14</v>
      </c>
      <c r="D98">
        <v>11.375</v>
      </c>
      <c r="F98">
        <v>4</v>
      </c>
      <c r="G98">
        <v>5</v>
      </c>
      <c r="H98">
        <v>7.3215000000000003</v>
      </c>
    </row>
    <row r="99" spans="1:8" x14ac:dyDescent="0.3">
      <c r="A99" s="1">
        <v>31510</v>
      </c>
      <c r="B99">
        <v>17.75</v>
      </c>
      <c r="C99">
        <v>10.14</v>
      </c>
      <c r="D99">
        <v>11.375</v>
      </c>
      <c r="F99">
        <v>4</v>
      </c>
      <c r="G99">
        <v>5</v>
      </c>
      <c r="H99">
        <v>7.3215000000000003</v>
      </c>
    </row>
    <row r="100" spans="1:8" x14ac:dyDescent="0.3">
      <c r="A100" s="1">
        <v>31511</v>
      </c>
      <c r="B100">
        <v>18</v>
      </c>
      <c r="C100">
        <v>10.14</v>
      </c>
      <c r="D100">
        <v>11.375</v>
      </c>
      <c r="F100">
        <v>4</v>
      </c>
      <c r="G100">
        <v>5</v>
      </c>
      <c r="H100">
        <v>7.3215000000000003</v>
      </c>
    </row>
    <row r="101" spans="1:8" x14ac:dyDescent="0.3">
      <c r="A101" s="1">
        <v>31512</v>
      </c>
      <c r="B101">
        <v>18.75</v>
      </c>
      <c r="C101">
        <v>9.33</v>
      </c>
      <c r="D101">
        <v>11.375</v>
      </c>
      <c r="F101">
        <v>4</v>
      </c>
      <c r="G101">
        <v>5</v>
      </c>
      <c r="H101">
        <v>7.3215000000000003</v>
      </c>
    </row>
    <row r="102" spans="1:8" x14ac:dyDescent="0.3">
      <c r="A102" s="1">
        <v>31513</v>
      </c>
      <c r="B102">
        <v>18.5</v>
      </c>
      <c r="C102">
        <v>9.33</v>
      </c>
      <c r="D102">
        <v>10.875</v>
      </c>
      <c r="F102">
        <v>4</v>
      </c>
      <c r="G102">
        <v>5</v>
      </c>
      <c r="H102">
        <v>7.3215000000000003</v>
      </c>
    </row>
    <row r="103" spans="1:8" x14ac:dyDescent="0.3">
      <c r="A103" s="1">
        <v>31514</v>
      </c>
      <c r="F103">
        <v>4</v>
      </c>
      <c r="G103">
        <v>5</v>
      </c>
      <c r="H103">
        <v>7.3215000000000003</v>
      </c>
    </row>
    <row r="104" spans="1:8" x14ac:dyDescent="0.3">
      <c r="A104" s="1">
        <v>31515</v>
      </c>
      <c r="F104">
        <v>4</v>
      </c>
      <c r="G104">
        <v>5</v>
      </c>
      <c r="H104">
        <v>7.3215000000000003</v>
      </c>
    </row>
    <row r="105" spans="1:8" x14ac:dyDescent="0.3">
      <c r="A105" s="1">
        <v>31516</v>
      </c>
      <c r="B105">
        <v>18.88</v>
      </c>
      <c r="C105">
        <v>9.33</v>
      </c>
      <c r="D105">
        <v>10.875</v>
      </c>
      <c r="F105">
        <v>4</v>
      </c>
      <c r="G105">
        <v>5</v>
      </c>
      <c r="H105">
        <v>7.3215000000000003</v>
      </c>
    </row>
    <row r="106" spans="1:8" x14ac:dyDescent="0.3">
      <c r="A106" s="1">
        <v>31517</v>
      </c>
      <c r="B106">
        <v>18.38</v>
      </c>
      <c r="C106">
        <v>9.33</v>
      </c>
      <c r="D106">
        <v>10.875</v>
      </c>
      <c r="F106">
        <v>4</v>
      </c>
      <c r="G106">
        <v>5</v>
      </c>
      <c r="H106">
        <v>7.3215000000000003</v>
      </c>
    </row>
    <row r="107" spans="1:8" x14ac:dyDescent="0.3">
      <c r="A107" s="1">
        <v>31518</v>
      </c>
      <c r="B107">
        <v>16.63</v>
      </c>
      <c r="C107">
        <v>9.33</v>
      </c>
      <c r="D107">
        <v>10.875</v>
      </c>
      <c r="F107">
        <v>4</v>
      </c>
      <c r="G107">
        <v>5</v>
      </c>
      <c r="H107">
        <v>7.3215000000000003</v>
      </c>
    </row>
    <row r="108" spans="1:8" x14ac:dyDescent="0.3">
      <c r="A108" s="1">
        <v>31519</v>
      </c>
      <c r="B108">
        <v>16.13</v>
      </c>
      <c r="C108">
        <v>9.23</v>
      </c>
      <c r="D108">
        <v>10.875</v>
      </c>
      <c r="F108">
        <v>4</v>
      </c>
      <c r="G108">
        <v>5</v>
      </c>
      <c r="H108">
        <v>7.3215000000000003</v>
      </c>
    </row>
    <row r="109" spans="1:8" x14ac:dyDescent="0.3">
      <c r="A109" s="1">
        <v>31520</v>
      </c>
      <c r="B109">
        <v>16.5</v>
      </c>
      <c r="C109">
        <v>9.23</v>
      </c>
      <c r="D109">
        <v>10.375</v>
      </c>
      <c r="F109">
        <v>4</v>
      </c>
      <c r="G109">
        <v>5</v>
      </c>
      <c r="H109">
        <v>7.3215000000000003</v>
      </c>
    </row>
    <row r="110" spans="1:8" x14ac:dyDescent="0.3">
      <c r="A110" s="1">
        <v>31521</v>
      </c>
      <c r="F110">
        <v>4</v>
      </c>
      <c r="G110">
        <v>5</v>
      </c>
      <c r="H110">
        <v>7.3215000000000003</v>
      </c>
    </row>
    <row r="111" spans="1:8" x14ac:dyDescent="0.3">
      <c r="A111" s="1">
        <v>31522</v>
      </c>
      <c r="F111">
        <v>4</v>
      </c>
      <c r="G111">
        <v>5</v>
      </c>
      <c r="H111">
        <v>7.3215000000000003</v>
      </c>
    </row>
    <row r="112" spans="1:8" x14ac:dyDescent="0.3">
      <c r="A112" s="1">
        <v>31523</v>
      </c>
      <c r="B112">
        <v>17</v>
      </c>
      <c r="C112">
        <v>9.23</v>
      </c>
      <c r="D112">
        <v>10.375</v>
      </c>
      <c r="F112">
        <v>3.5</v>
      </c>
      <c r="G112">
        <v>5</v>
      </c>
      <c r="H112">
        <v>6.75</v>
      </c>
    </row>
    <row r="113" spans="1:8" x14ac:dyDescent="0.3">
      <c r="A113" s="1">
        <v>31524</v>
      </c>
      <c r="B113">
        <v>16.88</v>
      </c>
      <c r="C113">
        <v>9.23</v>
      </c>
      <c r="D113">
        <v>10.375</v>
      </c>
      <c r="F113">
        <v>3.5</v>
      </c>
      <c r="G113">
        <v>5</v>
      </c>
      <c r="H113">
        <v>6.75</v>
      </c>
    </row>
    <row r="114" spans="1:8" x14ac:dyDescent="0.3">
      <c r="A114" s="1">
        <v>31525</v>
      </c>
      <c r="B114">
        <v>18.25</v>
      </c>
      <c r="C114">
        <v>9.23</v>
      </c>
      <c r="D114">
        <v>10.375</v>
      </c>
      <c r="F114">
        <v>3.5</v>
      </c>
      <c r="G114">
        <v>5</v>
      </c>
      <c r="H114">
        <v>6.75</v>
      </c>
    </row>
    <row r="115" spans="1:8" x14ac:dyDescent="0.3">
      <c r="A115" s="1">
        <v>31526</v>
      </c>
      <c r="B115">
        <v>16.13</v>
      </c>
      <c r="C115">
        <v>9.27</v>
      </c>
      <c r="D115">
        <v>10.375</v>
      </c>
      <c r="F115">
        <v>3.5</v>
      </c>
      <c r="G115">
        <v>5</v>
      </c>
      <c r="H115">
        <v>6.75</v>
      </c>
    </row>
    <row r="116" spans="1:8" x14ac:dyDescent="0.3">
      <c r="A116" s="1">
        <v>31527</v>
      </c>
      <c r="C116">
        <v>9.27</v>
      </c>
      <c r="D116">
        <v>10.375</v>
      </c>
      <c r="F116">
        <v>3.5</v>
      </c>
      <c r="G116">
        <v>5</v>
      </c>
      <c r="H116">
        <v>6.75</v>
      </c>
    </row>
    <row r="117" spans="1:8" x14ac:dyDescent="0.3">
      <c r="A117" s="1">
        <v>31528</v>
      </c>
      <c r="F117">
        <v>3.5</v>
      </c>
      <c r="G117">
        <v>5</v>
      </c>
      <c r="H117">
        <v>6.75</v>
      </c>
    </row>
    <row r="118" spans="1:8" x14ac:dyDescent="0.3">
      <c r="A118" s="1">
        <v>31529</v>
      </c>
      <c r="F118">
        <v>3.5</v>
      </c>
      <c r="G118">
        <v>5</v>
      </c>
      <c r="H118">
        <v>6.75</v>
      </c>
    </row>
    <row r="119" spans="1:8" x14ac:dyDescent="0.3">
      <c r="A119" s="1">
        <v>31530</v>
      </c>
      <c r="B119">
        <v>16.63</v>
      </c>
      <c r="C119">
        <v>9.27</v>
      </c>
      <c r="D119">
        <v>10.375</v>
      </c>
      <c r="F119">
        <v>3.5</v>
      </c>
      <c r="G119">
        <v>5</v>
      </c>
      <c r="H119">
        <v>6.75</v>
      </c>
    </row>
    <row r="120" spans="1:8" x14ac:dyDescent="0.3">
      <c r="A120" s="1">
        <v>31531</v>
      </c>
      <c r="B120">
        <v>15.63</v>
      </c>
      <c r="C120">
        <v>9.27</v>
      </c>
      <c r="D120">
        <v>10.375</v>
      </c>
      <c r="F120">
        <v>3.5</v>
      </c>
      <c r="G120">
        <v>5</v>
      </c>
      <c r="H120">
        <v>6.75</v>
      </c>
    </row>
    <row r="121" spans="1:8" x14ac:dyDescent="0.3">
      <c r="A121" s="1">
        <v>31532</v>
      </c>
      <c r="B121">
        <v>15.38</v>
      </c>
      <c r="C121">
        <v>9.27</v>
      </c>
      <c r="D121">
        <v>10.375</v>
      </c>
      <c r="F121">
        <v>3.5</v>
      </c>
      <c r="G121">
        <v>5</v>
      </c>
      <c r="H121">
        <v>6.75</v>
      </c>
    </row>
    <row r="122" spans="1:8" x14ac:dyDescent="0.3">
      <c r="A122" s="1">
        <v>31533</v>
      </c>
      <c r="B122">
        <v>14.5</v>
      </c>
      <c r="C122">
        <v>8.9700000000000006</v>
      </c>
      <c r="D122">
        <v>10.375</v>
      </c>
      <c r="F122">
        <v>3.5</v>
      </c>
      <c r="G122">
        <v>5</v>
      </c>
      <c r="H122">
        <v>6.75</v>
      </c>
    </row>
    <row r="123" spans="1:8" x14ac:dyDescent="0.3">
      <c r="A123" s="1">
        <v>31534</v>
      </c>
      <c r="B123">
        <v>14.25</v>
      </c>
      <c r="C123">
        <v>8.9700000000000006</v>
      </c>
      <c r="D123">
        <v>10.375</v>
      </c>
      <c r="F123">
        <v>3.5</v>
      </c>
      <c r="G123">
        <v>5</v>
      </c>
      <c r="H123">
        <v>6.75</v>
      </c>
    </row>
    <row r="124" spans="1:8" x14ac:dyDescent="0.3">
      <c r="A124" s="1">
        <v>31535</v>
      </c>
      <c r="F124">
        <v>3.5</v>
      </c>
      <c r="G124">
        <v>5</v>
      </c>
      <c r="H124">
        <v>6.75</v>
      </c>
    </row>
    <row r="125" spans="1:8" x14ac:dyDescent="0.3">
      <c r="A125" s="1">
        <v>31536</v>
      </c>
      <c r="F125">
        <v>3.5</v>
      </c>
      <c r="G125">
        <v>5</v>
      </c>
      <c r="H125">
        <v>6.75</v>
      </c>
    </row>
    <row r="126" spans="1:8" x14ac:dyDescent="0.3">
      <c r="A126" s="1">
        <v>31537</v>
      </c>
      <c r="B126">
        <v>16.88</v>
      </c>
      <c r="C126">
        <v>8.9700000000000006</v>
      </c>
      <c r="F126">
        <v>3.5</v>
      </c>
      <c r="G126">
        <v>5</v>
      </c>
      <c r="H126">
        <v>6.75</v>
      </c>
    </row>
    <row r="127" spans="1:8" x14ac:dyDescent="0.3">
      <c r="A127" s="1">
        <v>31538</v>
      </c>
      <c r="B127">
        <v>16.13</v>
      </c>
      <c r="C127">
        <v>8.9700000000000006</v>
      </c>
      <c r="D127">
        <v>10.375</v>
      </c>
      <c r="F127">
        <v>3.5</v>
      </c>
      <c r="G127">
        <v>5</v>
      </c>
      <c r="H127">
        <v>6.75</v>
      </c>
    </row>
    <row r="128" spans="1:8" x14ac:dyDescent="0.3">
      <c r="A128" s="1">
        <v>31539</v>
      </c>
      <c r="B128">
        <v>15.38</v>
      </c>
      <c r="C128">
        <v>8.9700000000000006</v>
      </c>
      <c r="D128">
        <v>10.375</v>
      </c>
      <c r="F128">
        <v>3.5</v>
      </c>
      <c r="G128">
        <v>5</v>
      </c>
      <c r="H128">
        <v>6.75</v>
      </c>
    </row>
    <row r="129" spans="1:8" x14ac:dyDescent="0.3">
      <c r="A129" s="1">
        <v>31540</v>
      </c>
      <c r="B129">
        <v>15.5</v>
      </c>
      <c r="C129">
        <v>8.7200000000000006</v>
      </c>
      <c r="D129">
        <v>10.375</v>
      </c>
      <c r="F129">
        <v>3.5</v>
      </c>
      <c r="G129">
        <v>5</v>
      </c>
      <c r="H129">
        <v>6.75</v>
      </c>
    </row>
    <row r="130" spans="1:8" x14ac:dyDescent="0.3">
      <c r="A130" s="1">
        <v>31541</v>
      </c>
      <c r="B130">
        <v>15.38</v>
      </c>
      <c r="C130">
        <v>8.7200000000000006</v>
      </c>
      <c r="D130">
        <v>10.375</v>
      </c>
      <c r="F130">
        <v>3.5</v>
      </c>
      <c r="G130">
        <v>5</v>
      </c>
      <c r="H130">
        <v>6.75</v>
      </c>
    </row>
    <row r="131" spans="1:8" x14ac:dyDescent="0.3">
      <c r="A131" s="1">
        <v>31542</v>
      </c>
      <c r="F131">
        <v>3.5</v>
      </c>
      <c r="G131">
        <v>5</v>
      </c>
      <c r="H131">
        <v>6.75</v>
      </c>
    </row>
    <row r="132" spans="1:8" x14ac:dyDescent="0.3">
      <c r="A132" s="1">
        <v>31543</v>
      </c>
      <c r="F132">
        <v>3.5</v>
      </c>
      <c r="G132">
        <v>5</v>
      </c>
      <c r="H132">
        <v>6.75</v>
      </c>
    </row>
    <row r="133" spans="1:8" x14ac:dyDescent="0.3">
      <c r="A133" s="1">
        <v>31544</v>
      </c>
      <c r="B133">
        <v>15.75</v>
      </c>
      <c r="C133">
        <v>8.7200000000000006</v>
      </c>
      <c r="D133">
        <v>10.375</v>
      </c>
      <c r="F133">
        <v>3.5</v>
      </c>
      <c r="G133">
        <v>5</v>
      </c>
      <c r="H133">
        <v>6.75</v>
      </c>
    </row>
    <row r="134" spans="1:8" x14ac:dyDescent="0.3">
      <c r="A134" s="1">
        <v>31545</v>
      </c>
      <c r="B134">
        <v>15.63</v>
      </c>
      <c r="C134">
        <v>8.7200000000000006</v>
      </c>
      <c r="D134">
        <v>10.375</v>
      </c>
      <c r="F134">
        <v>3.5</v>
      </c>
      <c r="G134">
        <v>5</v>
      </c>
      <c r="H134">
        <v>6.75</v>
      </c>
    </row>
    <row r="135" spans="1:8" x14ac:dyDescent="0.3">
      <c r="A135" s="1">
        <v>31546</v>
      </c>
      <c r="B135">
        <v>14.63</v>
      </c>
      <c r="C135">
        <v>8.7200000000000006</v>
      </c>
      <c r="D135">
        <v>10.375</v>
      </c>
      <c r="F135">
        <v>3.5</v>
      </c>
      <c r="G135">
        <v>5</v>
      </c>
      <c r="H135">
        <v>6.75</v>
      </c>
    </row>
    <row r="136" spans="1:8" x14ac:dyDescent="0.3">
      <c r="A136" s="1">
        <v>31547</v>
      </c>
      <c r="B136">
        <v>13.88</v>
      </c>
      <c r="C136">
        <v>8.59</v>
      </c>
      <c r="D136">
        <v>10.375</v>
      </c>
      <c r="F136">
        <v>3.5</v>
      </c>
      <c r="G136">
        <v>5</v>
      </c>
      <c r="H136">
        <v>6.75</v>
      </c>
    </row>
    <row r="137" spans="1:8" x14ac:dyDescent="0.3">
      <c r="A137" s="1">
        <v>31548</v>
      </c>
      <c r="B137">
        <v>14.38</v>
      </c>
      <c r="C137">
        <v>8.59</v>
      </c>
      <c r="D137">
        <v>10.375</v>
      </c>
      <c r="F137">
        <v>3.5</v>
      </c>
      <c r="G137">
        <v>5</v>
      </c>
      <c r="H137">
        <v>6.75</v>
      </c>
    </row>
    <row r="138" spans="1:8" x14ac:dyDescent="0.3">
      <c r="A138" s="1">
        <v>31549</v>
      </c>
      <c r="F138">
        <v>3.5</v>
      </c>
      <c r="G138">
        <v>5</v>
      </c>
      <c r="H138">
        <v>6.75</v>
      </c>
    </row>
    <row r="139" spans="1:8" x14ac:dyDescent="0.3">
      <c r="A139" s="1">
        <v>31550</v>
      </c>
      <c r="F139">
        <v>3.5</v>
      </c>
      <c r="G139">
        <v>5</v>
      </c>
      <c r="H139">
        <v>6.75</v>
      </c>
    </row>
    <row r="140" spans="1:8" x14ac:dyDescent="0.3">
      <c r="A140" s="1">
        <v>31551</v>
      </c>
      <c r="B140">
        <v>14.63</v>
      </c>
      <c r="C140">
        <v>8.59</v>
      </c>
      <c r="D140">
        <v>10.375</v>
      </c>
      <c r="F140">
        <v>3.5</v>
      </c>
      <c r="G140">
        <v>5</v>
      </c>
      <c r="H140">
        <v>6.75</v>
      </c>
    </row>
    <row r="141" spans="1:8" x14ac:dyDescent="0.3">
      <c r="A141" s="1">
        <v>31552</v>
      </c>
      <c r="B141">
        <v>14.88</v>
      </c>
      <c r="C141">
        <v>8.59</v>
      </c>
      <c r="D141">
        <v>10.375</v>
      </c>
      <c r="F141">
        <v>3.5</v>
      </c>
      <c r="G141">
        <v>5</v>
      </c>
      <c r="H141">
        <v>6.75</v>
      </c>
    </row>
    <row r="142" spans="1:8" x14ac:dyDescent="0.3">
      <c r="A142" s="1">
        <v>31553</v>
      </c>
      <c r="B142">
        <v>15.13</v>
      </c>
      <c r="C142">
        <v>8.59</v>
      </c>
      <c r="D142">
        <v>10.375</v>
      </c>
      <c r="F142">
        <v>3.5</v>
      </c>
      <c r="G142">
        <v>5</v>
      </c>
      <c r="H142">
        <v>6.75</v>
      </c>
    </row>
    <row r="143" spans="1:8" x14ac:dyDescent="0.3">
      <c r="A143" s="1">
        <v>31554</v>
      </c>
      <c r="B143">
        <v>16.38</v>
      </c>
      <c r="C143">
        <v>8.43</v>
      </c>
      <c r="D143">
        <v>10.375</v>
      </c>
      <c r="F143">
        <v>3.5</v>
      </c>
      <c r="G143">
        <v>5</v>
      </c>
      <c r="H143">
        <v>6.8125</v>
      </c>
    </row>
    <row r="144" spans="1:8" x14ac:dyDescent="0.3">
      <c r="A144" s="1">
        <v>31555</v>
      </c>
      <c r="B144">
        <v>15.5</v>
      </c>
      <c r="C144">
        <v>8.43</v>
      </c>
      <c r="D144">
        <v>9.875</v>
      </c>
      <c r="F144">
        <v>3.5</v>
      </c>
      <c r="G144">
        <v>5</v>
      </c>
      <c r="H144">
        <v>6.8125</v>
      </c>
    </row>
    <row r="145" spans="1:8" x14ac:dyDescent="0.3">
      <c r="A145" s="1">
        <v>31556</v>
      </c>
      <c r="F145">
        <v>3.5</v>
      </c>
      <c r="G145">
        <v>5</v>
      </c>
      <c r="H145">
        <v>6.8125</v>
      </c>
    </row>
    <row r="146" spans="1:8" x14ac:dyDescent="0.3">
      <c r="A146" s="1">
        <v>31557</v>
      </c>
      <c r="F146">
        <v>3.5</v>
      </c>
      <c r="G146">
        <v>5</v>
      </c>
      <c r="H146">
        <v>6.8125</v>
      </c>
    </row>
    <row r="147" spans="1:8" x14ac:dyDescent="0.3">
      <c r="A147" s="1">
        <v>31558</v>
      </c>
      <c r="B147">
        <v>15.25</v>
      </c>
      <c r="C147">
        <v>8.43</v>
      </c>
      <c r="F147">
        <v>3.5</v>
      </c>
      <c r="G147">
        <v>5</v>
      </c>
      <c r="H147">
        <v>6.8125</v>
      </c>
    </row>
    <row r="148" spans="1:8" x14ac:dyDescent="0.3">
      <c r="A148" s="1">
        <v>31559</v>
      </c>
      <c r="B148">
        <v>14.63</v>
      </c>
      <c r="C148">
        <v>8.43</v>
      </c>
      <c r="D148">
        <v>9.875</v>
      </c>
      <c r="F148">
        <v>3.5</v>
      </c>
      <c r="G148">
        <v>5</v>
      </c>
      <c r="H148">
        <v>6.8125</v>
      </c>
    </row>
    <row r="149" spans="1:8" x14ac:dyDescent="0.3">
      <c r="A149" s="1">
        <v>31560</v>
      </c>
      <c r="B149">
        <v>14.5</v>
      </c>
      <c r="C149">
        <v>8.43</v>
      </c>
      <c r="D149">
        <v>9.875</v>
      </c>
      <c r="F149">
        <v>3.5</v>
      </c>
      <c r="G149">
        <v>5</v>
      </c>
      <c r="H149">
        <v>6.8125</v>
      </c>
    </row>
    <row r="150" spans="1:8" x14ac:dyDescent="0.3">
      <c r="A150" s="1">
        <v>31561</v>
      </c>
      <c r="B150">
        <v>14.5</v>
      </c>
      <c r="C150">
        <v>8.58</v>
      </c>
      <c r="D150">
        <v>9.875</v>
      </c>
      <c r="F150">
        <v>3.5</v>
      </c>
      <c r="G150">
        <v>5</v>
      </c>
      <c r="H150">
        <v>6.8125</v>
      </c>
    </row>
    <row r="151" spans="1:8" x14ac:dyDescent="0.3">
      <c r="A151" s="1">
        <v>31562</v>
      </c>
      <c r="B151">
        <v>14.75</v>
      </c>
      <c r="C151">
        <v>8.58</v>
      </c>
      <c r="D151">
        <v>9.875</v>
      </c>
      <c r="F151">
        <v>3.5</v>
      </c>
      <c r="G151">
        <v>5</v>
      </c>
      <c r="H151">
        <v>6.8125</v>
      </c>
    </row>
    <row r="152" spans="1:8" x14ac:dyDescent="0.3">
      <c r="A152" s="1">
        <v>31563</v>
      </c>
      <c r="F152">
        <v>3.5</v>
      </c>
      <c r="G152">
        <v>5</v>
      </c>
      <c r="H152">
        <v>6.8125</v>
      </c>
    </row>
    <row r="153" spans="1:8" x14ac:dyDescent="0.3">
      <c r="A153" s="1">
        <v>31564</v>
      </c>
      <c r="F153">
        <v>3.5</v>
      </c>
      <c r="G153">
        <v>5</v>
      </c>
      <c r="H153">
        <v>6.8125</v>
      </c>
    </row>
    <row r="154" spans="1:8" x14ac:dyDescent="0.3">
      <c r="A154" s="1">
        <v>31565</v>
      </c>
      <c r="B154">
        <v>14.75</v>
      </c>
      <c r="C154">
        <v>8.58</v>
      </c>
      <c r="D154">
        <v>9.875</v>
      </c>
      <c r="F154">
        <v>3.5</v>
      </c>
      <c r="G154">
        <v>5</v>
      </c>
      <c r="H154">
        <v>6.8125</v>
      </c>
    </row>
    <row r="155" spans="1:8" x14ac:dyDescent="0.3">
      <c r="A155" s="1">
        <v>31566</v>
      </c>
      <c r="B155">
        <v>13.88</v>
      </c>
      <c r="C155">
        <v>8.58</v>
      </c>
      <c r="D155">
        <v>9.875</v>
      </c>
      <c r="F155">
        <v>3.5</v>
      </c>
      <c r="G155">
        <v>5</v>
      </c>
      <c r="H155">
        <v>6.8125</v>
      </c>
    </row>
    <row r="156" spans="1:8" x14ac:dyDescent="0.3">
      <c r="A156" s="1">
        <v>31567</v>
      </c>
      <c r="B156">
        <v>14.13</v>
      </c>
      <c r="C156">
        <v>8.58</v>
      </c>
      <c r="D156">
        <v>9.875</v>
      </c>
      <c r="F156">
        <v>3.5</v>
      </c>
      <c r="G156">
        <v>5</v>
      </c>
      <c r="H156">
        <v>6.8125</v>
      </c>
    </row>
    <row r="157" spans="1:8" x14ac:dyDescent="0.3">
      <c r="A157" s="1">
        <v>31568</v>
      </c>
      <c r="B157">
        <v>15.13</v>
      </c>
      <c r="C157">
        <v>8.92</v>
      </c>
      <c r="D157">
        <v>9.875</v>
      </c>
      <c r="F157">
        <v>3.5</v>
      </c>
      <c r="G157">
        <v>5</v>
      </c>
      <c r="H157">
        <v>6.875</v>
      </c>
    </row>
    <row r="158" spans="1:8" x14ac:dyDescent="0.3">
      <c r="A158" s="1">
        <v>31569</v>
      </c>
      <c r="B158">
        <v>15.25</v>
      </c>
      <c r="C158">
        <v>8.92</v>
      </c>
      <c r="D158">
        <v>9.875</v>
      </c>
      <c r="F158">
        <v>3.5</v>
      </c>
      <c r="G158">
        <v>5</v>
      </c>
      <c r="H158">
        <v>6.875</v>
      </c>
    </row>
    <row r="159" spans="1:8" x14ac:dyDescent="0.3">
      <c r="A159" s="1">
        <v>31570</v>
      </c>
      <c r="F159">
        <v>3.5</v>
      </c>
      <c r="G159">
        <v>5</v>
      </c>
      <c r="H159">
        <v>6.875</v>
      </c>
    </row>
    <row r="160" spans="1:8" x14ac:dyDescent="0.3">
      <c r="A160" s="1">
        <v>31571</v>
      </c>
      <c r="F160">
        <v>3.5</v>
      </c>
      <c r="G160">
        <v>5</v>
      </c>
      <c r="H160">
        <v>6.875</v>
      </c>
    </row>
    <row r="161" spans="1:8" x14ac:dyDescent="0.3">
      <c r="A161" s="1">
        <v>31572</v>
      </c>
      <c r="B161">
        <v>15.25</v>
      </c>
      <c r="C161">
        <v>8.92</v>
      </c>
      <c r="D161">
        <v>9.875</v>
      </c>
      <c r="F161">
        <v>3.5</v>
      </c>
      <c r="G161">
        <v>5</v>
      </c>
      <c r="H161">
        <v>6.875</v>
      </c>
    </row>
    <row r="162" spans="1:8" x14ac:dyDescent="0.3">
      <c r="A162" s="1">
        <v>31573</v>
      </c>
      <c r="B162">
        <v>15.38</v>
      </c>
      <c r="C162">
        <v>8.92</v>
      </c>
      <c r="D162">
        <v>9.875</v>
      </c>
      <c r="F162">
        <v>3.5</v>
      </c>
      <c r="G162">
        <v>5</v>
      </c>
      <c r="H162">
        <v>6.875</v>
      </c>
    </row>
    <row r="163" spans="1:8" x14ac:dyDescent="0.3">
      <c r="A163" s="1">
        <v>31574</v>
      </c>
      <c r="B163">
        <v>16.88</v>
      </c>
      <c r="C163">
        <v>8.92</v>
      </c>
      <c r="D163">
        <v>9.875</v>
      </c>
      <c r="F163">
        <v>3.5</v>
      </c>
      <c r="G163">
        <v>5</v>
      </c>
      <c r="H163">
        <v>6.875</v>
      </c>
    </row>
    <row r="164" spans="1:8" x14ac:dyDescent="0.3">
      <c r="A164" s="1">
        <v>31575</v>
      </c>
      <c r="B164">
        <v>18.5</v>
      </c>
      <c r="C164">
        <v>8.7899999999999991</v>
      </c>
      <c r="D164">
        <v>9.875</v>
      </c>
      <c r="F164">
        <v>3.5</v>
      </c>
      <c r="G164">
        <v>5</v>
      </c>
      <c r="H164">
        <v>6.875</v>
      </c>
    </row>
    <row r="165" spans="1:8" x14ac:dyDescent="0.3">
      <c r="A165" s="1">
        <v>31576</v>
      </c>
      <c r="B165">
        <v>15.88</v>
      </c>
      <c r="C165">
        <v>8.7899999999999991</v>
      </c>
      <c r="D165">
        <v>9.875</v>
      </c>
      <c r="F165">
        <v>3.5</v>
      </c>
      <c r="G165">
        <v>5</v>
      </c>
      <c r="H165">
        <v>6.875</v>
      </c>
    </row>
    <row r="166" spans="1:8" x14ac:dyDescent="0.3">
      <c r="A166" s="1">
        <v>31577</v>
      </c>
      <c r="F166">
        <v>3.5</v>
      </c>
      <c r="G166">
        <v>5</v>
      </c>
      <c r="H166">
        <v>6.875</v>
      </c>
    </row>
    <row r="167" spans="1:8" x14ac:dyDescent="0.3">
      <c r="A167" s="1">
        <v>31578</v>
      </c>
      <c r="F167">
        <v>3.5</v>
      </c>
      <c r="G167">
        <v>5</v>
      </c>
      <c r="H167">
        <v>6.875</v>
      </c>
    </row>
    <row r="168" spans="1:8" x14ac:dyDescent="0.3">
      <c r="A168" s="1">
        <v>31579</v>
      </c>
      <c r="B168">
        <v>16</v>
      </c>
      <c r="C168">
        <v>8.7899999999999991</v>
      </c>
      <c r="D168">
        <v>9.875</v>
      </c>
      <c r="F168">
        <v>3.5</v>
      </c>
      <c r="G168">
        <v>5</v>
      </c>
      <c r="H168">
        <v>6.875</v>
      </c>
    </row>
    <row r="169" spans="1:8" x14ac:dyDescent="0.3">
      <c r="A169" s="1">
        <v>31580</v>
      </c>
      <c r="B169">
        <v>14.88</v>
      </c>
      <c r="C169">
        <v>8.7899999999999991</v>
      </c>
      <c r="D169">
        <v>9.875</v>
      </c>
      <c r="F169">
        <v>3.5</v>
      </c>
      <c r="G169">
        <v>5</v>
      </c>
      <c r="H169">
        <v>6.875</v>
      </c>
    </row>
    <row r="170" spans="1:8" x14ac:dyDescent="0.3">
      <c r="A170" s="1">
        <v>31581</v>
      </c>
      <c r="B170">
        <v>14.88</v>
      </c>
      <c r="C170">
        <v>8.7899999999999991</v>
      </c>
      <c r="D170">
        <v>9.875</v>
      </c>
      <c r="F170">
        <v>3.5</v>
      </c>
      <c r="G170">
        <v>5</v>
      </c>
      <c r="H170">
        <v>6.875</v>
      </c>
    </row>
    <row r="171" spans="1:8" x14ac:dyDescent="0.3">
      <c r="A171" s="1">
        <v>31582</v>
      </c>
      <c r="B171">
        <v>14.75</v>
      </c>
      <c r="C171">
        <v>8.84</v>
      </c>
      <c r="D171">
        <v>9.875</v>
      </c>
      <c r="F171">
        <v>3.5</v>
      </c>
      <c r="G171">
        <v>5</v>
      </c>
      <c r="H171">
        <v>6.875</v>
      </c>
    </row>
    <row r="172" spans="1:8" x14ac:dyDescent="0.3">
      <c r="A172" s="1">
        <v>31583</v>
      </c>
      <c r="B172">
        <v>14.63</v>
      </c>
      <c r="C172">
        <v>8.84</v>
      </c>
      <c r="D172">
        <v>9.875</v>
      </c>
      <c r="F172">
        <v>3.5</v>
      </c>
      <c r="G172">
        <v>5</v>
      </c>
      <c r="H172">
        <v>6.875</v>
      </c>
    </row>
    <row r="173" spans="1:8" x14ac:dyDescent="0.3">
      <c r="A173" s="1">
        <v>31584</v>
      </c>
      <c r="F173">
        <v>3.5</v>
      </c>
      <c r="G173">
        <v>5</v>
      </c>
      <c r="H173">
        <v>6.875</v>
      </c>
    </row>
    <row r="174" spans="1:8" x14ac:dyDescent="0.3">
      <c r="A174" s="1">
        <v>31585</v>
      </c>
      <c r="F174">
        <v>3.5</v>
      </c>
      <c r="G174">
        <v>5</v>
      </c>
      <c r="H174">
        <v>6.875</v>
      </c>
    </row>
    <row r="175" spans="1:8" x14ac:dyDescent="0.3">
      <c r="A175" s="1">
        <v>31586</v>
      </c>
      <c r="B175">
        <v>14.75</v>
      </c>
      <c r="C175">
        <v>8.84</v>
      </c>
      <c r="D175">
        <v>9.875</v>
      </c>
      <c r="F175">
        <v>3.5</v>
      </c>
      <c r="G175">
        <v>5</v>
      </c>
      <c r="H175">
        <v>6.875</v>
      </c>
    </row>
    <row r="176" spans="1:8" x14ac:dyDescent="0.3">
      <c r="A176" s="1">
        <v>31587</v>
      </c>
      <c r="B176">
        <v>14.13</v>
      </c>
      <c r="C176">
        <v>8.84</v>
      </c>
      <c r="D176">
        <v>9.875</v>
      </c>
      <c r="F176">
        <v>3.5</v>
      </c>
      <c r="G176">
        <v>5</v>
      </c>
      <c r="H176">
        <v>6.875</v>
      </c>
    </row>
    <row r="177" spans="1:8" x14ac:dyDescent="0.3">
      <c r="A177" s="1">
        <v>31588</v>
      </c>
      <c r="B177">
        <v>14.63</v>
      </c>
      <c r="C177">
        <v>8.84</v>
      </c>
      <c r="D177">
        <v>9.875</v>
      </c>
      <c r="F177">
        <v>3.5</v>
      </c>
      <c r="G177">
        <v>5</v>
      </c>
      <c r="H177">
        <v>6.875</v>
      </c>
    </row>
    <row r="178" spans="1:8" x14ac:dyDescent="0.3">
      <c r="A178" s="1">
        <v>31589</v>
      </c>
      <c r="B178">
        <v>15.5</v>
      </c>
      <c r="C178">
        <v>8.84</v>
      </c>
      <c r="D178">
        <v>9.875</v>
      </c>
      <c r="F178">
        <v>3.5</v>
      </c>
      <c r="G178">
        <v>5</v>
      </c>
      <c r="H178">
        <v>6.875</v>
      </c>
    </row>
    <row r="179" spans="1:8" x14ac:dyDescent="0.3">
      <c r="A179" s="1">
        <v>31590</v>
      </c>
      <c r="B179">
        <v>16</v>
      </c>
      <c r="C179">
        <v>8.84</v>
      </c>
      <c r="D179">
        <v>9.875</v>
      </c>
      <c r="F179">
        <v>3.5</v>
      </c>
      <c r="G179">
        <v>5</v>
      </c>
      <c r="H179">
        <v>6.875</v>
      </c>
    </row>
    <row r="180" spans="1:8" x14ac:dyDescent="0.3">
      <c r="A180" s="1">
        <v>31591</v>
      </c>
      <c r="F180">
        <v>3.5</v>
      </c>
      <c r="G180">
        <v>5</v>
      </c>
      <c r="H180">
        <v>6.875</v>
      </c>
    </row>
    <row r="181" spans="1:8" x14ac:dyDescent="0.3">
      <c r="A181" s="1">
        <v>31592</v>
      </c>
      <c r="F181">
        <v>3.5</v>
      </c>
      <c r="G181">
        <v>5</v>
      </c>
      <c r="H181">
        <v>6.875</v>
      </c>
    </row>
    <row r="182" spans="1:8" x14ac:dyDescent="0.3">
      <c r="A182" s="1">
        <v>31593</v>
      </c>
      <c r="B182">
        <v>19</v>
      </c>
      <c r="C182">
        <v>8.84</v>
      </c>
      <c r="D182">
        <v>9.875</v>
      </c>
      <c r="F182">
        <v>3.5</v>
      </c>
      <c r="G182">
        <v>5</v>
      </c>
      <c r="H182">
        <v>6.875</v>
      </c>
    </row>
    <row r="183" spans="1:8" x14ac:dyDescent="0.3">
      <c r="A183" s="1">
        <v>31594</v>
      </c>
      <c r="B183">
        <v>15.88</v>
      </c>
      <c r="C183">
        <v>8.84</v>
      </c>
      <c r="D183">
        <v>9.875</v>
      </c>
      <c r="F183">
        <v>3.5</v>
      </c>
      <c r="G183">
        <v>5</v>
      </c>
      <c r="H183">
        <v>6.875</v>
      </c>
    </row>
    <row r="184" spans="1:8" x14ac:dyDescent="0.3">
      <c r="A184" s="1">
        <v>31595</v>
      </c>
      <c r="B184">
        <v>13.88</v>
      </c>
      <c r="C184">
        <v>8.84</v>
      </c>
      <c r="D184">
        <v>9.875</v>
      </c>
      <c r="F184">
        <v>3.5</v>
      </c>
      <c r="G184">
        <v>5</v>
      </c>
      <c r="H184">
        <v>6.875</v>
      </c>
    </row>
    <row r="185" spans="1:8" x14ac:dyDescent="0.3">
      <c r="A185" s="1">
        <v>31596</v>
      </c>
      <c r="B185">
        <v>14.5</v>
      </c>
      <c r="C185">
        <v>8.65</v>
      </c>
      <c r="D185">
        <v>9.875</v>
      </c>
      <c r="F185">
        <v>3.5</v>
      </c>
      <c r="G185">
        <v>5</v>
      </c>
      <c r="H185">
        <v>6.875</v>
      </c>
    </row>
    <row r="186" spans="1:8" x14ac:dyDescent="0.3">
      <c r="A186" s="1">
        <v>31597</v>
      </c>
      <c r="B186">
        <v>14.5</v>
      </c>
      <c r="C186">
        <v>8.65</v>
      </c>
      <c r="D186">
        <v>9.875</v>
      </c>
      <c r="F186">
        <v>3.5</v>
      </c>
      <c r="G186">
        <v>5</v>
      </c>
      <c r="H186">
        <v>6.875</v>
      </c>
    </row>
    <row r="187" spans="1:8" x14ac:dyDescent="0.3">
      <c r="A187" s="1">
        <v>31598</v>
      </c>
      <c r="F187">
        <v>3.5</v>
      </c>
      <c r="G187">
        <v>5</v>
      </c>
      <c r="H187">
        <v>6.875</v>
      </c>
    </row>
    <row r="188" spans="1:8" x14ac:dyDescent="0.3">
      <c r="A188" s="1">
        <v>31599</v>
      </c>
      <c r="F188">
        <v>3.5</v>
      </c>
      <c r="G188">
        <v>5</v>
      </c>
      <c r="H188">
        <v>6.875</v>
      </c>
    </row>
    <row r="189" spans="1:8" x14ac:dyDescent="0.3">
      <c r="A189" s="1">
        <v>31600</v>
      </c>
      <c r="B189">
        <v>14</v>
      </c>
      <c r="C189">
        <v>8.65</v>
      </c>
      <c r="D189">
        <v>9.875</v>
      </c>
      <c r="F189">
        <v>3.5</v>
      </c>
      <c r="G189">
        <v>5</v>
      </c>
      <c r="H189">
        <v>6.875</v>
      </c>
    </row>
    <row r="190" spans="1:8" x14ac:dyDescent="0.3">
      <c r="A190" s="1">
        <v>31601</v>
      </c>
      <c r="B190">
        <v>15.25</v>
      </c>
      <c r="C190">
        <v>8.65</v>
      </c>
      <c r="D190">
        <v>9.875</v>
      </c>
      <c r="F190">
        <v>3.5</v>
      </c>
      <c r="G190">
        <v>5</v>
      </c>
      <c r="H190">
        <v>6.875</v>
      </c>
    </row>
    <row r="191" spans="1:8" x14ac:dyDescent="0.3">
      <c r="A191" s="1">
        <v>31602</v>
      </c>
      <c r="B191">
        <v>15.88</v>
      </c>
      <c r="C191">
        <v>8.65</v>
      </c>
      <c r="D191">
        <v>9.875</v>
      </c>
      <c r="F191">
        <v>3.5</v>
      </c>
      <c r="G191">
        <v>5</v>
      </c>
      <c r="H191">
        <v>6.875</v>
      </c>
    </row>
    <row r="192" spans="1:8" x14ac:dyDescent="0.3">
      <c r="A192" s="1">
        <v>31603</v>
      </c>
      <c r="B192">
        <v>15.88</v>
      </c>
      <c r="C192">
        <v>8.57</v>
      </c>
      <c r="D192">
        <v>9.875</v>
      </c>
      <c r="F192">
        <v>3.5</v>
      </c>
      <c r="G192">
        <v>5</v>
      </c>
      <c r="H192">
        <v>6.875</v>
      </c>
    </row>
    <row r="193" spans="1:8" x14ac:dyDescent="0.3">
      <c r="A193" s="1">
        <v>31604</v>
      </c>
      <c r="B193">
        <v>16</v>
      </c>
      <c r="C193">
        <v>8.57</v>
      </c>
      <c r="D193">
        <v>9.875</v>
      </c>
      <c r="F193">
        <v>3.5</v>
      </c>
      <c r="G193">
        <v>5</v>
      </c>
      <c r="H193">
        <v>6.375</v>
      </c>
    </row>
    <row r="194" spans="1:8" x14ac:dyDescent="0.3">
      <c r="A194" s="1">
        <v>31605</v>
      </c>
      <c r="F194">
        <v>3.5</v>
      </c>
      <c r="G194">
        <v>5</v>
      </c>
      <c r="H194">
        <v>6.375</v>
      </c>
    </row>
    <row r="195" spans="1:8" x14ac:dyDescent="0.3">
      <c r="A195" s="1">
        <v>31606</v>
      </c>
      <c r="F195">
        <v>3.5</v>
      </c>
      <c r="G195">
        <v>5</v>
      </c>
      <c r="H195">
        <v>6.375</v>
      </c>
    </row>
    <row r="196" spans="1:8" x14ac:dyDescent="0.3">
      <c r="A196" s="1">
        <v>31607</v>
      </c>
      <c r="B196">
        <v>14.63</v>
      </c>
      <c r="C196">
        <v>8.57</v>
      </c>
      <c r="D196">
        <v>9.875</v>
      </c>
      <c r="F196">
        <v>3.5</v>
      </c>
      <c r="G196">
        <v>5</v>
      </c>
      <c r="H196">
        <v>6.375</v>
      </c>
    </row>
    <row r="197" spans="1:8" x14ac:dyDescent="0.3">
      <c r="A197" s="1">
        <v>31608</v>
      </c>
      <c r="B197">
        <v>14.25</v>
      </c>
      <c r="C197">
        <v>8.57</v>
      </c>
      <c r="D197">
        <v>9.875</v>
      </c>
      <c r="F197">
        <v>3.5</v>
      </c>
      <c r="G197">
        <v>5</v>
      </c>
      <c r="H197">
        <v>6.375</v>
      </c>
    </row>
    <row r="198" spans="1:8" x14ac:dyDescent="0.3">
      <c r="A198" s="1">
        <v>31609</v>
      </c>
      <c r="B198">
        <v>14.13</v>
      </c>
      <c r="C198">
        <v>8.57</v>
      </c>
      <c r="D198">
        <v>9.875</v>
      </c>
      <c r="F198">
        <v>3.5</v>
      </c>
      <c r="G198">
        <v>5</v>
      </c>
      <c r="H198">
        <v>6.375</v>
      </c>
    </row>
    <row r="199" spans="1:8" x14ac:dyDescent="0.3">
      <c r="A199" s="1">
        <v>31610</v>
      </c>
      <c r="B199">
        <v>14.75</v>
      </c>
      <c r="C199">
        <v>8.34</v>
      </c>
      <c r="D199">
        <v>9.875</v>
      </c>
      <c r="F199">
        <v>3.5</v>
      </c>
      <c r="G199">
        <v>5</v>
      </c>
      <c r="H199">
        <v>6.375</v>
      </c>
    </row>
    <row r="200" spans="1:8" x14ac:dyDescent="0.3">
      <c r="A200" s="1">
        <v>31611</v>
      </c>
      <c r="B200">
        <v>14.13</v>
      </c>
      <c r="C200">
        <v>8.34</v>
      </c>
      <c r="D200">
        <v>9.875</v>
      </c>
      <c r="F200">
        <v>3.5</v>
      </c>
      <c r="G200">
        <v>5</v>
      </c>
      <c r="H200">
        <v>6.375</v>
      </c>
    </row>
    <row r="201" spans="1:8" x14ac:dyDescent="0.3">
      <c r="A201" s="1">
        <v>31612</v>
      </c>
      <c r="F201">
        <v>3.5</v>
      </c>
      <c r="G201">
        <v>5</v>
      </c>
      <c r="H201">
        <v>6.375</v>
      </c>
    </row>
    <row r="202" spans="1:8" x14ac:dyDescent="0.3">
      <c r="A202" s="1">
        <v>31613</v>
      </c>
      <c r="F202">
        <v>3.5</v>
      </c>
      <c r="G202">
        <v>5</v>
      </c>
      <c r="H202">
        <v>6.375</v>
      </c>
    </row>
    <row r="203" spans="1:8" x14ac:dyDescent="0.3">
      <c r="A203" s="1">
        <v>31614</v>
      </c>
      <c r="B203">
        <v>14</v>
      </c>
      <c r="C203">
        <v>8.34</v>
      </c>
      <c r="D203">
        <v>9.875</v>
      </c>
      <c r="F203">
        <v>3.5</v>
      </c>
      <c r="G203">
        <v>5</v>
      </c>
      <c r="H203">
        <v>6.375</v>
      </c>
    </row>
    <row r="204" spans="1:8" x14ac:dyDescent="0.3">
      <c r="A204" s="1">
        <v>31615</v>
      </c>
      <c r="B204">
        <v>13.63</v>
      </c>
      <c r="C204">
        <v>8.34</v>
      </c>
      <c r="D204">
        <v>9.875</v>
      </c>
      <c r="F204">
        <v>3.5</v>
      </c>
      <c r="G204">
        <v>5</v>
      </c>
      <c r="H204">
        <v>6.375</v>
      </c>
    </row>
    <row r="205" spans="1:8" x14ac:dyDescent="0.3">
      <c r="A205" s="1">
        <v>31616</v>
      </c>
      <c r="B205">
        <v>14.13</v>
      </c>
      <c r="C205">
        <v>8.34</v>
      </c>
      <c r="D205">
        <v>9.875</v>
      </c>
      <c r="F205">
        <v>3.5</v>
      </c>
      <c r="G205">
        <v>5</v>
      </c>
      <c r="H205">
        <v>6.375</v>
      </c>
    </row>
    <row r="206" spans="1:8" x14ac:dyDescent="0.3">
      <c r="A206" s="1">
        <v>31617</v>
      </c>
      <c r="B206">
        <v>14.63</v>
      </c>
      <c r="C206">
        <v>8.6300000000000008</v>
      </c>
      <c r="D206">
        <v>9.875</v>
      </c>
      <c r="F206">
        <v>3.5</v>
      </c>
      <c r="G206">
        <v>5</v>
      </c>
      <c r="H206">
        <v>6.375</v>
      </c>
    </row>
    <row r="207" spans="1:8" x14ac:dyDescent="0.3">
      <c r="A207" s="1">
        <v>31618</v>
      </c>
      <c r="B207">
        <v>14.25</v>
      </c>
      <c r="C207">
        <v>8.6300000000000008</v>
      </c>
      <c r="D207">
        <v>9.875</v>
      </c>
      <c r="F207">
        <v>3.5</v>
      </c>
      <c r="G207">
        <v>5</v>
      </c>
      <c r="H207">
        <v>6.375</v>
      </c>
    </row>
    <row r="208" spans="1:8" x14ac:dyDescent="0.3">
      <c r="A208" s="1">
        <v>31619</v>
      </c>
      <c r="F208">
        <v>3.5</v>
      </c>
      <c r="G208">
        <v>5</v>
      </c>
      <c r="H208">
        <v>6.375</v>
      </c>
    </row>
    <row r="209" spans="1:8" x14ac:dyDescent="0.3">
      <c r="A209" s="1">
        <v>31620</v>
      </c>
      <c r="F209">
        <v>3.5</v>
      </c>
      <c r="G209">
        <v>5</v>
      </c>
      <c r="H209">
        <v>6.375</v>
      </c>
    </row>
    <row r="210" spans="1:8" x14ac:dyDescent="0.3">
      <c r="A210" s="1">
        <v>31621</v>
      </c>
      <c r="B210">
        <v>14.88</v>
      </c>
      <c r="C210">
        <v>8.6300000000000008</v>
      </c>
      <c r="D210">
        <v>9.875</v>
      </c>
      <c r="F210">
        <v>3.5</v>
      </c>
      <c r="G210">
        <v>5</v>
      </c>
      <c r="H210">
        <v>6.375</v>
      </c>
    </row>
    <row r="211" spans="1:8" x14ac:dyDescent="0.3">
      <c r="A211" s="1">
        <v>31622</v>
      </c>
      <c r="B211">
        <v>14.63</v>
      </c>
      <c r="C211">
        <v>8.6300000000000008</v>
      </c>
      <c r="D211">
        <v>9.875</v>
      </c>
      <c r="F211">
        <v>3.5</v>
      </c>
      <c r="G211">
        <v>5</v>
      </c>
      <c r="H211">
        <v>6.375</v>
      </c>
    </row>
    <row r="212" spans="1:8" x14ac:dyDescent="0.3">
      <c r="A212" s="1">
        <v>31623</v>
      </c>
      <c r="B212">
        <v>15.38</v>
      </c>
      <c r="C212">
        <v>8.6300000000000008</v>
      </c>
      <c r="D212">
        <v>9.875</v>
      </c>
      <c r="F212">
        <v>3.5</v>
      </c>
      <c r="G212">
        <v>5</v>
      </c>
      <c r="H212">
        <v>6.375</v>
      </c>
    </row>
    <row r="213" spans="1:8" x14ac:dyDescent="0.3">
      <c r="A213" s="1">
        <v>31624</v>
      </c>
      <c r="B213">
        <v>15.25</v>
      </c>
      <c r="C213">
        <v>8.51</v>
      </c>
      <c r="D213">
        <v>9.875</v>
      </c>
      <c r="F213">
        <v>3.5</v>
      </c>
      <c r="G213">
        <v>5</v>
      </c>
      <c r="H213">
        <v>6.375</v>
      </c>
    </row>
    <row r="214" spans="1:8" x14ac:dyDescent="0.3">
      <c r="A214" s="1">
        <v>31625</v>
      </c>
      <c r="B214">
        <v>16.25</v>
      </c>
      <c r="C214">
        <v>8.51</v>
      </c>
      <c r="D214">
        <v>9.875</v>
      </c>
      <c r="F214">
        <v>3.5</v>
      </c>
      <c r="G214">
        <v>5</v>
      </c>
      <c r="H214">
        <v>6.375</v>
      </c>
    </row>
    <row r="215" spans="1:8" x14ac:dyDescent="0.3">
      <c r="A215" s="1">
        <v>31626</v>
      </c>
      <c r="F215">
        <v>3.5</v>
      </c>
      <c r="G215">
        <v>5</v>
      </c>
      <c r="H215">
        <v>6.375</v>
      </c>
    </row>
    <row r="216" spans="1:8" x14ac:dyDescent="0.3">
      <c r="A216" s="1">
        <v>31627</v>
      </c>
      <c r="F216">
        <v>3.5</v>
      </c>
      <c r="G216">
        <v>5</v>
      </c>
      <c r="H216">
        <v>6.375</v>
      </c>
    </row>
    <row r="217" spans="1:8" x14ac:dyDescent="0.3">
      <c r="A217" s="1">
        <v>31628</v>
      </c>
      <c r="B217">
        <v>15.5</v>
      </c>
      <c r="C217">
        <v>8.51</v>
      </c>
      <c r="D217">
        <v>9.875</v>
      </c>
      <c r="F217">
        <v>3.5</v>
      </c>
      <c r="G217">
        <v>5</v>
      </c>
      <c r="H217">
        <v>6.375</v>
      </c>
    </row>
    <row r="218" spans="1:8" x14ac:dyDescent="0.3">
      <c r="A218" s="1">
        <v>31629</v>
      </c>
      <c r="B218">
        <v>16.88</v>
      </c>
      <c r="C218">
        <v>8.51</v>
      </c>
      <c r="D218">
        <v>9.875</v>
      </c>
      <c r="F218">
        <v>3.5</v>
      </c>
      <c r="G218">
        <v>5</v>
      </c>
      <c r="H218">
        <v>6.375</v>
      </c>
    </row>
    <row r="219" spans="1:8" x14ac:dyDescent="0.3">
      <c r="A219" s="1">
        <v>31630</v>
      </c>
      <c r="B219">
        <v>17.63</v>
      </c>
      <c r="C219">
        <v>8.51</v>
      </c>
      <c r="D219">
        <v>9.875</v>
      </c>
      <c r="F219">
        <v>3.5</v>
      </c>
      <c r="G219">
        <v>5</v>
      </c>
      <c r="H219">
        <v>6.375</v>
      </c>
    </row>
    <row r="220" spans="1:8" x14ac:dyDescent="0.3">
      <c r="A220" s="1">
        <v>31631</v>
      </c>
      <c r="B220">
        <v>18.38</v>
      </c>
      <c r="C220">
        <v>8.6300000000000008</v>
      </c>
      <c r="D220">
        <v>9.875</v>
      </c>
      <c r="F220">
        <v>3.5</v>
      </c>
      <c r="G220">
        <v>5</v>
      </c>
      <c r="H220">
        <v>6.375</v>
      </c>
    </row>
    <row r="221" spans="1:8" x14ac:dyDescent="0.3">
      <c r="A221" s="1">
        <v>31632</v>
      </c>
      <c r="B221">
        <v>17</v>
      </c>
      <c r="C221">
        <v>8.6300000000000008</v>
      </c>
      <c r="D221">
        <v>9.875</v>
      </c>
      <c r="F221">
        <v>3.5</v>
      </c>
      <c r="G221">
        <v>5</v>
      </c>
      <c r="H221">
        <v>6.375</v>
      </c>
    </row>
    <row r="222" spans="1:8" x14ac:dyDescent="0.3">
      <c r="A222" s="1">
        <v>31633</v>
      </c>
      <c r="F222">
        <v>3.5</v>
      </c>
      <c r="G222">
        <v>5</v>
      </c>
      <c r="H222">
        <v>6.375</v>
      </c>
    </row>
    <row r="223" spans="1:8" x14ac:dyDescent="0.3">
      <c r="A223" s="1">
        <v>31634</v>
      </c>
      <c r="F223">
        <v>3.5</v>
      </c>
      <c r="G223">
        <v>5</v>
      </c>
      <c r="H223">
        <v>6.375</v>
      </c>
    </row>
    <row r="224" spans="1:8" x14ac:dyDescent="0.3">
      <c r="A224" s="1">
        <v>31635</v>
      </c>
      <c r="B224">
        <v>18.25</v>
      </c>
      <c r="C224">
        <v>8.6300000000000008</v>
      </c>
      <c r="D224">
        <v>9.875</v>
      </c>
      <c r="F224">
        <v>3.5</v>
      </c>
      <c r="G224">
        <v>5</v>
      </c>
      <c r="H224">
        <v>6.375</v>
      </c>
    </row>
    <row r="225" spans="1:8" x14ac:dyDescent="0.3">
      <c r="A225" s="1">
        <v>31636</v>
      </c>
      <c r="B225">
        <v>17.25</v>
      </c>
      <c r="C225">
        <v>8.6300000000000008</v>
      </c>
      <c r="D225">
        <v>9.875</v>
      </c>
      <c r="F225">
        <v>3.5</v>
      </c>
      <c r="G225">
        <v>5</v>
      </c>
      <c r="H225">
        <v>6.375</v>
      </c>
    </row>
    <row r="226" spans="1:8" x14ac:dyDescent="0.3">
      <c r="A226" s="1">
        <v>31637</v>
      </c>
      <c r="B226">
        <v>17</v>
      </c>
      <c r="C226">
        <v>8.6300000000000008</v>
      </c>
      <c r="D226">
        <v>9.875</v>
      </c>
      <c r="F226">
        <v>3.5</v>
      </c>
      <c r="G226">
        <v>5</v>
      </c>
      <c r="H226">
        <v>6.375</v>
      </c>
    </row>
    <row r="227" spans="1:8" x14ac:dyDescent="0.3">
      <c r="A227" s="1">
        <v>31638</v>
      </c>
      <c r="B227">
        <v>18</v>
      </c>
      <c r="C227">
        <v>8.5299999999999994</v>
      </c>
      <c r="D227">
        <v>9.875</v>
      </c>
      <c r="F227">
        <v>3.5</v>
      </c>
      <c r="G227">
        <v>5</v>
      </c>
      <c r="H227">
        <v>6.375</v>
      </c>
    </row>
    <row r="228" spans="1:8" x14ac:dyDescent="0.3">
      <c r="A228" s="1">
        <v>31639</v>
      </c>
      <c r="B228">
        <v>17.25</v>
      </c>
      <c r="C228">
        <v>8.5299999999999994</v>
      </c>
      <c r="D228">
        <v>9.875</v>
      </c>
      <c r="F228">
        <v>3.5</v>
      </c>
      <c r="G228">
        <v>5</v>
      </c>
      <c r="H228">
        <v>6.375</v>
      </c>
    </row>
    <row r="229" spans="1:8" x14ac:dyDescent="0.3">
      <c r="A229" s="1">
        <v>31640</v>
      </c>
      <c r="F229">
        <v>3.5</v>
      </c>
      <c r="G229">
        <v>5</v>
      </c>
      <c r="H229">
        <v>6.375</v>
      </c>
    </row>
    <row r="230" spans="1:8" x14ac:dyDescent="0.3">
      <c r="A230" s="1">
        <v>31641</v>
      </c>
      <c r="F230">
        <v>3.5</v>
      </c>
      <c r="G230">
        <v>5</v>
      </c>
      <c r="H230">
        <v>6.375</v>
      </c>
    </row>
    <row r="231" spans="1:8" x14ac:dyDescent="0.3">
      <c r="A231" s="1">
        <v>31642</v>
      </c>
      <c r="B231">
        <v>18.63</v>
      </c>
      <c r="C231">
        <v>8.5299999999999994</v>
      </c>
      <c r="D231">
        <v>9.875</v>
      </c>
      <c r="F231">
        <v>3.5</v>
      </c>
      <c r="G231">
        <v>5</v>
      </c>
      <c r="H231">
        <v>6.375</v>
      </c>
    </row>
    <row r="232" spans="1:8" x14ac:dyDescent="0.3">
      <c r="A232" s="1">
        <v>31643</v>
      </c>
      <c r="B232">
        <v>18.75</v>
      </c>
      <c r="C232">
        <v>8.5299999999999994</v>
      </c>
      <c r="D232">
        <v>9.875</v>
      </c>
      <c r="F232">
        <v>3.5</v>
      </c>
      <c r="G232">
        <v>5</v>
      </c>
      <c r="H232">
        <v>6.375</v>
      </c>
    </row>
    <row r="233" spans="1:8" x14ac:dyDescent="0.3">
      <c r="A233" s="1">
        <v>31644</v>
      </c>
      <c r="B233">
        <v>18.63</v>
      </c>
      <c r="C233">
        <v>8.5299999999999994</v>
      </c>
      <c r="D233">
        <v>9.875</v>
      </c>
      <c r="F233">
        <v>3.5</v>
      </c>
      <c r="G233">
        <v>5</v>
      </c>
      <c r="H233">
        <v>6.375</v>
      </c>
    </row>
    <row r="234" spans="1:8" x14ac:dyDescent="0.3">
      <c r="A234" s="1">
        <v>31645</v>
      </c>
      <c r="B234">
        <v>19.13</v>
      </c>
      <c r="C234">
        <v>8.58</v>
      </c>
      <c r="D234">
        <v>9.875</v>
      </c>
      <c r="F234">
        <v>3.5</v>
      </c>
      <c r="G234">
        <v>5</v>
      </c>
      <c r="H234">
        <v>5.875</v>
      </c>
    </row>
    <row r="235" spans="1:8" x14ac:dyDescent="0.3">
      <c r="A235" s="1">
        <v>31646</v>
      </c>
      <c r="B235">
        <v>17.38</v>
      </c>
      <c r="C235">
        <v>8.58</v>
      </c>
      <c r="D235">
        <v>9.875</v>
      </c>
      <c r="F235">
        <v>3.5</v>
      </c>
      <c r="G235">
        <v>5</v>
      </c>
      <c r="H235">
        <v>5.875</v>
      </c>
    </row>
    <row r="236" spans="1:8" x14ac:dyDescent="0.3">
      <c r="A236" s="1">
        <v>31647</v>
      </c>
      <c r="F236">
        <v>3.5</v>
      </c>
      <c r="G236">
        <v>5</v>
      </c>
      <c r="H236">
        <v>5.875</v>
      </c>
    </row>
    <row r="237" spans="1:8" x14ac:dyDescent="0.3">
      <c r="A237" s="1">
        <v>31648</v>
      </c>
      <c r="F237">
        <v>3.5</v>
      </c>
      <c r="G237">
        <v>5</v>
      </c>
      <c r="H237">
        <v>5.875</v>
      </c>
    </row>
    <row r="238" spans="1:8" x14ac:dyDescent="0.3">
      <c r="A238" s="1">
        <v>31649</v>
      </c>
      <c r="B238">
        <v>18.25</v>
      </c>
      <c r="C238">
        <v>8.58</v>
      </c>
      <c r="F238">
        <v>3.5</v>
      </c>
      <c r="G238">
        <v>5</v>
      </c>
      <c r="H238">
        <v>5.875</v>
      </c>
    </row>
    <row r="239" spans="1:8" x14ac:dyDescent="0.3">
      <c r="A239" s="1">
        <v>31650</v>
      </c>
      <c r="B239">
        <v>18.13</v>
      </c>
      <c r="C239">
        <v>8.58</v>
      </c>
      <c r="D239">
        <v>9.875</v>
      </c>
      <c r="F239">
        <v>3.5</v>
      </c>
      <c r="G239">
        <v>5</v>
      </c>
      <c r="H239">
        <v>5.875</v>
      </c>
    </row>
    <row r="240" spans="1:8" x14ac:dyDescent="0.3">
      <c r="A240" s="1">
        <v>31651</v>
      </c>
      <c r="B240">
        <v>18.63</v>
      </c>
      <c r="C240">
        <v>8.58</v>
      </c>
      <c r="D240">
        <v>9.875</v>
      </c>
      <c r="F240">
        <v>3.5</v>
      </c>
      <c r="G240">
        <v>5</v>
      </c>
      <c r="H240">
        <v>5.875</v>
      </c>
    </row>
    <row r="241" spans="1:8" x14ac:dyDescent="0.3">
      <c r="A241" s="1">
        <v>31652</v>
      </c>
      <c r="B241">
        <v>18.38</v>
      </c>
      <c r="C241">
        <v>8.58</v>
      </c>
      <c r="D241">
        <v>9.875</v>
      </c>
      <c r="F241">
        <v>3.5</v>
      </c>
      <c r="G241">
        <v>5</v>
      </c>
      <c r="H241">
        <v>5.875</v>
      </c>
    </row>
    <row r="242" spans="1:8" x14ac:dyDescent="0.3">
      <c r="A242" s="1">
        <v>31653</v>
      </c>
      <c r="B242">
        <v>18.13</v>
      </c>
      <c r="C242">
        <v>8.58</v>
      </c>
      <c r="D242">
        <v>9.875</v>
      </c>
      <c r="F242">
        <v>3.5</v>
      </c>
      <c r="G242">
        <v>5</v>
      </c>
      <c r="H242">
        <v>5.875</v>
      </c>
    </row>
    <row r="243" spans="1:8" x14ac:dyDescent="0.3">
      <c r="A243" s="1">
        <v>31654</v>
      </c>
      <c r="F243">
        <v>3.5</v>
      </c>
      <c r="G243">
        <v>5</v>
      </c>
      <c r="H243">
        <v>5.875</v>
      </c>
    </row>
    <row r="244" spans="1:8" x14ac:dyDescent="0.3">
      <c r="A244" s="1">
        <v>31655</v>
      </c>
      <c r="F244">
        <v>3.5</v>
      </c>
      <c r="G244">
        <v>5</v>
      </c>
      <c r="H244">
        <v>5.875</v>
      </c>
    </row>
    <row r="245" spans="1:8" x14ac:dyDescent="0.3">
      <c r="A245" s="1">
        <v>31656</v>
      </c>
      <c r="B245">
        <v>18.38</v>
      </c>
      <c r="C245">
        <v>8.58</v>
      </c>
      <c r="D245">
        <v>9.875</v>
      </c>
      <c r="F245">
        <v>3.5</v>
      </c>
      <c r="G245">
        <v>5</v>
      </c>
      <c r="H245">
        <v>5.875</v>
      </c>
    </row>
    <row r="246" spans="1:8" x14ac:dyDescent="0.3">
      <c r="A246" s="1">
        <v>31657</v>
      </c>
      <c r="B246">
        <v>18.25</v>
      </c>
      <c r="C246">
        <v>8.58</v>
      </c>
      <c r="D246">
        <v>9.875</v>
      </c>
      <c r="F246">
        <v>3.5</v>
      </c>
      <c r="G246">
        <v>5</v>
      </c>
      <c r="H246">
        <v>5.875</v>
      </c>
    </row>
    <row r="247" spans="1:8" x14ac:dyDescent="0.3">
      <c r="A247" s="1">
        <v>31658</v>
      </c>
      <c r="B247">
        <v>17.75</v>
      </c>
      <c r="C247">
        <v>8.58</v>
      </c>
      <c r="D247">
        <v>9.875</v>
      </c>
      <c r="F247">
        <v>3.5</v>
      </c>
      <c r="G247">
        <v>5</v>
      </c>
      <c r="H247">
        <v>5.875</v>
      </c>
    </row>
    <row r="248" spans="1:8" x14ac:dyDescent="0.3">
      <c r="A248" s="1">
        <v>31659</v>
      </c>
      <c r="B248">
        <v>17.75</v>
      </c>
      <c r="C248">
        <v>8.4700000000000006</v>
      </c>
      <c r="D248">
        <v>9.875</v>
      </c>
      <c r="F248">
        <v>3.5</v>
      </c>
      <c r="G248">
        <v>5</v>
      </c>
      <c r="H248">
        <v>5.875</v>
      </c>
    </row>
    <row r="249" spans="1:8" x14ac:dyDescent="0.3">
      <c r="A249" s="1">
        <v>31660</v>
      </c>
      <c r="B249">
        <v>17.5</v>
      </c>
      <c r="C249">
        <v>8.4700000000000006</v>
      </c>
      <c r="D249">
        <v>9.875</v>
      </c>
      <c r="F249">
        <v>3.5</v>
      </c>
      <c r="G249">
        <v>5</v>
      </c>
      <c r="H249">
        <v>5.875</v>
      </c>
    </row>
    <row r="250" spans="1:8" x14ac:dyDescent="0.3">
      <c r="A250" s="1">
        <v>31661</v>
      </c>
      <c r="F250">
        <v>3.5</v>
      </c>
      <c r="G250">
        <v>5</v>
      </c>
      <c r="H250">
        <v>5.875</v>
      </c>
    </row>
    <row r="251" spans="1:8" x14ac:dyDescent="0.3">
      <c r="A251" s="1">
        <v>31662</v>
      </c>
      <c r="F251">
        <v>3.5</v>
      </c>
      <c r="G251">
        <v>5</v>
      </c>
      <c r="H251">
        <v>5.875</v>
      </c>
    </row>
    <row r="252" spans="1:8" x14ac:dyDescent="0.3">
      <c r="A252" s="1">
        <v>31663</v>
      </c>
      <c r="B252">
        <v>17.63</v>
      </c>
      <c r="C252">
        <v>8.4700000000000006</v>
      </c>
      <c r="D252">
        <v>9.875</v>
      </c>
      <c r="F252">
        <v>3.5</v>
      </c>
      <c r="G252">
        <v>5</v>
      </c>
      <c r="H252">
        <v>5.875</v>
      </c>
    </row>
    <row r="253" spans="1:8" x14ac:dyDescent="0.3">
      <c r="A253" s="1">
        <v>31664</v>
      </c>
      <c r="B253">
        <v>18</v>
      </c>
      <c r="C253">
        <v>8.4700000000000006</v>
      </c>
      <c r="D253">
        <v>9.875</v>
      </c>
      <c r="F253">
        <v>3.5</v>
      </c>
      <c r="G253">
        <v>5</v>
      </c>
      <c r="H253">
        <v>5.875</v>
      </c>
    </row>
    <row r="254" spans="1:8" x14ac:dyDescent="0.3">
      <c r="A254" s="1">
        <v>31665</v>
      </c>
      <c r="B254">
        <v>18.63</v>
      </c>
      <c r="C254">
        <v>8.4700000000000006</v>
      </c>
      <c r="D254">
        <v>9.875</v>
      </c>
      <c r="F254">
        <v>3.5</v>
      </c>
      <c r="G254">
        <v>5</v>
      </c>
      <c r="H254">
        <v>5.875</v>
      </c>
    </row>
    <row r="255" spans="1:8" x14ac:dyDescent="0.3">
      <c r="A255" s="1">
        <v>31666</v>
      </c>
      <c r="B255">
        <v>18</v>
      </c>
      <c r="C255">
        <v>8.58</v>
      </c>
      <c r="D255">
        <v>9.875</v>
      </c>
      <c r="F255">
        <v>3.5</v>
      </c>
      <c r="G255">
        <v>5</v>
      </c>
      <c r="H255">
        <v>5.875</v>
      </c>
    </row>
    <row r="256" spans="1:8" x14ac:dyDescent="0.3">
      <c r="A256" s="1">
        <v>31667</v>
      </c>
      <c r="B256">
        <v>17.63</v>
      </c>
      <c r="C256">
        <v>8.58</v>
      </c>
      <c r="D256">
        <v>9.875</v>
      </c>
      <c r="F256">
        <v>3.5</v>
      </c>
      <c r="G256">
        <v>5</v>
      </c>
      <c r="H256">
        <v>5.875</v>
      </c>
    </row>
    <row r="257" spans="1:8" x14ac:dyDescent="0.3">
      <c r="A257" s="1">
        <v>31668</v>
      </c>
      <c r="F257">
        <v>3.5</v>
      </c>
      <c r="G257">
        <v>5</v>
      </c>
      <c r="H257">
        <v>5.875</v>
      </c>
    </row>
    <row r="258" spans="1:8" x14ac:dyDescent="0.3">
      <c r="A258" s="1">
        <v>31669</v>
      </c>
      <c r="F258">
        <v>3.5</v>
      </c>
      <c r="G258">
        <v>5</v>
      </c>
      <c r="H258">
        <v>5.875</v>
      </c>
    </row>
    <row r="259" spans="1:8" x14ac:dyDescent="0.3">
      <c r="A259" s="1">
        <v>31670</v>
      </c>
      <c r="B259">
        <v>17.63</v>
      </c>
      <c r="C259">
        <v>8.58</v>
      </c>
      <c r="D259">
        <v>9.875</v>
      </c>
      <c r="F259">
        <v>3.5</v>
      </c>
      <c r="G259">
        <v>5</v>
      </c>
      <c r="H259">
        <v>5.875</v>
      </c>
    </row>
    <row r="260" spans="1:8" x14ac:dyDescent="0.3">
      <c r="A260" s="1">
        <v>31671</v>
      </c>
      <c r="B260">
        <v>17.63</v>
      </c>
      <c r="C260">
        <v>8.58</v>
      </c>
      <c r="D260">
        <v>9.875</v>
      </c>
      <c r="F260">
        <v>3.5</v>
      </c>
      <c r="G260">
        <v>5</v>
      </c>
      <c r="H260">
        <v>5.875</v>
      </c>
    </row>
    <row r="261" spans="1:8" x14ac:dyDescent="0.3">
      <c r="A261" s="1">
        <v>31672</v>
      </c>
      <c r="B261">
        <v>17.5</v>
      </c>
      <c r="C261">
        <v>8.58</v>
      </c>
      <c r="D261">
        <v>9.875</v>
      </c>
      <c r="F261">
        <v>3.5</v>
      </c>
      <c r="G261">
        <v>5</v>
      </c>
      <c r="H261">
        <v>5.875</v>
      </c>
    </row>
    <row r="262" spans="1:8" x14ac:dyDescent="0.3">
      <c r="A262" s="1">
        <v>31673</v>
      </c>
      <c r="B262">
        <v>17.38</v>
      </c>
      <c r="C262">
        <v>8.6300000000000008</v>
      </c>
      <c r="D262">
        <v>9.875</v>
      </c>
      <c r="F262">
        <v>3.5</v>
      </c>
      <c r="G262">
        <v>5</v>
      </c>
      <c r="H262">
        <v>5.875</v>
      </c>
    </row>
    <row r="263" spans="1:8" x14ac:dyDescent="0.3">
      <c r="A263" s="1">
        <v>31674</v>
      </c>
      <c r="B263">
        <v>17.5</v>
      </c>
      <c r="C263">
        <v>8.6300000000000008</v>
      </c>
      <c r="D263">
        <v>9.875</v>
      </c>
      <c r="F263">
        <v>3.5</v>
      </c>
      <c r="G263">
        <v>5</v>
      </c>
      <c r="H263">
        <v>5.875</v>
      </c>
    </row>
    <row r="264" spans="1:8" x14ac:dyDescent="0.3">
      <c r="A264" s="1">
        <v>31675</v>
      </c>
      <c r="F264">
        <v>3.5</v>
      </c>
      <c r="G264">
        <v>5</v>
      </c>
      <c r="H264">
        <v>5.875</v>
      </c>
    </row>
    <row r="265" spans="1:8" x14ac:dyDescent="0.3">
      <c r="A265" s="1">
        <v>31676</v>
      </c>
      <c r="F265">
        <v>3.5</v>
      </c>
      <c r="G265">
        <v>5</v>
      </c>
      <c r="H265">
        <v>5.875</v>
      </c>
    </row>
    <row r="266" spans="1:8" x14ac:dyDescent="0.3">
      <c r="A266" s="1">
        <v>31677</v>
      </c>
      <c r="B266">
        <v>17.43</v>
      </c>
      <c r="C266">
        <v>8.6300000000000008</v>
      </c>
      <c r="D266">
        <v>9.875</v>
      </c>
      <c r="F266">
        <v>3.5</v>
      </c>
      <c r="G266">
        <v>5</v>
      </c>
      <c r="H266">
        <v>5.875</v>
      </c>
    </row>
    <row r="267" spans="1:8" x14ac:dyDescent="0.3">
      <c r="A267" s="1">
        <v>31678</v>
      </c>
      <c r="B267">
        <v>17.38</v>
      </c>
      <c r="C267">
        <v>8.6300000000000008</v>
      </c>
      <c r="D267">
        <v>9.875</v>
      </c>
      <c r="F267">
        <v>3.5</v>
      </c>
      <c r="G267">
        <v>5</v>
      </c>
      <c r="H267">
        <v>5.875</v>
      </c>
    </row>
    <row r="268" spans="1:8" x14ac:dyDescent="0.3">
      <c r="A268" s="1">
        <v>31679</v>
      </c>
      <c r="B268">
        <v>17.5</v>
      </c>
      <c r="C268">
        <v>8.6300000000000008</v>
      </c>
      <c r="D268">
        <v>9.875</v>
      </c>
      <c r="F268">
        <v>3.5</v>
      </c>
      <c r="G268">
        <v>5</v>
      </c>
      <c r="H268">
        <v>5.875</v>
      </c>
    </row>
    <row r="269" spans="1:8" x14ac:dyDescent="0.3">
      <c r="A269" s="1">
        <v>31680</v>
      </c>
      <c r="B269">
        <v>17.38</v>
      </c>
      <c r="C269">
        <v>8.6</v>
      </c>
      <c r="D269">
        <v>9.875</v>
      </c>
      <c r="F269">
        <v>3.5</v>
      </c>
      <c r="G269">
        <v>5</v>
      </c>
      <c r="H269">
        <v>5.875</v>
      </c>
    </row>
    <row r="270" spans="1:8" x14ac:dyDescent="0.3">
      <c r="A270" s="1">
        <v>31681</v>
      </c>
      <c r="B270">
        <v>17.55</v>
      </c>
      <c r="C270">
        <v>8.6</v>
      </c>
      <c r="D270">
        <v>9.875</v>
      </c>
      <c r="F270">
        <v>3.5</v>
      </c>
      <c r="G270">
        <v>5</v>
      </c>
      <c r="H270">
        <v>5.875</v>
      </c>
    </row>
    <row r="271" spans="1:8" x14ac:dyDescent="0.3">
      <c r="A271" s="1">
        <v>31682</v>
      </c>
      <c r="F271">
        <v>3.5</v>
      </c>
      <c r="G271">
        <v>5</v>
      </c>
      <c r="H271">
        <v>5.875</v>
      </c>
    </row>
    <row r="272" spans="1:8" x14ac:dyDescent="0.3">
      <c r="A272" s="1">
        <v>31683</v>
      </c>
      <c r="F272">
        <v>3.5</v>
      </c>
      <c r="G272">
        <v>5</v>
      </c>
      <c r="H272">
        <v>5.875</v>
      </c>
    </row>
    <row r="273" spans="1:8" x14ac:dyDescent="0.3">
      <c r="A273" s="1">
        <v>31684</v>
      </c>
      <c r="B273">
        <v>17.38</v>
      </c>
      <c r="C273">
        <v>8.6</v>
      </c>
      <c r="D273">
        <v>9.875</v>
      </c>
      <c r="F273">
        <v>3.5</v>
      </c>
      <c r="G273">
        <v>5</v>
      </c>
      <c r="H273">
        <v>5.875</v>
      </c>
    </row>
    <row r="274" spans="1:8" x14ac:dyDescent="0.3">
      <c r="A274" s="1">
        <v>31685</v>
      </c>
      <c r="B274">
        <v>17.63</v>
      </c>
      <c r="C274">
        <v>8.6</v>
      </c>
      <c r="D274">
        <v>9.875</v>
      </c>
      <c r="F274">
        <v>3.5</v>
      </c>
      <c r="G274">
        <v>5</v>
      </c>
      <c r="H274">
        <v>5.875</v>
      </c>
    </row>
    <row r="275" spans="1:8" x14ac:dyDescent="0.3">
      <c r="A275" s="1">
        <v>31686</v>
      </c>
      <c r="B275">
        <v>17.579999999999998</v>
      </c>
      <c r="C275">
        <v>8.6</v>
      </c>
      <c r="D275">
        <v>9.875</v>
      </c>
      <c r="F275">
        <v>3.5</v>
      </c>
      <c r="G275">
        <v>5</v>
      </c>
      <c r="H275">
        <v>5.875</v>
      </c>
    </row>
    <row r="276" spans="1:8" x14ac:dyDescent="0.3">
      <c r="A276" s="1">
        <v>31687</v>
      </c>
      <c r="B276">
        <v>17.25</v>
      </c>
      <c r="C276">
        <v>8.6</v>
      </c>
      <c r="D276">
        <v>9.875</v>
      </c>
      <c r="F276">
        <v>3.5</v>
      </c>
      <c r="G276">
        <v>5</v>
      </c>
      <c r="H276">
        <v>5.875</v>
      </c>
    </row>
    <row r="277" spans="1:8" x14ac:dyDescent="0.3">
      <c r="A277" s="1">
        <v>31688</v>
      </c>
      <c r="B277">
        <v>17.25</v>
      </c>
      <c r="C277">
        <v>8.6</v>
      </c>
      <c r="D277">
        <v>9.875</v>
      </c>
      <c r="F277">
        <v>3.5</v>
      </c>
      <c r="G277">
        <v>5</v>
      </c>
      <c r="H277">
        <v>5.875</v>
      </c>
    </row>
    <row r="278" spans="1:8" x14ac:dyDescent="0.3">
      <c r="A278" s="1">
        <v>31689</v>
      </c>
      <c r="F278">
        <v>3.5</v>
      </c>
      <c r="G278">
        <v>5</v>
      </c>
      <c r="H278">
        <v>5.875</v>
      </c>
    </row>
    <row r="279" spans="1:8" x14ac:dyDescent="0.3">
      <c r="A279" s="1">
        <v>31690</v>
      </c>
      <c r="F279">
        <v>3.5</v>
      </c>
      <c r="G279">
        <v>5</v>
      </c>
      <c r="H279">
        <v>5.875</v>
      </c>
    </row>
    <row r="280" spans="1:8" x14ac:dyDescent="0.3">
      <c r="A280" s="1">
        <v>31691</v>
      </c>
      <c r="B280">
        <v>17</v>
      </c>
      <c r="C280">
        <v>8.6</v>
      </c>
      <c r="D280">
        <v>9.875</v>
      </c>
      <c r="F280">
        <v>3.5</v>
      </c>
      <c r="G280">
        <v>5</v>
      </c>
      <c r="H280">
        <v>5.875</v>
      </c>
    </row>
    <row r="281" spans="1:8" x14ac:dyDescent="0.3">
      <c r="A281" s="1">
        <v>31692</v>
      </c>
      <c r="B281">
        <v>17</v>
      </c>
      <c r="C281">
        <v>8.6</v>
      </c>
      <c r="D281">
        <v>9.875</v>
      </c>
      <c r="F281">
        <v>3.5</v>
      </c>
      <c r="G281">
        <v>5</v>
      </c>
      <c r="H281">
        <v>5.875</v>
      </c>
    </row>
    <row r="282" spans="1:8" x14ac:dyDescent="0.3">
      <c r="A282" s="1">
        <v>31693</v>
      </c>
      <c r="B282">
        <v>17.13</v>
      </c>
      <c r="C282">
        <v>8.6</v>
      </c>
      <c r="D282">
        <v>9.875</v>
      </c>
      <c r="F282">
        <v>3.5</v>
      </c>
      <c r="G282">
        <v>5</v>
      </c>
      <c r="H282">
        <v>5.875</v>
      </c>
    </row>
    <row r="283" spans="1:8" x14ac:dyDescent="0.3">
      <c r="A283" s="1">
        <v>31694</v>
      </c>
      <c r="B283">
        <v>17.25</v>
      </c>
      <c r="C283">
        <v>8.5</v>
      </c>
      <c r="D283">
        <v>9.875</v>
      </c>
      <c r="F283">
        <v>3.5</v>
      </c>
      <c r="G283">
        <v>5</v>
      </c>
      <c r="H283">
        <v>5.875</v>
      </c>
    </row>
    <row r="284" spans="1:8" x14ac:dyDescent="0.3">
      <c r="A284" s="1">
        <v>31695</v>
      </c>
      <c r="B284">
        <v>17</v>
      </c>
      <c r="C284">
        <v>8.5</v>
      </c>
      <c r="D284">
        <v>9.875</v>
      </c>
      <c r="F284">
        <v>3.5</v>
      </c>
      <c r="G284">
        <v>5</v>
      </c>
      <c r="H284">
        <v>5.875</v>
      </c>
    </row>
    <row r="285" spans="1:8" x14ac:dyDescent="0.3">
      <c r="A285" s="1">
        <v>31696</v>
      </c>
      <c r="F285">
        <v>3.5</v>
      </c>
      <c r="G285">
        <v>5</v>
      </c>
      <c r="H285">
        <v>5.875</v>
      </c>
    </row>
    <row r="286" spans="1:8" x14ac:dyDescent="0.3">
      <c r="A286" s="1">
        <v>31697</v>
      </c>
      <c r="F286">
        <v>3.5</v>
      </c>
      <c r="G286">
        <v>5</v>
      </c>
      <c r="H286">
        <v>5.875</v>
      </c>
    </row>
    <row r="287" spans="1:8" x14ac:dyDescent="0.3">
      <c r="A287" s="1">
        <v>31698</v>
      </c>
      <c r="B287">
        <v>17</v>
      </c>
      <c r="C287">
        <v>8.5</v>
      </c>
      <c r="D287">
        <v>9.875</v>
      </c>
      <c r="F287">
        <v>3.5</v>
      </c>
      <c r="G287">
        <v>5</v>
      </c>
      <c r="H287">
        <v>5.875</v>
      </c>
    </row>
    <row r="288" spans="1:8" x14ac:dyDescent="0.3">
      <c r="A288" s="1">
        <v>31699</v>
      </c>
      <c r="B288">
        <v>16.88</v>
      </c>
      <c r="C288">
        <v>8.5</v>
      </c>
      <c r="D288">
        <v>9.875</v>
      </c>
      <c r="F288">
        <v>3.5</v>
      </c>
      <c r="G288">
        <v>5</v>
      </c>
      <c r="H288">
        <v>5.875</v>
      </c>
    </row>
    <row r="289" spans="1:8" x14ac:dyDescent="0.3">
      <c r="A289" s="1">
        <v>31700</v>
      </c>
      <c r="B289">
        <v>16.88</v>
      </c>
      <c r="C289">
        <v>8.5</v>
      </c>
      <c r="D289">
        <v>10.875</v>
      </c>
      <c r="F289">
        <v>3.5</v>
      </c>
      <c r="G289">
        <v>5</v>
      </c>
      <c r="H289">
        <v>5.875</v>
      </c>
    </row>
    <row r="290" spans="1:8" x14ac:dyDescent="0.3">
      <c r="A290" s="1">
        <v>31701</v>
      </c>
      <c r="B290">
        <v>16.63</v>
      </c>
      <c r="C290">
        <v>8.58</v>
      </c>
      <c r="D290">
        <v>10.875</v>
      </c>
      <c r="F290">
        <v>3.5</v>
      </c>
      <c r="G290">
        <v>5</v>
      </c>
      <c r="H290">
        <v>5.875</v>
      </c>
    </row>
    <row r="291" spans="1:8" x14ac:dyDescent="0.3">
      <c r="A291" s="1">
        <v>31702</v>
      </c>
      <c r="B291">
        <v>16.5</v>
      </c>
      <c r="C291">
        <v>8.58</v>
      </c>
      <c r="D291">
        <v>10.875</v>
      </c>
      <c r="F291">
        <v>3.5</v>
      </c>
      <c r="G291">
        <v>5</v>
      </c>
      <c r="H291">
        <v>5.875</v>
      </c>
    </row>
    <row r="292" spans="1:8" x14ac:dyDescent="0.3">
      <c r="A292" s="1">
        <v>31703</v>
      </c>
      <c r="F292">
        <v>3.5</v>
      </c>
      <c r="G292">
        <v>5</v>
      </c>
      <c r="H292">
        <v>5.875</v>
      </c>
    </row>
    <row r="293" spans="1:8" x14ac:dyDescent="0.3">
      <c r="A293" s="1">
        <v>31704</v>
      </c>
      <c r="F293">
        <v>3.5</v>
      </c>
      <c r="G293">
        <v>5</v>
      </c>
      <c r="H293">
        <v>5.875</v>
      </c>
    </row>
    <row r="294" spans="1:8" x14ac:dyDescent="0.3">
      <c r="A294" s="1">
        <v>31705</v>
      </c>
      <c r="B294">
        <v>16.5</v>
      </c>
      <c r="C294">
        <v>8.58</v>
      </c>
      <c r="D294">
        <v>10.875</v>
      </c>
      <c r="F294">
        <v>3.5</v>
      </c>
      <c r="G294">
        <v>5</v>
      </c>
      <c r="H294">
        <v>5.875</v>
      </c>
    </row>
    <row r="295" spans="1:8" x14ac:dyDescent="0.3">
      <c r="A295" s="1">
        <v>31706</v>
      </c>
      <c r="B295">
        <v>16</v>
      </c>
      <c r="C295">
        <v>8.58</v>
      </c>
      <c r="D295">
        <v>10.875</v>
      </c>
      <c r="F295">
        <v>3.5</v>
      </c>
      <c r="G295">
        <v>5</v>
      </c>
      <c r="H295">
        <v>5.875</v>
      </c>
    </row>
    <row r="296" spans="1:8" x14ac:dyDescent="0.3">
      <c r="A296" s="1">
        <v>31707</v>
      </c>
      <c r="B296">
        <v>16</v>
      </c>
      <c r="C296">
        <v>8.58</v>
      </c>
      <c r="D296">
        <v>10.875</v>
      </c>
      <c r="F296">
        <v>3.5</v>
      </c>
      <c r="G296">
        <v>5</v>
      </c>
      <c r="H296">
        <v>5.875</v>
      </c>
    </row>
    <row r="297" spans="1:8" x14ac:dyDescent="0.3">
      <c r="A297" s="1">
        <v>31708</v>
      </c>
      <c r="B297">
        <v>16.100000000000001</v>
      </c>
      <c r="C297">
        <v>8.6199999999999992</v>
      </c>
      <c r="D297">
        <v>10.875</v>
      </c>
      <c r="F297">
        <v>3.5</v>
      </c>
      <c r="G297">
        <v>5</v>
      </c>
      <c r="H297">
        <v>5.875</v>
      </c>
    </row>
    <row r="298" spans="1:8" x14ac:dyDescent="0.3">
      <c r="A298" s="1">
        <v>31709</v>
      </c>
      <c r="B298">
        <v>16.100000000000001</v>
      </c>
      <c r="C298">
        <v>8.6199999999999992</v>
      </c>
      <c r="D298">
        <v>10.875</v>
      </c>
      <c r="F298">
        <v>3.5</v>
      </c>
      <c r="G298">
        <v>5</v>
      </c>
      <c r="H298">
        <v>5.875</v>
      </c>
    </row>
    <row r="299" spans="1:8" x14ac:dyDescent="0.3">
      <c r="A299" s="1">
        <v>31710</v>
      </c>
      <c r="F299">
        <v>3.5</v>
      </c>
      <c r="G299">
        <v>5</v>
      </c>
      <c r="H299">
        <v>5.875</v>
      </c>
    </row>
    <row r="300" spans="1:8" x14ac:dyDescent="0.3">
      <c r="A300" s="1">
        <v>31711</v>
      </c>
      <c r="F300">
        <v>3.5</v>
      </c>
      <c r="G300">
        <v>5</v>
      </c>
      <c r="H300">
        <v>5.875</v>
      </c>
    </row>
    <row r="301" spans="1:8" x14ac:dyDescent="0.3">
      <c r="A301" s="1">
        <v>31712</v>
      </c>
      <c r="B301">
        <v>16.100000000000001</v>
      </c>
      <c r="C301">
        <v>8.6199999999999992</v>
      </c>
      <c r="D301">
        <v>10.875</v>
      </c>
      <c r="F301">
        <v>3.5</v>
      </c>
      <c r="G301">
        <v>5</v>
      </c>
      <c r="H301">
        <v>5.875</v>
      </c>
    </row>
    <row r="302" spans="1:8" x14ac:dyDescent="0.3">
      <c r="A302" s="1">
        <v>31713</v>
      </c>
      <c r="B302">
        <v>16.25</v>
      </c>
      <c r="C302">
        <v>8.6199999999999992</v>
      </c>
      <c r="D302">
        <v>10.875</v>
      </c>
      <c r="F302">
        <v>3.5</v>
      </c>
      <c r="G302">
        <v>5</v>
      </c>
      <c r="H302">
        <v>5.875</v>
      </c>
    </row>
    <row r="303" spans="1:8" x14ac:dyDescent="0.3">
      <c r="A303" s="1">
        <v>31714</v>
      </c>
      <c r="B303">
        <v>16.28</v>
      </c>
      <c r="C303">
        <v>8.6199999999999992</v>
      </c>
      <c r="D303">
        <v>10.875</v>
      </c>
      <c r="F303">
        <v>3.5</v>
      </c>
      <c r="G303">
        <v>5</v>
      </c>
      <c r="H303">
        <v>5.875</v>
      </c>
    </row>
    <row r="304" spans="1:8" x14ac:dyDescent="0.3">
      <c r="A304" s="1">
        <v>31715</v>
      </c>
      <c r="B304">
        <v>16.13</v>
      </c>
      <c r="C304">
        <v>8.5500000000000007</v>
      </c>
      <c r="D304">
        <v>10.875</v>
      </c>
      <c r="F304">
        <v>3.5</v>
      </c>
      <c r="G304">
        <v>5</v>
      </c>
      <c r="H304">
        <v>5.875</v>
      </c>
    </row>
    <row r="305" spans="1:8" x14ac:dyDescent="0.3">
      <c r="A305" s="1">
        <v>31716</v>
      </c>
      <c r="B305">
        <v>16</v>
      </c>
      <c r="C305">
        <v>8.5500000000000007</v>
      </c>
      <c r="D305">
        <v>10.875</v>
      </c>
      <c r="F305">
        <v>3.5</v>
      </c>
      <c r="G305">
        <v>5</v>
      </c>
      <c r="H305">
        <v>5.875</v>
      </c>
    </row>
    <row r="306" spans="1:8" x14ac:dyDescent="0.3">
      <c r="A306" s="1">
        <v>31717</v>
      </c>
      <c r="F306">
        <v>3</v>
      </c>
      <c r="G306">
        <v>5</v>
      </c>
      <c r="H306">
        <v>5.875</v>
      </c>
    </row>
    <row r="307" spans="1:8" x14ac:dyDescent="0.3">
      <c r="A307" s="1">
        <v>31718</v>
      </c>
      <c r="F307">
        <v>3</v>
      </c>
      <c r="G307">
        <v>5</v>
      </c>
      <c r="H307">
        <v>5.875</v>
      </c>
    </row>
    <row r="308" spans="1:8" x14ac:dyDescent="0.3">
      <c r="A308" s="1">
        <v>31719</v>
      </c>
      <c r="B308">
        <v>16.2</v>
      </c>
      <c r="C308">
        <v>8.5500000000000007</v>
      </c>
      <c r="D308">
        <v>10.875</v>
      </c>
      <c r="F308">
        <v>3</v>
      </c>
      <c r="G308">
        <v>5</v>
      </c>
      <c r="H308">
        <v>5.875</v>
      </c>
    </row>
    <row r="309" spans="1:8" x14ac:dyDescent="0.3">
      <c r="A309" s="1">
        <v>31720</v>
      </c>
      <c r="B309">
        <v>16.149999999999999</v>
      </c>
      <c r="C309">
        <v>8.5500000000000007</v>
      </c>
      <c r="D309">
        <v>10.875</v>
      </c>
      <c r="F309">
        <v>3</v>
      </c>
      <c r="G309">
        <v>5</v>
      </c>
      <c r="H309">
        <v>5.875</v>
      </c>
    </row>
    <row r="310" spans="1:8" x14ac:dyDescent="0.3">
      <c r="A310" s="1">
        <v>31721</v>
      </c>
      <c r="B310">
        <v>16</v>
      </c>
      <c r="C310">
        <v>8.5500000000000007</v>
      </c>
      <c r="D310">
        <v>10.875</v>
      </c>
      <c r="F310">
        <v>3</v>
      </c>
      <c r="G310">
        <v>5</v>
      </c>
      <c r="H310">
        <v>5.875</v>
      </c>
    </row>
    <row r="311" spans="1:8" x14ac:dyDescent="0.3">
      <c r="A311" s="1">
        <v>31722</v>
      </c>
      <c r="B311">
        <v>16.079999999999998</v>
      </c>
      <c r="C311">
        <v>8.59</v>
      </c>
      <c r="D311">
        <v>10.875</v>
      </c>
      <c r="F311">
        <v>3</v>
      </c>
      <c r="G311">
        <v>5</v>
      </c>
      <c r="H311">
        <v>5.875</v>
      </c>
    </row>
    <row r="312" spans="1:8" x14ac:dyDescent="0.3">
      <c r="A312" s="1">
        <v>31723</v>
      </c>
      <c r="B312">
        <v>16.079999999999998</v>
      </c>
      <c r="C312">
        <v>8.59</v>
      </c>
      <c r="D312">
        <v>10.875</v>
      </c>
      <c r="F312">
        <v>3</v>
      </c>
      <c r="G312">
        <v>5</v>
      </c>
      <c r="H312">
        <v>5.875</v>
      </c>
    </row>
    <row r="313" spans="1:8" x14ac:dyDescent="0.3">
      <c r="A313" s="1">
        <v>31724</v>
      </c>
      <c r="F313">
        <v>3</v>
      </c>
      <c r="G313">
        <v>5</v>
      </c>
      <c r="H313">
        <v>5.875</v>
      </c>
    </row>
    <row r="314" spans="1:8" x14ac:dyDescent="0.3">
      <c r="A314" s="1">
        <v>31725</v>
      </c>
      <c r="F314">
        <v>3</v>
      </c>
      <c r="G314">
        <v>5</v>
      </c>
      <c r="H314">
        <v>5.875</v>
      </c>
    </row>
    <row r="315" spans="1:8" x14ac:dyDescent="0.3">
      <c r="A315" s="1">
        <v>31726</v>
      </c>
      <c r="B315">
        <v>16.5</v>
      </c>
      <c r="C315">
        <v>8.59</v>
      </c>
      <c r="D315">
        <v>10.875</v>
      </c>
      <c r="F315">
        <v>3</v>
      </c>
      <c r="G315">
        <v>5</v>
      </c>
      <c r="H315">
        <v>5.875</v>
      </c>
    </row>
    <row r="316" spans="1:8" x14ac:dyDescent="0.3">
      <c r="A316" s="1">
        <v>31727</v>
      </c>
      <c r="B316">
        <v>16.88</v>
      </c>
      <c r="C316">
        <v>8.59</v>
      </c>
      <c r="D316">
        <v>10.875</v>
      </c>
      <c r="F316">
        <v>3</v>
      </c>
      <c r="G316">
        <v>5</v>
      </c>
      <c r="H316">
        <v>5.875</v>
      </c>
    </row>
    <row r="317" spans="1:8" x14ac:dyDescent="0.3">
      <c r="A317" s="1">
        <v>31728</v>
      </c>
      <c r="B317">
        <v>16.5</v>
      </c>
      <c r="C317">
        <v>8.59</v>
      </c>
      <c r="D317">
        <v>10.875</v>
      </c>
      <c r="F317">
        <v>3</v>
      </c>
      <c r="G317">
        <v>5</v>
      </c>
      <c r="H317">
        <v>5.875</v>
      </c>
    </row>
    <row r="318" spans="1:8" x14ac:dyDescent="0.3">
      <c r="A318" s="1">
        <v>31729</v>
      </c>
      <c r="B318">
        <v>16.5</v>
      </c>
      <c r="C318">
        <v>8.5399999999999991</v>
      </c>
      <c r="D318">
        <v>10.875</v>
      </c>
      <c r="F318">
        <v>3</v>
      </c>
      <c r="G318">
        <v>5</v>
      </c>
      <c r="H318">
        <v>5.875</v>
      </c>
    </row>
    <row r="319" spans="1:8" x14ac:dyDescent="0.3">
      <c r="A319" s="1">
        <v>31730</v>
      </c>
      <c r="B319">
        <v>16.38</v>
      </c>
      <c r="C319">
        <v>8.5399999999999991</v>
      </c>
      <c r="D319">
        <v>10.875</v>
      </c>
      <c r="F319">
        <v>3</v>
      </c>
      <c r="G319">
        <v>5</v>
      </c>
      <c r="H319">
        <v>5.875</v>
      </c>
    </row>
    <row r="320" spans="1:8" x14ac:dyDescent="0.3">
      <c r="A320" s="1">
        <v>31731</v>
      </c>
      <c r="F320">
        <v>3</v>
      </c>
      <c r="G320">
        <v>5</v>
      </c>
      <c r="H320">
        <v>5.875</v>
      </c>
    </row>
    <row r="321" spans="1:8" x14ac:dyDescent="0.3">
      <c r="A321" s="1">
        <v>31732</v>
      </c>
      <c r="F321">
        <v>3</v>
      </c>
      <c r="G321">
        <v>5</v>
      </c>
      <c r="H321">
        <v>5.875</v>
      </c>
    </row>
    <row r="322" spans="1:8" x14ac:dyDescent="0.3">
      <c r="A322" s="1">
        <v>31733</v>
      </c>
      <c r="B322">
        <v>16.5</v>
      </c>
      <c r="C322">
        <v>8.5399999999999991</v>
      </c>
      <c r="D322">
        <v>10.875</v>
      </c>
      <c r="F322">
        <v>3</v>
      </c>
      <c r="G322">
        <v>5</v>
      </c>
      <c r="H322">
        <v>5.875</v>
      </c>
    </row>
    <row r="323" spans="1:8" x14ac:dyDescent="0.3">
      <c r="A323" s="1">
        <v>31734</v>
      </c>
      <c r="B323">
        <v>17.13</v>
      </c>
      <c r="C323">
        <v>8.5399999999999991</v>
      </c>
      <c r="D323">
        <v>10.875</v>
      </c>
      <c r="F323">
        <v>3</v>
      </c>
      <c r="G323">
        <v>5</v>
      </c>
      <c r="H323">
        <v>5.875</v>
      </c>
    </row>
    <row r="324" spans="1:8" x14ac:dyDescent="0.3">
      <c r="A324" s="1">
        <v>31735</v>
      </c>
      <c r="B324">
        <v>16.78</v>
      </c>
      <c r="C324">
        <v>8.5399999999999991</v>
      </c>
      <c r="D324">
        <v>10.875</v>
      </c>
      <c r="F324">
        <v>3</v>
      </c>
      <c r="G324">
        <v>5</v>
      </c>
      <c r="H324">
        <v>5.875</v>
      </c>
    </row>
    <row r="325" spans="1:8" x14ac:dyDescent="0.3">
      <c r="A325" s="1">
        <v>31736</v>
      </c>
      <c r="B325">
        <v>16.5</v>
      </c>
      <c r="C325">
        <v>8.4700000000000006</v>
      </c>
      <c r="D325">
        <v>10.875</v>
      </c>
      <c r="F325">
        <v>3</v>
      </c>
      <c r="G325">
        <v>5</v>
      </c>
      <c r="H325">
        <v>5.875</v>
      </c>
    </row>
    <row r="326" spans="1:8" x14ac:dyDescent="0.3">
      <c r="A326" s="1">
        <v>31737</v>
      </c>
      <c r="B326">
        <v>16.3</v>
      </c>
      <c r="C326">
        <v>8.4700000000000006</v>
      </c>
      <c r="D326">
        <v>10.875</v>
      </c>
      <c r="F326">
        <v>3</v>
      </c>
      <c r="G326">
        <v>5</v>
      </c>
      <c r="H326">
        <v>5.875</v>
      </c>
    </row>
    <row r="327" spans="1:8" x14ac:dyDescent="0.3">
      <c r="A327" s="1">
        <v>31738</v>
      </c>
      <c r="F327">
        <v>3</v>
      </c>
      <c r="G327">
        <v>5</v>
      </c>
      <c r="H327">
        <v>5.875</v>
      </c>
    </row>
    <row r="328" spans="1:8" x14ac:dyDescent="0.3">
      <c r="A328" s="1">
        <v>31739</v>
      </c>
      <c r="F328">
        <v>3</v>
      </c>
      <c r="G328">
        <v>5</v>
      </c>
      <c r="H328">
        <v>5.875</v>
      </c>
    </row>
    <row r="329" spans="1:8" x14ac:dyDescent="0.3">
      <c r="A329" s="1">
        <v>31740</v>
      </c>
      <c r="B329">
        <v>16.18</v>
      </c>
      <c r="C329">
        <v>8.4700000000000006</v>
      </c>
      <c r="D329">
        <v>10.875</v>
      </c>
      <c r="F329">
        <v>3</v>
      </c>
      <c r="G329">
        <v>5</v>
      </c>
      <c r="H329">
        <v>5.875</v>
      </c>
    </row>
    <row r="330" spans="1:8" x14ac:dyDescent="0.3">
      <c r="A330" s="1">
        <v>31741</v>
      </c>
      <c r="B330">
        <v>16.25</v>
      </c>
      <c r="C330">
        <v>8.4700000000000006</v>
      </c>
      <c r="D330">
        <v>10.875</v>
      </c>
      <c r="F330">
        <v>3</v>
      </c>
      <c r="G330">
        <v>5</v>
      </c>
      <c r="H330">
        <v>5.875</v>
      </c>
    </row>
    <row r="331" spans="1:8" x14ac:dyDescent="0.3">
      <c r="A331" s="1">
        <v>31742</v>
      </c>
      <c r="B331">
        <v>16.149999999999999</v>
      </c>
      <c r="C331">
        <v>8.4700000000000006</v>
      </c>
      <c r="D331">
        <v>10.875</v>
      </c>
      <c r="F331">
        <v>3</v>
      </c>
      <c r="G331">
        <v>5</v>
      </c>
      <c r="H331">
        <v>5.875</v>
      </c>
    </row>
    <row r="332" spans="1:8" x14ac:dyDescent="0.3">
      <c r="A332" s="1">
        <v>31743</v>
      </c>
      <c r="B332">
        <v>16</v>
      </c>
      <c r="C332">
        <v>8.49</v>
      </c>
      <c r="D332">
        <v>10.875</v>
      </c>
      <c r="F332">
        <v>3</v>
      </c>
      <c r="G332">
        <v>5</v>
      </c>
      <c r="H332">
        <v>5.875</v>
      </c>
    </row>
    <row r="333" spans="1:8" x14ac:dyDescent="0.3">
      <c r="A333" s="1">
        <v>31744</v>
      </c>
      <c r="B333">
        <v>16</v>
      </c>
      <c r="C333">
        <v>8.49</v>
      </c>
      <c r="D333">
        <v>10.875</v>
      </c>
      <c r="F333">
        <v>3</v>
      </c>
      <c r="G333">
        <v>5</v>
      </c>
      <c r="H333">
        <v>5.875</v>
      </c>
    </row>
    <row r="334" spans="1:8" x14ac:dyDescent="0.3">
      <c r="A334" s="1">
        <v>31745</v>
      </c>
      <c r="F334">
        <v>3</v>
      </c>
      <c r="G334">
        <v>5</v>
      </c>
      <c r="H334">
        <v>5.875</v>
      </c>
    </row>
    <row r="335" spans="1:8" x14ac:dyDescent="0.3">
      <c r="A335" s="1">
        <v>31746</v>
      </c>
      <c r="F335">
        <v>3</v>
      </c>
      <c r="G335">
        <v>5</v>
      </c>
      <c r="H335">
        <v>5.875</v>
      </c>
    </row>
    <row r="336" spans="1:8" x14ac:dyDescent="0.3">
      <c r="A336" s="1">
        <v>31747</v>
      </c>
      <c r="B336">
        <v>15.9</v>
      </c>
      <c r="C336">
        <v>8.49</v>
      </c>
      <c r="D336">
        <v>10.875</v>
      </c>
      <c r="F336">
        <v>3</v>
      </c>
      <c r="G336">
        <v>5</v>
      </c>
      <c r="H336">
        <v>5.875</v>
      </c>
    </row>
    <row r="337" spans="1:8" x14ac:dyDescent="0.3">
      <c r="A337" s="1">
        <v>31748</v>
      </c>
      <c r="B337">
        <v>15.88</v>
      </c>
      <c r="C337">
        <v>8.49</v>
      </c>
      <c r="D337">
        <v>10.875</v>
      </c>
      <c r="F337">
        <v>3</v>
      </c>
      <c r="G337">
        <v>5</v>
      </c>
      <c r="H337">
        <v>5.875</v>
      </c>
    </row>
    <row r="338" spans="1:8" x14ac:dyDescent="0.3">
      <c r="A338" s="1">
        <v>31749</v>
      </c>
      <c r="B338">
        <v>15.9</v>
      </c>
      <c r="C338">
        <v>8.49</v>
      </c>
      <c r="D338">
        <v>10.875</v>
      </c>
      <c r="F338">
        <v>3</v>
      </c>
      <c r="G338">
        <v>5</v>
      </c>
      <c r="H338">
        <v>5.875</v>
      </c>
    </row>
    <row r="339" spans="1:8" x14ac:dyDescent="0.3">
      <c r="A339" s="1">
        <v>31750</v>
      </c>
      <c r="B339">
        <v>15.93</v>
      </c>
      <c r="C339">
        <v>8.43</v>
      </c>
      <c r="D339">
        <v>10.875</v>
      </c>
      <c r="F339">
        <v>3</v>
      </c>
      <c r="G339">
        <v>5</v>
      </c>
      <c r="H339">
        <v>5.875</v>
      </c>
    </row>
    <row r="340" spans="1:8" x14ac:dyDescent="0.3">
      <c r="A340" s="1">
        <v>31751</v>
      </c>
      <c r="B340">
        <v>15.95</v>
      </c>
      <c r="C340">
        <v>8.43</v>
      </c>
      <c r="D340">
        <v>10.875</v>
      </c>
      <c r="F340">
        <v>3</v>
      </c>
      <c r="G340">
        <v>5</v>
      </c>
      <c r="H340">
        <v>5.875</v>
      </c>
    </row>
    <row r="341" spans="1:8" x14ac:dyDescent="0.3">
      <c r="A341" s="1">
        <v>31752</v>
      </c>
      <c r="F341">
        <v>3</v>
      </c>
      <c r="G341">
        <v>5</v>
      </c>
      <c r="H341">
        <v>5.875</v>
      </c>
    </row>
    <row r="342" spans="1:8" x14ac:dyDescent="0.3">
      <c r="A342" s="1">
        <v>31753</v>
      </c>
      <c r="F342">
        <v>3</v>
      </c>
      <c r="G342">
        <v>5</v>
      </c>
      <c r="H342">
        <v>5.875</v>
      </c>
    </row>
    <row r="343" spans="1:8" x14ac:dyDescent="0.3">
      <c r="A343" s="1">
        <v>31754</v>
      </c>
      <c r="B343">
        <v>16</v>
      </c>
      <c r="C343">
        <v>8.43</v>
      </c>
      <c r="D343">
        <v>10.875</v>
      </c>
      <c r="F343">
        <v>3</v>
      </c>
      <c r="G343">
        <v>5</v>
      </c>
      <c r="H343">
        <v>5.875</v>
      </c>
    </row>
    <row r="344" spans="1:8" x14ac:dyDescent="0.3">
      <c r="A344" s="1">
        <v>31755</v>
      </c>
      <c r="B344">
        <v>16.25</v>
      </c>
      <c r="C344">
        <v>8.43</v>
      </c>
      <c r="D344">
        <v>10.875</v>
      </c>
      <c r="F344">
        <v>3</v>
      </c>
      <c r="G344">
        <v>5</v>
      </c>
      <c r="H344">
        <v>5.875</v>
      </c>
    </row>
    <row r="345" spans="1:8" x14ac:dyDescent="0.3">
      <c r="A345" s="1">
        <v>31756</v>
      </c>
      <c r="B345">
        <v>16.350000000000001</v>
      </c>
      <c r="C345">
        <v>8.43</v>
      </c>
      <c r="D345">
        <v>10.875</v>
      </c>
      <c r="F345">
        <v>3</v>
      </c>
      <c r="G345">
        <v>5</v>
      </c>
      <c r="H345">
        <v>5.875</v>
      </c>
    </row>
    <row r="346" spans="1:8" x14ac:dyDescent="0.3">
      <c r="A346" s="1">
        <v>31757</v>
      </c>
      <c r="B346">
        <v>16.23</v>
      </c>
      <c r="C346">
        <v>8.4700000000000006</v>
      </c>
      <c r="D346">
        <v>10.875</v>
      </c>
      <c r="F346">
        <v>3</v>
      </c>
      <c r="G346">
        <v>5</v>
      </c>
      <c r="H346">
        <v>5.875</v>
      </c>
    </row>
    <row r="347" spans="1:8" x14ac:dyDescent="0.3">
      <c r="A347" s="1">
        <v>31758</v>
      </c>
      <c r="B347">
        <v>16</v>
      </c>
      <c r="C347">
        <v>8.4700000000000006</v>
      </c>
      <c r="D347">
        <v>10.875</v>
      </c>
      <c r="F347">
        <v>3</v>
      </c>
      <c r="G347">
        <v>5</v>
      </c>
      <c r="H347">
        <v>5.875</v>
      </c>
    </row>
    <row r="348" spans="1:8" x14ac:dyDescent="0.3">
      <c r="A348" s="1">
        <v>31759</v>
      </c>
      <c r="F348">
        <v>3</v>
      </c>
      <c r="G348">
        <v>5</v>
      </c>
      <c r="H348">
        <v>5.875</v>
      </c>
    </row>
    <row r="349" spans="1:8" x14ac:dyDescent="0.3">
      <c r="A349" s="1">
        <v>31760</v>
      </c>
      <c r="F349">
        <v>3</v>
      </c>
      <c r="G349">
        <v>5</v>
      </c>
      <c r="H349">
        <v>5.875</v>
      </c>
    </row>
    <row r="350" spans="1:8" x14ac:dyDescent="0.3">
      <c r="A350" s="1">
        <v>31761</v>
      </c>
      <c r="B350">
        <v>15.88</v>
      </c>
      <c r="C350">
        <v>8.4700000000000006</v>
      </c>
      <c r="D350">
        <v>10.875</v>
      </c>
      <c r="F350">
        <v>3</v>
      </c>
      <c r="G350">
        <v>5</v>
      </c>
      <c r="H350">
        <v>5.875</v>
      </c>
    </row>
    <row r="351" spans="1:8" x14ac:dyDescent="0.3">
      <c r="A351" s="1">
        <v>31762</v>
      </c>
      <c r="B351">
        <v>15.73</v>
      </c>
      <c r="C351">
        <v>8.4700000000000006</v>
      </c>
      <c r="D351">
        <v>10.875</v>
      </c>
      <c r="F351">
        <v>3</v>
      </c>
      <c r="G351">
        <v>5</v>
      </c>
      <c r="H351">
        <v>5.875</v>
      </c>
    </row>
    <row r="352" spans="1:8" x14ac:dyDescent="0.3">
      <c r="A352" s="1">
        <v>31763</v>
      </c>
      <c r="B352">
        <v>15.1</v>
      </c>
      <c r="C352">
        <v>8.4700000000000006</v>
      </c>
      <c r="D352">
        <v>10.875</v>
      </c>
      <c r="F352">
        <v>3</v>
      </c>
      <c r="G352">
        <v>5</v>
      </c>
      <c r="H352">
        <v>5.875</v>
      </c>
    </row>
    <row r="353" spans="1:8" x14ac:dyDescent="0.3">
      <c r="A353" s="1">
        <v>31764</v>
      </c>
      <c r="B353">
        <v>15.23</v>
      </c>
      <c r="C353">
        <v>8.4700000000000006</v>
      </c>
      <c r="D353">
        <v>10.875</v>
      </c>
      <c r="F353">
        <v>3</v>
      </c>
      <c r="G353">
        <v>5</v>
      </c>
      <c r="H353">
        <v>5.875</v>
      </c>
    </row>
    <row r="354" spans="1:8" x14ac:dyDescent="0.3">
      <c r="A354" s="1">
        <v>31765</v>
      </c>
      <c r="B354">
        <v>14.88</v>
      </c>
      <c r="C354">
        <v>8.4700000000000006</v>
      </c>
      <c r="D354">
        <v>10.875</v>
      </c>
      <c r="F354">
        <v>3</v>
      </c>
      <c r="G354">
        <v>5</v>
      </c>
      <c r="H354">
        <v>5.875</v>
      </c>
    </row>
    <row r="355" spans="1:8" x14ac:dyDescent="0.3">
      <c r="A355" s="1">
        <v>31766</v>
      </c>
      <c r="F355">
        <v>3</v>
      </c>
      <c r="G355">
        <v>5</v>
      </c>
      <c r="H355">
        <v>5.875</v>
      </c>
    </row>
    <row r="356" spans="1:8" x14ac:dyDescent="0.3">
      <c r="A356" s="1">
        <v>31767</v>
      </c>
      <c r="F356">
        <v>3</v>
      </c>
      <c r="G356">
        <v>5</v>
      </c>
      <c r="H356">
        <v>5.875</v>
      </c>
    </row>
    <row r="357" spans="1:8" x14ac:dyDescent="0.3">
      <c r="A357" s="1">
        <v>31768</v>
      </c>
      <c r="B357">
        <v>15</v>
      </c>
      <c r="C357">
        <v>8.4700000000000006</v>
      </c>
      <c r="D357">
        <v>10.875</v>
      </c>
      <c r="F357">
        <v>3</v>
      </c>
      <c r="G357">
        <v>5</v>
      </c>
      <c r="H357">
        <v>5.875</v>
      </c>
    </row>
    <row r="358" spans="1:8" x14ac:dyDescent="0.3">
      <c r="A358" s="1">
        <v>31769</v>
      </c>
      <c r="B358">
        <v>14.65</v>
      </c>
      <c r="C358">
        <v>8.4700000000000006</v>
      </c>
      <c r="D358">
        <v>10.875</v>
      </c>
      <c r="F358">
        <v>3</v>
      </c>
      <c r="G358">
        <v>5</v>
      </c>
      <c r="H358">
        <v>5.875</v>
      </c>
    </row>
    <row r="359" spans="1:8" x14ac:dyDescent="0.3">
      <c r="A359" s="1">
        <v>31770</v>
      </c>
      <c r="B359">
        <v>14.65</v>
      </c>
      <c r="C359">
        <v>8.4700000000000006</v>
      </c>
      <c r="D359">
        <v>10.875</v>
      </c>
      <c r="F359">
        <v>3</v>
      </c>
      <c r="G359">
        <v>5</v>
      </c>
      <c r="H359">
        <v>5.875</v>
      </c>
    </row>
    <row r="360" spans="1:8" x14ac:dyDescent="0.3">
      <c r="A360" s="1">
        <v>31771</v>
      </c>
      <c r="C360">
        <v>8.4700000000000006</v>
      </c>
      <c r="F360">
        <v>3</v>
      </c>
      <c r="G360">
        <v>5</v>
      </c>
      <c r="H360">
        <v>5.875</v>
      </c>
    </row>
    <row r="361" spans="1:8" x14ac:dyDescent="0.3">
      <c r="A361" s="1">
        <v>31772</v>
      </c>
      <c r="C361">
        <v>8.4700000000000006</v>
      </c>
      <c r="F361">
        <v>3</v>
      </c>
      <c r="G361">
        <v>5</v>
      </c>
      <c r="H361">
        <v>5.875</v>
      </c>
    </row>
    <row r="362" spans="1:8" x14ac:dyDescent="0.3">
      <c r="A362" s="1">
        <v>31773</v>
      </c>
      <c r="F362">
        <v>3</v>
      </c>
      <c r="G362">
        <v>5</v>
      </c>
      <c r="H362">
        <v>5.875</v>
      </c>
    </row>
    <row r="363" spans="1:8" x14ac:dyDescent="0.3">
      <c r="A363" s="1">
        <v>31774</v>
      </c>
      <c r="F363">
        <v>3</v>
      </c>
      <c r="G363">
        <v>5</v>
      </c>
      <c r="H363">
        <v>5.875</v>
      </c>
    </row>
    <row r="364" spans="1:8" x14ac:dyDescent="0.3">
      <c r="A364" s="1">
        <v>31775</v>
      </c>
      <c r="B364">
        <v>14.6</v>
      </c>
      <c r="C364">
        <v>8.4700000000000006</v>
      </c>
      <c r="D364">
        <v>10.875</v>
      </c>
      <c r="F364">
        <v>3</v>
      </c>
      <c r="G364">
        <v>5</v>
      </c>
      <c r="H364">
        <v>5.875</v>
      </c>
    </row>
    <row r="365" spans="1:8" x14ac:dyDescent="0.3">
      <c r="A365" s="1">
        <v>31776</v>
      </c>
      <c r="B365">
        <v>14.7</v>
      </c>
      <c r="C365">
        <v>8.4700000000000006</v>
      </c>
      <c r="D365">
        <v>10.875</v>
      </c>
      <c r="F365">
        <v>3</v>
      </c>
      <c r="G365">
        <v>5</v>
      </c>
      <c r="H365">
        <v>5.875</v>
      </c>
    </row>
    <row r="366" spans="1:8" x14ac:dyDescent="0.3">
      <c r="A366" s="1">
        <v>31777</v>
      </c>
      <c r="B366">
        <v>14.75</v>
      </c>
      <c r="C366">
        <v>8.49</v>
      </c>
      <c r="D366">
        <v>10.875</v>
      </c>
      <c r="F366">
        <v>3</v>
      </c>
      <c r="G366">
        <v>5</v>
      </c>
      <c r="H366">
        <v>5.875</v>
      </c>
    </row>
    <row r="367" spans="1:8" x14ac:dyDescent="0.3">
      <c r="A367" s="1">
        <v>31778</v>
      </c>
      <c r="C367">
        <v>8.49</v>
      </c>
      <c r="F367">
        <v>3</v>
      </c>
      <c r="G367">
        <v>5</v>
      </c>
      <c r="H367">
        <v>5.875</v>
      </c>
    </row>
    <row r="368" spans="1:8" x14ac:dyDescent="0.3">
      <c r="A368" s="1">
        <v>31779</v>
      </c>
      <c r="B368">
        <v>14.73</v>
      </c>
      <c r="C368">
        <v>8.49</v>
      </c>
      <c r="D368">
        <v>10.875</v>
      </c>
      <c r="F368">
        <v>3</v>
      </c>
      <c r="G368">
        <v>5</v>
      </c>
      <c r="H368">
        <v>5.875</v>
      </c>
    </row>
    <row r="369" spans="1:8" x14ac:dyDescent="0.3">
      <c r="A369" s="1">
        <v>31780</v>
      </c>
      <c r="F369">
        <v>3</v>
      </c>
      <c r="G369">
        <v>5</v>
      </c>
      <c r="H369">
        <v>5.875</v>
      </c>
    </row>
    <row r="370" spans="1:8" x14ac:dyDescent="0.3">
      <c r="A370" s="1">
        <v>31781</v>
      </c>
      <c r="F370">
        <v>3</v>
      </c>
      <c r="G370">
        <v>5</v>
      </c>
      <c r="H370">
        <v>5.875</v>
      </c>
    </row>
    <row r="371" spans="1:8" x14ac:dyDescent="0.3">
      <c r="A371" s="1">
        <v>31782</v>
      </c>
      <c r="B371">
        <v>14.7</v>
      </c>
      <c r="C371">
        <v>8.49</v>
      </c>
      <c r="D371">
        <v>10.875</v>
      </c>
      <c r="F371">
        <v>3</v>
      </c>
      <c r="G371">
        <v>5</v>
      </c>
      <c r="H371">
        <v>6</v>
      </c>
    </row>
    <row r="372" spans="1:8" x14ac:dyDescent="0.3">
      <c r="A372" s="1">
        <v>31783</v>
      </c>
      <c r="B372">
        <v>14.78</v>
      </c>
      <c r="C372">
        <v>8.49</v>
      </c>
      <c r="D372">
        <v>10.875</v>
      </c>
      <c r="F372">
        <v>3</v>
      </c>
      <c r="G372">
        <v>5</v>
      </c>
      <c r="H372">
        <v>6</v>
      </c>
    </row>
    <row r="373" spans="1:8" x14ac:dyDescent="0.3">
      <c r="A373" s="1">
        <v>31784</v>
      </c>
      <c r="B373">
        <v>14.95</v>
      </c>
      <c r="C373">
        <v>8.49</v>
      </c>
      <c r="D373">
        <v>10.875</v>
      </c>
      <c r="F373">
        <v>3</v>
      </c>
      <c r="G373">
        <v>5</v>
      </c>
      <c r="H373">
        <v>6</v>
      </c>
    </row>
    <row r="374" spans="1:8" x14ac:dyDescent="0.3">
      <c r="A374" s="1">
        <v>31785</v>
      </c>
      <c r="B374">
        <v>15.45</v>
      </c>
      <c r="C374">
        <v>8.3699999999999992</v>
      </c>
      <c r="D374">
        <v>10.875</v>
      </c>
      <c r="F374">
        <v>3</v>
      </c>
      <c r="G374">
        <v>5</v>
      </c>
      <c r="H374">
        <v>6</v>
      </c>
    </row>
    <row r="375" spans="1:8" x14ac:dyDescent="0.3">
      <c r="A375" s="1">
        <v>31786</v>
      </c>
      <c r="B375">
        <v>15.88</v>
      </c>
      <c r="C375">
        <v>8.3699999999999992</v>
      </c>
      <c r="D375">
        <v>10.875</v>
      </c>
      <c r="F375">
        <v>3</v>
      </c>
      <c r="G375">
        <v>5</v>
      </c>
      <c r="H375">
        <v>6</v>
      </c>
    </row>
    <row r="376" spans="1:8" x14ac:dyDescent="0.3">
      <c r="A376" s="1">
        <v>31787</v>
      </c>
      <c r="F376">
        <v>3</v>
      </c>
      <c r="G376">
        <v>5</v>
      </c>
      <c r="H376">
        <v>6</v>
      </c>
    </row>
    <row r="377" spans="1:8" x14ac:dyDescent="0.3">
      <c r="A377" s="1">
        <v>31788</v>
      </c>
      <c r="F377">
        <v>3</v>
      </c>
      <c r="G377">
        <v>5</v>
      </c>
      <c r="H377">
        <v>6</v>
      </c>
    </row>
    <row r="378" spans="1:8" x14ac:dyDescent="0.3">
      <c r="A378" s="1">
        <v>31789</v>
      </c>
      <c r="B378">
        <v>15.75</v>
      </c>
      <c r="C378">
        <v>8.3699999999999992</v>
      </c>
      <c r="D378">
        <v>10.875</v>
      </c>
      <c r="F378">
        <v>3</v>
      </c>
      <c r="G378">
        <v>5</v>
      </c>
      <c r="H378">
        <v>6</v>
      </c>
    </row>
    <row r="379" spans="1:8" x14ac:dyDescent="0.3">
      <c r="A379" s="1">
        <v>31790</v>
      </c>
      <c r="B379">
        <v>15.63</v>
      </c>
      <c r="C379">
        <v>8.3699999999999992</v>
      </c>
      <c r="D379">
        <v>10.875</v>
      </c>
      <c r="F379">
        <v>3</v>
      </c>
      <c r="G379">
        <v>5</v>
      </c>
      <c r="H379">
        <v>6</v>
      </c>
    </row>
    <row r="380" spans="1:8" x14ac:dyDescent="0.3">
      <c r="A380" s="1">
        <v>31791</v>
      </c>
      <c r="B380">
        <v>16.75</v>
      </c>
      <c r="C380">
        <v>8.3699999999999992</v>
      </c>
      <c r="D380">
        <v>10.875</v>
      </c>
      <c r="F380">
        <v>3</v>
      </c>
      <c r="G380">
        <v>5</v>
      </c>
      <c r="H380">
        <v>6</v>
      </c>
    </row>
    <row r="381" spans="1:8" x14ac:dyDescent="0.3">
      <c r="A381" s="1">
        <v>31792</v>
      </c>
      <c r="B381">
        <v>23</v>
      </c>
      <c r="C381">
        <v>8.1999999999999993</v>
      </c>
      <c r="D381">
        <v>10.875</v>
      </c>
      <c r="F381">
        <v>3</v>
      </c>
      <c r="G381">
        <v>5</v>
      </c>
      <c r="H381">
        <v>6</v>
      </c>
    </row>
    <row r="382" spans="1:8" x14ac:dyDescent="0.3">
      <c r="A382" s="1">
        <v>31793</v>
      </c>
      <c r="B382">
        <v>17.63</v>
      </c>
      <c r="C382">
        <v>8.1999999999999993</v>
      </c>
      <c r="D382">
        <v>10.875</v>
      </c>
      <c r="F382">
        <v>3</v>
      </c>
      <c r="G382">
        <v>5</v>
      </c>
      <c r="H382">
        <v>6</v>
      </c>
    </row>
    <row r="383" spans="1:8" x14ac:dyDescent="0.3">
      <c r="A383" s="1">
        <v>31794</v>
      </c>
      <c r="F383">
        <v>3</v>
      </c>
      <c r="G383">
        <v>5</v>
      </c>
      <c r="H383">
        <v>6</v>
      </c>
    </row>
    <row r="384" spans="1:8" x14ac:dyDescent="0.3">
      <c r="A384" s="1">
        <v>31795</v>
      </c>
      <c r="F384">
        <v>3</v>
      </c>
      <c r="G384">
        <v>5</v>
      </c>
      <c r="H384">
        <v>6</v>
      </c>
    </row>
    <row r="385" spans="1:8" x14ac:dyDescent="0.3">
      <c r="A385" s="1">
        <v>31796</v>
      </c>
      <c r="B385">
        <v>17.75</v>
      </c>
      <c r="C385">
        <v>8.1999999999999993</v>
      </c>
      <c r="D385">
        <v>10.875</v>
      </c>
      <c r="F385">
        <v>3</v>
      </c>
      <c r="G385">
        <v>5</v>
      </c>
      <c r="H385">
        <v>6</v>
      </c>
    </row>
    <row r="386" spans="1:8" x14ac:dyDescent="0.3">
      <c r="A386" s="1">
        <v>31797</v>
      </c>
      <c r="B386">
        <v>18</v>
      </c>
      <c r="C386">
        <v>8.1999999999999993</v>
      </c>
      <c r="D386">
        <v>10.875</v>
      </c>
      <c r="F386">
        <v>3</v>
      </c>
      <c r="G386">
        <v>5</v>
      </c>
      <c r="H386">
        <v>6</v>
      </c>
    </row>
    <row r="387" spans="1:8" x14ac:dyDescent="0.3">
      <c r="A387" s="1">
        <v>31798</v>
      </c>
      <c r="B387">
        <v>17</v>
      </c>
      <c r="C387">
        <v>8.1999999999999993</v>
      </c>
      <c r="D387">
        <v>10.875</v>
      </c>
      <c r="F387">
        <v>3</v>
      </c>
      <c r="G387">
        <v>5</v>
      </c>
      <c r="H387">
        <v>6</v>
      </c>
    </row>
    <row r="388" spans="1:8" x14ac:dyDescent="0.3">
      <c r="A388" s="1">
        <v>31799</v>
      </c>
      <c r="B388">
        <v>16.75</v>
      </c>
      <c r="C388">
        <v>7.74</v>
      </c>
      <c r="D388">
        <v>10.875</v>
      </c>
      <c r="F388">
        <v>3</v>
      </c>
      <c r="G388">
        <v>5</v>
      </c>
      <c r="H388">
        <v>6</v>
      </c>
    </row>
    <row r="389" spans="1:8" x14ac:dyDescent="0.3">
      <c r="A389" s="1">
        <v>31800</v>
      </c>
      <c r="B389">
        <v>16.5</v>
      </c>
      <c r="C389">
        <v>7.74</v>
      </c>
      <c r="D389">
        <v>10.875</v>
      </c>
      <c r="F389">
        <v>3</v>
      </c>
      <c r="G389">
        <v>5</v>
      </c>
      <c r="H389">
        <v>6</v>
      </c>
    </row>
    <row r="390" spans="1:8" x14ac:dyDescent="0.3">
      <c r="A390" s="1">
        <v>31801</v>
      </c>
      <c r="F390">
        <v>3</v>
      </c>
      <c r="G390">
        <v>5</v>
      </c>
      <c r="H390">
        <v>6</v>
      </c>
    </row>
    <row r="391" spans="1:8" x14ac:dyDescent="0.3">
      <c r="A391" s="1">
        <v>31802</v>
      </c>
      <c r="F391">
        <v>3</v>
      </c>
      <c r="G391">
        <v>5</v>
      </c>
      <c r="H391">
        <v>6</v>
      </c>
    </row>
    <row r="392" spans="1:8" x14ac:dyDescent="0.3">
      <c r="A392" s="1">
        <v>31803</v>
      </c>
      <c r="C392">
        <v>7.74</v>
      </c>
      <c r="D392">
        <v>10.875</v>
      </c>
      <c r="F392">
        <v>3</v>
      </c>
      <c r="G392">
        <v>5</v>
      </c>
      <c r="H392">
        <v>6</v>
      </c>
    </row>
    <row r="393" spans="1:8" x14ac:dyDescent="0.3">
      <c r="A393" s="1">
        <v>31804</v>
      </c>
      <c r="B393">
        <v>16.8</v>
      </c>
      <c r="C393">
        <v>7.74</v>
      </c>
      <c r="D393">
        <v>10.875</v>
      </c>
      <c r="F393">
        <v>3</v>
      </c>
      <c r="G393">
        <v>5</v>
      </c>
      <c r="H393">
        <v>6</v>
      </c>
    </row>
    <row r="394" spans="1:8" x14ac:dyDescent="0.3">
      <c r="A394" s="1">
        <v>31805</v>
      </c>
      <c r="B394">
        <v>16.829999999999998</v>
      </c>
      <c r="C394">
        <v>7.74</v>
      </c>
      <c r="D394">
        <v>10.875</v>
      </c>
      <c r="F394">
        <v>3</v>
      </c>
      <c r="G394">
        <v>5</v>
      </c>
      <c r="H394">
        <v>6</v>
      </c>
    </row>
    <row r="395" spans="1:8" x14ac:dyDescent="0.3">
      <c r="A395" s="1">
        <v>31806</v>
      </c>
      <c r="B395">
        <v>16.850000000000001</v>
      </c>
      <c r="C395">
        <v>7.49</v>
      </c>
      <c r="D395">
        <v>10.875</v>
      </c>
      <c r="F395">
        <v>3</v>
      </c>
      <c r="G395">
        <v>5</v>
      </c>
      <c r="H395">
        <v>6</v>
      </c>
    </row>
    <row r="396" spans="1:8" x14ac:dyDescent="0.3">
      <c r="A396" s="1">
        <v>31807</v>
      </c>
      <c r="B396">
        <v>16.7</v>
      </c>
      <c r="C396">
        <v>7.49</v>
      </c>
      <c r="D396">
        <v>10.875</v>
      </c>
      <c r="F396">
        <v>3</v>
      </c>
      <c r="G396">
        <v>5</v>
      </c>
      <c r="H396">
        <v>6</v>
      </c>
    </row>
    <row r="397" spans="1:8" x14ac:dyDescent="0.3">
      <c r="A397" s="1">
        <v>31808</v>
      </c>
      <c r="F397">
        <v>3</v>
      </c>
      <c r="G397">
        <v>5</v>
      </c>
      <c r="H397">
        <v>6</v>
      </c>
    </row>
    <row r="398" spans="1:8" x14ac:dyDescent="0.3">
      <c r="A398" s="1">
        <v>31809</v>
      </c>
      <c r="F398">
        <v>3</v>
      </c>
      <c r="G398">
        <v>5</v>
      </c>
      <c r="H398">
        <v>6</v>
      </c>
    </row>
    <row r="399" spans="1:8" x14ac:dyDescent="0.3">
      <c r="A399" s="1">
        <v>31810</v>
      </c>
      <c r="B399">
        <v>16.75</v>
      </c>
      <c r="C399">
        <v>7.49</v>
      </c>
      <c r="D399">
        <v>10.875</v>
      </c>
      <c r="F399">
        <v>3</v>
      </c>
      <c r="G399">
        <v>5</v>
      </c>
      <c r="H399">
        <v>6</v>
      </c>
    </row>
    <row r="400" spans="1:8" x14ac:dyDescent="0.3">
      <c r="A400" s="1">
        <v>31811</v>
      </c>
      <c r="B400">
        <v>16.850000000000001</v>
      </c>
      <c r="C400">
        <v>7.49</v>
      </c>
      <c r="D400">
        <v>10.875</v>
      </c>
      <c r="F400">
        <v>3</v>
      </c>
      <c r="G400">
        <v>5</v>
      </c>
      <c r="H400">
        <v>6</v>
      </c>
    </row>
    <row r="401" spans="1:8" x14ac:dyDescent="0.3">
      <c r="A401" s="1">
        <v>31812</v>
      </c>
      <c r="B401">
        <v>16.829999999999998</v>
      </c>
      <c r="C401">
        <v>7.49</v>
      </c>
      <c r="D401">
        <v>10.875</v>
      </c>
      <c r="F401">
        <v>3</v>
      </c>
      <c r="G401">
        <v>5</v>
      </c>
      <c r="H401">
        <v>6</v>
      </c>
    </row>
    <row r="402" spans="1:8" x14ac:dyDescent="0.3">
      <c r="A402" s="1">
        <v>31813</v>
      </c>
      <c r="B402">
        <v>16.579999999999998</v>
      </c>
      <c r="C402">
        <v>7.51</v>
      </c>
      <c r="D402">
        <v>10.875</v>
      </c>
      <c r="F402">
        <v>3</v>
      </c>
      <c r="G402">
        <v>5</v>
      </c>
      <c r="H402">
        <v>6</v>
      </c>
    </row>
    <row r="403" spans="1:8" x14ac:dyDescent="0.3">
      <c r="A403" s="1">
        <v>31814</v>
      </c>
      <c r="B403">
        <v>16.38</v>
      </c>
      <c r="C403">
        <v>7.51</v>
      </c>
      <c r="D403">
        <v>10.875</v>
      </c>
      <c r="F403">
        <v>3</v>
      </c>
      <c r="G403">
        <v>5</v>
      </c>
      <c r="H403">
        <v>6</v>
      </c>
    </row>
    <row r="404" spans="1:8" x14ac:dyDescent="0.3">
      <c r="A404" s="1">
        <v>31815</v>
      </c>
      <c r="F404">
        <v>3</v>
      </c>
      <c r="G404">
        <v>5</v>
      </c>
      <c r="H404">
        <v>6</v>
      </c>
    </row>
    <row r="405" spans="1:8" x14ac:dyDescent="0.3">
      <c r="A405" s="1">
        <v>31816</v>
      </c>
      <c r="F405">
        <v>3</v>
      </c>
      <c r="G405">
        <v>5</v>
      </c>
      <c r="H405">
        <v>6</v>
      </c>
    </row>
    <row r="406" spans="1:8" x14ac:dyDescent="0.3">
      <c r="A406" s="1">
        <v>31817</v>
      </c>
      <c r="B406">
        <v>16.8</v>
      </c>
      <c r="C406">
        <v>7.51</v>
      </c>
      <c r="D406">
        <v>10.875</v>
      </c>
      <c r="F406">
        <v>3</v>
      </c>
      <c r="G406">
        <v>5</v>
      </c>
      <c r="H406">
        <v>6</v>
      </c>
    </row>
    <row r="407" spans="1:8" x14ac:dyDescent="0.3">
      <c r="A407" s="1">
        <v>31818</v>
      </c>
      <c r="B407">
        <v>16.850000000000001</v>
      </c>
      <c r="C407">
        <v>7.51</v>
      </c>
      <c r="D407">
        <v>10.875</v>
      </c>
      <c r="F407">
        <v>3</v>
      </c>
      <c r="G407">
        <v>5</v>
      </c>
      <c r="H407">
        <v>6</v>
      </c>
    </row>
    <row r="408" spans="1:8" x14ac:dyDescent="0.3">
      <c r="A408" s="1">
        <v>31819</v>
      </c>
      <c r="B408">
        <v>16.350000000000001</v>
      </c>
      <c r="C408">
        <v>7.51</v>
      </c>
      <c r="D408">
        <v>10.875</v>
      </c>
      <c r="F408">
        <v>3</v>
      </c>
      <c r="G408">
        <v>5</v>
      </c>
      <c r="H408">
        <v>6</v>
      </c>
    </row>
    <row r="409" spans="1:8" x14ac:dyDescent="0.3">
      <c r="A409" s="1">
        <v>31820</v>
      </c>
      <c r="B409">
        <v>16.13</v>
      </c>
      <c r="C409">
        <v>7.67</v>
      </c>
      <c r="D409">
        <v>10.875</v>
      </c>
      <c r="F409">
        <v>3</v>
      </c>
      <c r="G409">
        <v>5</v>
      </c>
      <c r="H409">
        <v>6</v>
      </c>
    </row>
    <row r="410" spans="1:8" x14ac:dyDescent="0.3">
      <c r="A410" s="1">
        <v>31821</v>
      </c>
      <c r="B410">
        <v>15.85</v>
      </c>
      <c r="C410">
        <v>7.67</v>
      </c>
      <c r="D410">
        <v>10.875</v>
      </c>
      <c r="F410">
        <v>3</v>
      </c>
      <c r="G410">
        <v>5</v>
      </c>
      <c r="H410">
        <v>6</v>
      </c>
    </row>
    <row r="411" spans="1:8" x14ac:dyDescent="0.3">
      <c r="A411" s="1">
        <v>31822</v>
      </c>
      <c r="F411">
        <v>3</v>
      </c>
      <c r="G411">
        <v>5</v>
      </c>
      <c r="H411">
        <v>6</v>
      </c>
    </row>
    <row r="412" spans="1:8" x14ac:dyDescent="0.3">
      <c r="A412" s="1">
        <v>31823</v>
      </c>
      <c r="F412">
        <v>3</v>
      </c>
      <c r="G412">
        <v>5</v>
      </c>
      <c r="H412">
        <v>6</v>
      </c>
    </row>
    <row r="413" spans="1:8" x14ac:dyDescent="0.3">
      <c r="A413" s="1">
        <v>31824</v>
      </c>
      <c r="B413">
        <v>16.149999999999999</v>
      </c>
      <c r="C413">
        <v>7.67</v>
      </c>
      <c r="D413">
        <v>10.875</v>
      </c>
      <c r="F413">
        <v>3</v>
      </c>
      <c r="G413">
        <v>5</v>
      </c>
      <c r="H413">
        <v>6</v>
      </c>
    </row>
    <row r="414" spans="1:8" x14ac:dyDescent="0.3">
      <c r="A414" s="1">
        <v>31825</v>
      </c>
      <c r="B414">
        <v>16.75</v>
      </c>
      <c r="C414">
        <v>7.67</v>
      </c>
      <c r="D414">
        <v>10.875</v>
      </c>
      <c r="F414">
        <v>3</v>
      </c>
      <c r="G414">
        <v>5</v>
      </c>
      <c r="H414">
        <v>6</v>
      </c>
    </row>
    <row r="415" spans="1:8" x14ac:dyDescent="0.3">
      <c r="A415" s="1">
        <v>31826</v>
      </c>
      <c r="B415">
        <v>16.8</v>
      </c>
      <c r="C415">
        <v>7.67</v>
      </c>
      <c r="D415">
        <v>10.875</v>
      </c>
      <c r="F415">
        <v>3</v>
      </c>
      <c r="G415">
        <v>5</v>
      </c>
      <c r="H415">
        <v>6</v>
      </c>
    </row>
    <row r="416" spans="1:8" x14ac:dyDescent="0.3">
      <c r="A416" s="1">
        <v>31827</v>
      </c>
      <c r="B416">
        <v>16.3</v>
      </c>
      <c r="C416">
        <v>7.59</v>
      </c>
      <c r="D416">
        <v>10.875</v>
      </c>
      <c r="F416">
        <v>3</v>
      </c>
      <c r="G416">
        <v>5</v>
      </c>
      <c r="H416">
        <v>6</v>
      </c>
    </row>
    <row r="417" spans="1:8" x14ac:dyDescent="0.3">
      <c r="A417" s="1">
        <v>31828</v>
      </c>
      <c r="B417">
        <v>16.25</v>
      </c>
      <c r="C417">
        <v>7.59</v>
      </c>
      <c r="D417">
        <v>10.875</v>
      </c>
      <c r="F417">
        <v>3</v>
      </c>
      <c r="G417">
        <v>5</v>
      </c>
      <c r="H417">
        <v>6</v>
      </c>
    </row>
    <row r="418" spans="1:8" x14ac:dyDescent="0.3">
      <c r="A418" s="1">
        <v>31829</v>
      </c>
      <c r="F418">
        <v>3</v>
      </c>
      <c r="G418">
        <v>5</v>
      </c>
      <c r="H418">
        <v>6</v>
      </c>
    </row>
    <row r="419" spans="1:8" x14ac:dyDescent="0.3">
      <c r="A419" s="1">
        <v>31830</v>
      </c>
      <c r="F419">
        <v>3</v>
      </c>
      <c r="G419">
        <v>5</v>
      </c>
      <c r="H419">
        <v>6</v>
      </c>
    </row>
    <row r="420" spans="1:8" x14ac:dyDescent="0.3">
      <c r="A420" s="1">
        <v>31831</v>
      </c>
      <c r="B420">
        <v>16.23</v>
      </c>
      <c r="C420">
        <v>7.59</v>
      </c>
      <c r="D420">
        <v>10.875</v>
      </c>
      <c r="F420">
        <v>2.5</v>
      </c>
      <c r="G420">
        <v>5</v>
      </c>
      <c r="H420">
        <v>6</v>
      </c>
    </row>
    <row r="421" spans="1:8" x14ac:dyDescent="0.3">
      <c r="A421" s="1">
        <v>31832</v>
      </c>
      <c r="B421">
        <v>16.100000000000001</v>
      </c>
      <c r="C421">
        <v>7.59</v>
      </c>
      <c r="D421">
        <v>10.875</v>
      </c>
      <c r="F421">
        <v>2.5</v>
      </c>
      <c r="G421">
        <v>5</v>
      </c>
      <c r="H421">
        <v>6</v>
      </c>
    </row>
    <row r="422" spans="1:8" x14ac:dyDescent="0.3">
      <c r="A422" s="1">
        <v>31833</v>
      </c>
      <c r="B422">
        <v>16.05</v>
      </c>
      <c r="C422">
        <v>7.59</v>
      </c>
      <c r="D422">
        <v>10.875</v>
      </c>
      <c r="F422">
        <v>2.5</v>
      </c>
      <c r="G422">
        <v>5</v>
      </c>
      <c r="H422">
        <v>6</v>
      </c>
    </row>
    <row r="423" spans="1:8" x14ac:dyDescent="0.3">
      <c r="A423" s="1">
        <v>31834</v>
      </c>
      <c r="B423">
        <v>16.23</v>
      </c>
      <c r="C423">
        <v>7.53</v>
      </c>
      <c r="D423">
        <v>10.875</v>
      </c>
      <c r="F423">
        <v>2.5</v>
      </c>
      <c r="G423">
        <v>5</v>
      </c>
      <c r="H423">
        <v>6</v>
      </c>
    </row>
    <row r="424" spans="1:8" x14ac:dyDescent="0.3">
      <c r="A424" s="1">
        <v>31835</v>
      </c>
      <c r="B424">
        <v>16.43</v>
      </c>
      <c r="C424">
        <v>7.53</v>
      </c>
      <c r="D424">
        <v>10.875</v>
      </c>
      <c r="F424">
        <v>2.5</v>
      </c>
      <c r="G424">
        <v>5</v>
      </c>
      <c r="H424">
        <v>6</v>
      </c>
    </row>
    <row r="425" spans="1:8" x14ac:dyDescent="0.3">
      <c r="A425" s="1">
        <v>31836</v>
      </c>
      <c r="F425">
        <v>2.5</v>
      </c>
      <c r="G425">
        <v>5</v>
      </c>
      <c r="H425">
        <v>6</v>
      </c>
    </row>
    <row r="426" spans="1:8" x14ac:dyDescent="0.3">
      <c r="A426" s="1">
        <v>31837</v>
      </c>
      <c r="F426">
        <v>2.5</v>
      </c>
      <c r="G426">
        <v>5</v>
      </c>
      <c r="H426">
        <v>6</v>
      </c>
    </row>
    <row r="427" spans="1:8" x14ac:dyDescent="0.3">
      <c r="A427" s="1">
        <v>31838</v>
      </c>
      <c r="B427">
        <v>16.38</v>
      </c>
      <c r="C427">
        <v>7.53</v>
      </c>
      <c r="D427">
        <v>10.875</v>
      </c>
      <c r="F427">
        <v>2.5</v>
      </c>
      <c r="G427">
        <v>5</v>
      </c>
      <c r="H427">
        <v>6</v>
      </c>
    </row>
    <row r="428" spans="1:8" x14ac:dyDescent="0.3">
      <c r="A428" s="1">
        <v>31839</v>
      </c>
      <c r="B428">
        <v>16.329999999999998</v>
      </c>
      <c r="C428">
        <v>7.53</v>
      </c>
      <c r="D428">
        <v>10.875</v>
      </c>
      <c r="F428">
        <v>2.5</v>
      </c>
      <c r="G428">
        <v>5</v>
      </c>
      <c r="H428">
        <v>6</v>
      </c>
    </row>
    <row r="429" spans="1:8" x14ac:dyDescent="0.3">
      <c r="A429" s="1">
        <v>31840</v>
      </c>
      <c r="B429">
        <v>16.38</v>
      </c>
      <c r="C429">
        <v>7.53</v>
      </c>
      <c r="D429">
        <v>10.875</v>
      </c>
      <c r="F429">
        <v>2.5</v>
      </c>
      <c r="G429">
        <v>5</v>
      </c>
      <c r="H429">
        <v>6</v>
      </c>
    </row>
    <row r="430" spans="1:8" x14ac:dyDescent="0.3">
      <c r="A430" s="1">
        <v>31841</v>
      </c>
      <c r="B430">
        <v>16.3</v>
      </c>
      <c r="C430">
        <v>7.54</v>
      </c>
      <c r="D430">
        <v>10.875</v>
      </c>
      <c r="F430">
        <v>2.5</v>
      </c>
      <c r="G430">
        <v>5</v>
      </c>
      <c r="H430">
        <v>6</v>
      </c>
    </row>
    <row r="431" spans="1:8" x14ac:dyDescent="0.3">
      <c r="A431" s="1">
        <v>31842</v>
      </c>
      <c r="B431">
        <v>16.25</v>
      </c>
      <c r="C431">
        <v>7.54</v>
      </c>
      <c r="D431">
        <v>10.875</v>
      </c>
      <c r="F431">
        <v>2.5</v>
      </c>
      <c r="G431">
        <v>5</v>
      </c>
      <c r="H431">
        <v>6</v>
      </c>
    </row>
    <row r="432" spans="1:8" x14ac:dyDescent="0.3">
      <c r="A432" s="1">
        <v>31843</v>
      </c>
      <c r="F432">
        <v>2.5</v>
      </c>
      <c r="G432">
        <v>5</v>
      </c>
      <c r="H432">
        <v>6</v>
      </c>
    </row>
    <row r="433" spans="1:8" x14ac:dyDescent="0.3">
      <c r="A433" s="1">
        <v>31844</v>
      </c>
      <c r="F433">
        <v>2.5</v>
      </c>
      <c r="G433">
        <v>5</v>
      </c>
      <c r="H433">
        <v>6</v>
      </c>
    </row>
    <row r="434" spans="1:8" x14ac:dyDescent="0.3">
      <c r="A434" s="1">
        <v>31845</v>
      </c>
      <c r="B434">
        <v>16.38</v>
      </c>
      <c r="C434">
        <v>7.54</v>
      </c>
      <c r="D434">
        <v>10.375</v>
      </c>
      <c r="F434">
        <v>2.5</v>
      </c>
      <c r="G434">
        <v>5</v>
      </c>
      <c r="H434">
        <v>6</v>
      </c>
    </row>
    <row r="435" spans="1:8" x14ac:dyDescent="0.3">
      <c r="A435" s="1">
        <v>31846</v>
      </c>
      <c r="B435">
        <v>16.88</v>
      </c>
      <c r="C435">
        <v>7.54</v>
      </c>
      <c r="D435">
        <v>10.375</v>
      </c>
      <c r="F435">
        <v>2.5</v>
      </c>
      <c r="G435">
        <v>5</v>
      </c>
      <c r="H435">
        <v>6</v>
      </c>
    </row>
    <row r="436" spans="1:8" x14ac:dyDescent="0.3">
      <c r="A436" s="1">
        <v>31847</v>
      </c>
      <c r="B436">
        <v>16.5</v>
      </c>
      <c r="C436">
        <v>7.54</v>
      </c>
      <c r="D436">
        <v>10.375</v>
      </c>
      <c r="F436">
        <v>2.5</v>
      </c>
      <c r="G436">
        <v>5</v>
      </c>
      <c r="H436">
        <v>6</v>
      </c>
    </row>
    <row r="437" spans="1:8" x14ac:dyDescent="0.3">
      <c r="A437" s="1">
        <v>31848</v>
      </c>
      <c r="B437">
        <v>16.25</v>
      </c>
      <c r="C437">
        <v>7.28</v>
      </c>
      <c r="D437">
        <v>10.375</v>
      </c>
      <c r="F437">
        <v>2.5</v>
      </c>
      <c r="G437">
        <v>5</v>
      </c>
      <c r="H437">
        <v>6</v>
      </c>
    </row>
    <row r="438" spans="1:8" x14ac:dyDescent="0.3">
      <c r="A438" s="1">
        <v>31849</v>
      </c>
      <c r="B438">
        <v>16.05</v>
      </c>
      <c r="C438">
        <v>7.28</v>
      </c>
      <c r="D438">
        <v>10.375</v>
      </c>
      <c r="F438">
        <v>2.5</v>
      </c>
      <c r="G438">
        <v>5</v>
      </c>
      <c r="H438">
        <v>6</v>
      </c>
    </row>
    <row r="439" spans="1:8" x14ac:dyDescent="0.3">
      <c r="A439" s="1">
        <v>31850</v>
      </c>
      <c r="F439">
        <v>2.5</v>
      </c>
      <c r="G439">
        <v>5</v>
      </c>
      <c r="H439">
        <v>6</v>
      </c>
    </row>
    <row r="440" spans="1:8" x14ac:dyDescent="0.3">
      <c r="A440" s="1">
        <v>31851</v>
      </c>
      <c r="F440">
        <v>2.5</v>
      </c>
      <c r="G440">
        <v>5</v>
      </c>
      <c r="H440">
        <v>6</v>
      </c>
    </row>
    <row r="441" spans="1:8" x14ac:dyDescent="0.3">
      <c r="A441" s="1">
        <v>31852</v>
      </c>
      <c r="B441">
        <v>16.38</v>
      </c>
      <c r="C441">
        <v>7.28</v>
      </c>
      <c r="D441">
        <v>10.375</v>
      </c>
      <c r="F441">
        <v>2.5</v>
      </c>
      <c r="G441">
        <v>5</v>
      </c>
      <c r="H441">
        <v>6</v>
      </c>
    </row>
    <row r="442" spans="1:8" x14ac:dyDescent="0.3">
      <c r="A442" s="1">
        <v>31853</v>
      </c>
      <c r="B442">
        <v>16.28</v>
      </c>
      <c r="C442">
        <v>7.28</v>
      </c>
      <c r="D442">
        <v>10.375</v>
      </c>
      <c r="F442">
        <v>2.5</v>
      </c>
      <c r="G442">
        <v>5</v>
      </c>
      <c r="H442">
        <v>6</v>
      </c>
    </row>
    <row r="443" spans="1:8" x14ac:dyDescent="0.3">
      <c r="A443" s="1">
        <v>31854</v>
      </c>
      <c r="B443">
        <v>16.149999999999999</v>
      </c>
      <c r="C443">
        <v>7.28</v>
      </c>
      <c r="D443">
        <v>9.875</v>
      </c>
      <c r="F443">
        <v>2.5</v>
      </c>
      <c r="G443">
        <v>5</v>
      </c>
      <c r="H443">
        <v>6</v>
      </c>
    </row>
    <row r="444" spans="1:8" x14ac:dyDescent="0.3">
      <c r="A444" s="1">
        <v>31855</v>
      </c>
      <c r="B444">
        <v>16.079999999999998</v>
      </c>
      <c r="C444">
        <v>7.14</v>
      </c>
      <c r="D444">
        <v>9.875</v>
      </c>
      <c r="F444">
        <v>2.5</v>
      </c>
      <c r="G444">
        <v>5</v>
      </c>
      <c r="H444">
        <v>6</v>
      </c>
    </row>
    <row r="445" spans="1:8" x14ac:dyDescent="0.3">
      <c r="A445" s="1">
        <v>31856</v>
      </c>
      <c r="B445">
        <v>16.100000000000001</v>
      </c>
      <c r="C445">
        <v>7.14</v>
      </c>
      <c r="D445">
        <v>9.875</v>
      </c>
      <c r="F445">
        <v>2.5</v>
      </c>
      <c r="G445">
        <v>5</v>
      </c>
      <c r="H445">
        <v>6</v>
      </c>
    </row>
    <row r="446" spans="1:8" x14ac:dyDescent="0.3">
      <c r="A446" s="1">
        <v>31857</v>
      </c>
      <c r="F446">
        <v>2.5</v>
      </c>
      <c r="G446">
        <v>5</v>
      </c>
      <c r="H446">
        <v>6</v>
      </c>
    </row>
    <row r="447" spans="1:8" x14ac:dyDescent="0.3">
      <c r="A447" s="1">
        <v>31858</v>
      </c>
      <c r="F447">
        <v>2.5</v>
      </c>
      <c r="G447">
        <v>5</v>
      </c>
      <c r="H447">
        <v>6</v>
      </c>
    </row>
    <row r="448" spans="1:8" x14ac:dyDescent="0.3">
      <c r="A448" s="1">
        <v>31859</v>
      </c>
      <c r="B448">
        <v>16.25</v>
      </c>
      <c r="C448">
        <v>7.14</v>
      </c>
      <c r="D448">
        <v>9.875</v>
      </c>
      <c r="F448">
        <v>2.5</v>
      </c>
      <c r="G448">
        <v>5</v>
      </c>
      <c r="H448">
        <v>6</v>
      </c>
    </row>
    <row r="449" spans="1:8" x14ac:dyDescent="0.3">
      <c r="A449" s="1">
        <v>31860</v>
      </c>
      <c r="B449">
        <v>16.329999999999998</v>
      </c>
      <c r="C449">
        <v>7.14</v>
      </c>
      <c r="D449">
        <v>9.875</v>
      </c>
      <c r="F449">
        <v>2.5</v>
      </c>
      <c r="G449">
        <v>5</v>
      </c>
      <c r="H449">
        <v>6</v>
      </c>
    </row>
    <row r="450" spans="1:8" x14ac:dyDescent="0.3">
      <c r="A450" s="1">
        <v>31861</v>
      </c>
      <c r="B450">
        <v>16.079999999999998</v>
      </c>
      <c r="C450">
        <v>7.14</v>
      </c>
      <c r="D450">
        <v>9.875</v>
      </c>
      <c r="F450">
        <v>2.5</v>
      </c>
      <c r="G450">
        <v>5</v>
      </c>
      <c r="H450">
        <v>6</v>
      </c>
    </row>
    <row r="451" spans="1:8" x14ac:dyDescent="0.3">
      <c r="A451" s="1">
        <v>31862</v>
      </c>
      <c r="B451">
        <v>15.95</v>
      </c>
      <c r="C451">
        <v>7.05</v>
      </c>
      <c r="D451">
        <v>9.875</v>
      </c>
      <c r="F451">
        <v>2.5</v>
      </c>
      <c r="G451">
        <v>5</v>
      </c>
      <c r="H451">
        <v>6</v>
      </c>
    </row>
    <row r="452" spans="1:8" x14ac:dyDescent="0.3">
      <c r="A452" s="1">
        <v>31863</v>
      </c>
      <c r="B452">
        <v>15.85</v>
      </c>
      <c r="C452">
        <v>7.05</v>
      </c>
      <c r="D452">
        <v>9.875</v>
      </c>
      <c r="F452">
        <v>2.5</v>
      </c>
      <c r="G452">
        <v>5</v>
      </c>
      <c r="H452">
        <v>6</v>
      </c>
    </row>
    <row r="453" spans="1:8" x14ac:dyDescent="0.3">
      <c r="A453" s="1">
        <v>31864</v>
      </c>
      <c r="F453">
        <v>2.5</v>
      </c>
      <c r="G453">
        <v>5</v>
      </c>
      <c r="H453">
        <v>6</v>
      </c>
    </row>
    <row r="454" spans="1:8" x14ac:dyDescent="0.3">
      <c r="A454" s="1">
        <v>31865</v>
      </c>
      <c r="F454">
        <v>2.5</v>
      </c>
      <c r="G454">
        <v>5</v>
      </c>
      <c r="H454">
        <v>6</v>
      </c>
    </row>
    <row r="455" spans="1:8" x14ac:dyDescent="0.3">
      <c r="A455" s="1">
        <v>31866</v>
      </c>
      <c r="B455">
        <v>15.93</v>
      </c>
      <c r="C455">
        <v>7.05</v>
      </c>
      <c r="D455">
        <v>9.875</v>
      </c>
      <c r="F455">
        <v>2.5</v>
      </c>
      <c r="G455">
        <v>5</v>
      </c>
      <c r="H455">
        <v>6</v>
      </c>
    </row>
    <row r="456" spans="1:8" x14ac:dyDescent="0.3">
      <c r="A456" s="1">
        <v>31867</v>
      </c>
      <c r="B456">
        <v>15.95</v>
      </c>
      <c r="C456">
        <v>7.05</v>
      </c>
      <c r="D456">
        <v>9.875</v>
      </c>
      <c r="F456">
        <v>2.5</v>
      </c>
      <c r="G456">
        <v>5</v>
      </c>
      <c r="H456">
        <v>6</v>
      </c>
    </row>
    <row r="457" spans="1:8" x14ac:dyDescent="0.3">
      <c r="A457" s="1">
        <v>31868</v>
      </c>
      <c r="B457">
        <v>15.8</v>
      </c>
      <c r="C457">
        <v>7.05</v>
      </c>
      <c r="D457">
        <v>9.875</v>
      </c>
      <c r="F457">
        <v>2.5</v>
      </c>
      <c r="G457">
        <v>5</v>
      </c>
      <c r="H457">
        <v>6</v>
      </c>
    </row>
    <row r="458" spans="1:8" x14ac:dyDescent="0.3">
      <c r="A458" s="1">
        <v>31869</v>
      </c>
      <c r="B458">
        <v>15</v>
      </c>
      <c r="C458">
        <v>7.15</v>
      </c>
      <c r="D458">
        <v>9.875</v>
      </c>
      <c r="F458">
        <v>2.5</v>
      </c>
      <c r="G458">
        <v>5</v>
      </c>
      <c r="H458">
        <v>6</v>
      </c>
    </row>
    <row r="459" spans="1:8" x14ac:dyDescent="0.3">
      <c r="A459" s="1">
        <v>31870</v>
      </c>
      <c r="B459">
        <v>14.75</v>
      </c>
      <c r="C459">
        <v>7.15</v>
      </c>
      <c r="D459">
        <v>9.875</v>
      </c>
      <c r="F459">
        <v>2.5</v>
      </c>
      <c r="G459">
        <v>5</v>
      </c>
      <c r="H459">
        <v>6</v>
      </c>
    </row>
    <row r="460" spans="1:8" x14ac:dyDescent="0.3">
      <c r="A460" s="1">
        <v>31871</v>
      </c>
      <c r="F460">
        <v>2.5</v>
      </c>
      <c r="G460">
        <v>5</v>
      </c>
      <c r="H460">
        <v>6</v>
      </c>
    </row>
    <row r="461" spans="1:8" x14ac:dyDescent="0.3">
      <c r="A461" s="1">
        <v>31872</v>
      </c>
      <c r="F461">
        <v>2.5</v>
      </c>
      <c r="G461">
        <v>5</v>
      </c>
      <c r="H461">
        <v>6</v>
      </c>
    </row>
    <row r="462" spans="1:8" x14ac:dyDescent="0.3">
      <c r="A462" s="1">
        <v>31873</v>
      </c>
      <c r="B462">
        <v>15.13</v>
      </c>
      <c r="C462">
        <v>7.15</v>
      </c>
      <c r="D462">
        <v>9.875</v>
      </c>
      <c r="F462">
        <v>2.5</v>
      </c>
      <c r="G462">
        <v>5</v>
      </c>
      <c r="H462">
        <v>6</v>
      </c>
    </row>
    <row r="463" spans="1:8" x14ac:dyDescent="0.3">
      <c r="A463" s="1">
        <v>31874</v>
      </c>
      <c r="B463">
        <v>15.5</v>
      </c>
      <c r="C463">
        <v>7.15</v>
      </c>
      <c r="D463">
        <v>9.875</v>
      </c>
      <c r="F463">
        <v>2.5</v>
      </c>
      <c r="G463">
        <v>5</v>
      </c>
      <c r="H463">
        <v>6</v>
      </c>
    </row>
    <row r="464" spans="1:8" x14ac:dyDescent="0.3">
      <c r="A464" s="1">
        <v>31875</v>
      </c>
      <c r="B464">
        <v>15.25</v>
      </c>
      <c r="C464">
        <v>7.15</v>
      </c>
      <c r="D464">
        <v>9.875</v>
      </c>
      <c r="F464">
        <v>2.5</v>
      </c>
      <c r="G464">
        <v>5</v>
      </c>
      <c r="H464">
        <v>6</v>
      </c>
    </row>
    <row r="465" spans="1:8" x14ac:dyDescent="0.3">
      <c r="A465" s="1">
        <v>31876</v>
      </c>
      <c r="B465">
        <v>15.63</v>
      </c>
      <c r="C465">
        <v>7.2</v>
      </c>
      <c r="D465">
        <v>9.875</v>
      </c>
      <c r="F465">
        <v>2.5</v>
      </c>
      <c r="G465">
        <v>5</v>
      </c>
      <c r="H465">
        <v>6</v>
      </c>
    </row>
    <row r="466" spans="1:8" x14ac:dyDescent="0.3">
      <c r="A466" s="1">
        <v>31877</v>
      </c>
      <c r="B466">
        <v>15.25</v>
      </c>
      <c r="C466">
        <v>7.2</v>
      </c>
      <c r="D466">
        <v>9.875</v>
      </c>
      <c r="F466">
        <v>2.5</v>
      </c>
      <c r="G466">
        <v>5</v>
      </c>
      <c r="H466">
        <v>6</v>
      </c>
    </row>
    <row r="467" spans="1:8" x14ac:dyDescent="0.3">
      <c r="A467" s="1">
        <v>31878</v>
      </c>
      <c r="F467">
        <v>2.5</v>
      </c>
      <c r="G467">
        <v>5</v>
      </c>
      <c r="H467">
        <v>6</v>
      </c>
    </row>
    <row r="468" spans="1:8" x14ac:dyDescent="0.3">
      <c r="A468" s="1">
        <v>31879</v>
      </c>
      <c r="F468">
        <v>2.5</v>
      </c>
      <c r="G468">
        <v>5</v>
      </c>
      <c r="H468">
        <v>6</v>
      </c>
    </row>
    <row r="469" spans="1:8" x14ac:dyDescent="0.3">
      <c r="A469" s="1">
        <v>31880</v>
      </c>
      <c r="B469">
        <v>15.13</v>
      </c>
      <c r="C469">
        <v>7.2</v>
      </c>
      <c r="D469">
        <v>9.875</v>
      </c>
      <c r="F469">
        <v>2.5</v>
      </c>
      <c r="G469">
        <v>5</v>
      </c>
      <c r="H469">
        <v>6</v>
      </c>
    </row>
    <row r="470" spans="1:8" x14ac:dyDescent="0.3">
      <c r="A470" s="1">
        <v>31881</v>
      </c>
      <c r="B470">
        <v>15.1</v>
      </c>
      <c r="C470">
        <v>7.2</v>
      </c>
      <c r="D470">
        <v>9.875</v>
      </c>
      <c r="F470">
        <v>2.5</v>
      </c>
      <c r="G470">
        <v>5</v>
      </c>
      <c r="H470">
        <v>6</v>
      </c>
    </row>
    <row r="471" spans="1:8" x14ac:dyDescent="0.3">
      <c r="A471" s="1">
        <v>31882</v>
      </c>
      <c r="B471">
        <v>14.88</v>
      </c>
      <c r="C471">
        <v>7.9</v>
      </c>
      <c r="D471">
        <v>9.875</v>
      </c>
      <c r="F471">
        <v>2.5</v>
      </c>
      <c r="G471">
        <v>5</v>
      </c>
      <c r="H471">
        <v>6</v>
      </c>
    </row>
    <row r="472" spans="1:8" x14ac:dyDescent="0.3">
      <c r="A472" s="1">
        <v>31883</v>
      </c>
      <c r="B472">
        <v>14.6</v>
      </c>
      <c r="C472">
        <v>7.9</v>
      </c>
      <c r="D472">
        <v>9.875</v>
      </c>
      <c r="F472">
        <v>2.5</v>
      </c>
      <c r="G472">
        <v>5</v>
      </c>
      <c r="H472">
        <v>6</v>
      </c>
    </row>
    <row r="473" spans="1:8" x14ac:dyDescent="0.3">
      <c r="A473" s="1">
        <v>31884</v>
      </c>
      <c r="C473">
        <v>7.9</v>
      </c>
      <c r="F473">
        <v>2.5</v>
      </c>
      <c r="G473">
        <v>5</v>
      </c>
      <c r="H473">
        <v>6</v>
      </c>
    </row>
    <row r="474" spans="1:8" x14ac:dyDescent="0.3">
      <c r="A474" s="1">
        <v>31885</v>
      </c>
      <c r="F474">
        <v>2.5</v>
      </c>
      <c r="G474">
        <v>5</v>
      </c>
      <c r="H474">
        <v>6</v>
      </c>
    </row>
    <row r="475" spans="1:8" x14ac:dyDescent="0.3">
      <c r="A475" s="1">
        <v>31886</v>
      </c>
      <c r="F475">
        <v>2.5</v>
      </c>
      <c r="G475">
        <v>5</v>
      </c>
      <c r="H475">
        <v>6</v>
      </c>
    </row>
    <row r="476" spans="1:8" x14ac:dyDescent="0.3">
      <c r="A476" s="1">
        <v>31887</v>
      </c>
      <c r="C476">
        <v>7.9</v>
      </c>
      <c r="F476">
        <v>2.5</v>
      </c>
      <c r="G476">
        <v>5</v>
      </c>
      <c r="H476">
        <v>6</v>
      </c>
    </row>
    <row r="477" spans="1:8" x14ac:dyDescent="0.3">
      <c r="A477" s="1">
        <v>31888</v>
      </c>
      <c r="B477">
        <v>14.5</v>
      </c>
      <c r="C477">
        <v>7.9</v>
      </c>
      <c r="D477">
        <v>9.875</v>
      </c>
      <c r="F477">
        <v>2.5</v>
      </c>
      <c r="G477">
        <v>5</v>
      </c>
      <c r="H477">
        <v>6</v>
      </c>
    </row>
    <row r="478" spans="1:8" x14ac:dyDescent="0.3">
      <c r="A478" s="1">
        <v>31889</v>
      </c>
      <c r="B478">
        <v>14.35</v>
      </c>
      <c r="C478">
        <v>7.9</v>
      </c>
      <c r="D478">
        <v>9.875</v>
      </c>
      <c r="F478">
        <v>2.5</v>
      </c>
      <c r="G478">
        <v>5</v>
      </c>
      <c r="H478">
        <v>6</v>
      </c>
    </row>
    <row r="479" spans="1:8" x14ac:dyDescent="0.3">
      <c r="A479" s="1">
        <v>31890</v>
      </c>
      <c r="B479">
        <v>14.33</v>
      </c>
      <c r="C479">
        <v>8.26</v>
      </c>
      <c r="D479">
        <v>9.875</v>
      </c>
      <c r="F479">
        <v>2.5</v>
      </c>
      <c r="G479">
        <v>5</v>
      </c>
      <c r="H479">
        <v>6</v>
      </c>
    </row>
    <row r="480" spans="1:8" x14ac:dyDescent="0.3">
      <c r="A480" s="1">
        <v>31891</v>
      </c>
      <c r="B480">
        <v>14.05</v>
      </c>
      <c r="C480">
        <v>8.26</v>
      </c>
      <c r="D480">
        <v>9.875</v>
      </c>
      <c r="F480">
        <v>2.5</v>
      </c>
      <c r="G480">
        <v>5</v>
      </c>
      <c r="H480">
        <v>6</v>
      </c>
    </row>
    <row r="481" spans="1:8" x14ac:dyDescent="0.3">
      <c r="A481" s="1">
        <v>31892</v>
      </c>
      <c r="F481">
        <v>2.5</v>
      </c>
      <c r="G481">
        <v>5</v>
      </c>
      <c r="H481">
        <v>6</v>
      </c>
    </row>
    <row r="482" spans="1:8" x14ac:dyDescent="0.3">
      <c r="A482" s="1">
        <v>31893</v>
      </c>
      <c r="F482">
        <v>2.5</v>
      </c>
      <c r="G482">
        <v>5</v>
      </c>
      <c r="H482">
        <v>6</v>
      </c>
    </row>
    <row r="483" spans="1:8" x14ac:dyDescent="0.3">
      <c r="A483" s="1">
        <v>31894</v>
      </c>
      <c r="B483">
        <v>14.15</v>
      </c>
      <c r="C483">
        <v>8.26</v>
      </c>
      <c r="D483">
        <v>9.875</v>
      </c>
      <c r="F483">
        <v>2.5</v>
      </c>
      <c r="G483">
        <v>5</v>
      </c>
      <c r="H483">
        <v>6</v>
      </c>
    </row>
    <row r="484" spans="1:8" x14ac:dyDescent="0.3">
      <c r="A484" s="1">
        <v>31895</v>
      </c>
      <c r="B484">
        <v>14.28</v>
      </c>
      <c r="C484">
        <v>8.26</v>
      </c>
      <c r="D484">
        <v>9.375</v>
      </c>
      <c r="F484">
        <v>2.5</v>
      </c>
      <c r="G484">
        <v>5</v>
      </c>
      <c r="H484">
        <v>6</v>
      </c>
    </row>
    <row r="485" spans="1:8" x14ac:dyDescent="0.3">
      <c r="A485" s="1">
        <v>31896</v>
      </c>
      <c r="B485">
        <v>14.15</v>
      </c>
      <c r="C485">
        <v>8.26</v>
      </c>
      <c r="D485">
        <v>9.375</v>
      </c>
      <c r="F485">
        <v>2.5</v>
      </c>
      <c r="G485">
        <v>5</v>
      </c>
      <c r="H485">
        <v>6</v>
      </c>
    </row>
    <row r="486" spans="1:8" x14ac:dyDescent="0.3">
      <c r="A486" s="1">
        <v>31897</v>
      </c>
      <c r="B486">
        <v>14.2</v>
      </c>
      <c r="C486">
        <v>8.33</v>
      </c>
      <c r="D486">
        <v>9.375</v>
      </c>
      <c r="F486">
        <v>2.5</v>
      </c>
      <c r="G486">
        <v>5</v>
      </c>
      <c r="H486">
        <v>6.5</v>
      </c>
    </row>
    <row r="487" spans="1:8" x14ac:dyDescent="0.3">
      <c r="A487" s="1">
        <v>31898</v>
      </c>
      <c r="B487">
        <v>14.25</v>
      </c>
      <c r="C487">
        <v>8.33</v>
      </c>
      <c r="D487">
        <v>9.375</v>
      </c>
      <c r="F487">
        <v>2.5</v>
      </c>
      <c r="G487">
        <v>5</v>
      </c>
      <c r="H487">
        <v>6.5</v>
      </c>
    </row>
    <row r="488" spans="1:8" x14ac:dyDescent="0.3">
      <c r="A488" s="1">
        <v>31899</v>
      </c>
      <c r="F488">
        <v>2.5</v>
      </c>
      <c r="G488">
        <v>5</v>
      </c>
      <c r="H488">
        <v>6.5</v>
      </c>
    </row>
    <row r="489" spans="1:8" x14ac:dyDescent="0.3">
      <c r="A489" s="1">
        <v>31900</v>
      </c>
      <c r="F489">
        <v>2.5</v>
      </c>
      <c r="G489">
        <v>5</v>
      </c>
      <c r="H489">
        <v>6.5</v>
      </c>
    </row>
    <row r="490" spans="1:8" x14ac:dyDescent="0.3">
      <c r="A490" s="1">
        <v>31901</v>
      </c>
      <c r="B490">
        <v>14.5</v>
      </c>
      <c r="C490">
        <v>8.33</v>
      </c>
      <c r="F490">
        <v>2.5</v>
      </c>
      <c r="G490">
        <v>5</v>
      </c>
      <c r="H490">
        <v>6.5</v>
      </c>
    </row>
    <row r="491" spans="1:8" x14ac:dyDescent="0.3">
      <c r="A491" s="1">
        <v>31902</v>
      </c>
      <c r="B491">
        <v>15.13</v>
      </c>
      <c r="C491">
        <v>8.33</v>
      </c>
      <c r="D491">
        <v>9.375</v>
      </c>
      <c r="F491">
        <v>2.5</v>
      </c>
      <c r="G491">
        <v>5</v>
      </c>
      <c r="H491">
        <v>6.5</v>
      </c>
    </row>
    <row r="492" spans="1:8" x14ac:dyDescent="0.3">
      <c r="A492" s="1">
        <v>31903</v>
      </c>
      <c r="B492">
        <v>15.88</v>
      </c>
      <c r="C492">
        <v>8.33</v>
      </c>
      <c r="D492">
        <v>9.375</v>
      </c>
      <c r="F492">
        <v>2.5</v>
      </c>
      <c r="G492">
        <v>5</v>
      </c>
      <c r="H492">
        <v>6.5</v>
      </c>
    </row>
    <row r="493" spans="1:8" x14ac:dyDescent="0.3">
      <c r="A493" s="1">
        <v>31904</v>
      </c>
      <c r="B493">
        <v>14.88</v>
      </c>
      <c r="C493">
        <v>8.17</v>
      </c>
      <c r="D493">
        <v>9.375</v>
      </c>
      <c r="F493">
        <v>2.5</v>
      </c>
      <c r="G493">
        <v>5</v>
      </c>
      <c r="H493">
        <v>6.5</v>
      </c>
    </row>
    <row r="494" spans="1:8" x14ac:dyDescent="0.3">
      <c r="A494" s="1">
        <v>31905</v>
      </c>
      <c r="B494">
        <v>14.98</v>
      </c>
      <c r="C494">
        <v>8.17</v>
      </c>
      <c r="D494">
        <v>8.875</v>
      </c>
      <c r="F494">
        <v>2.5</v>
      </c>
      <c r="G494">
        <v>5</v>
      </c>
      <c r="H494">
        <v>6.5</v>
      </c>
    </row>
    <row r="495" spans="1:8" x14ac:dyDescent="0.3">
      <c r="A495" s="1">
        <v>31906</v>
      </c>
      <c r="F495">
        <v>2.5</v>
      </c>
      <c r="G495">
        <v>5</v>
      </c>
      <c r="H495">
        <v>6.5</v>
      </c>
    </row>
    <row r="496" spans="1:8" x14ac:dyDescent="0.3">
      <c r="A496" s="1">
        <v>31907</v>
      </c>
      <c r="F496">
        <v>2.5</v>
      </c>
      <c r="G496">
        <v>5</v>
      </c>
      <c r="H496">
        <v>6.5</v>
      </c>
    </row>
    <row r="497" spans="1:8" x14ac:dyDescent="0.3">
      <c r="A497" s="1">
        <v>31908</v>
      </c>
      <c r="B497">
        <v>16</v>
      </c>
      <c r="C497">
        <v>8.17</v>
      </c>
      <c r="D497">
        <v>8.875</v>
      </c>
      <c r="F497">
        <v>2.5</v>
      </c>
      <c r="G497">
        <v>5</v>
      </c>
      <c r="H497">
        <v>6.5</v>
      </c>
    </row>
    <row r="498" spans="1:8" x14ac:dyDescent="0.3">
      <c r="A498" s="1">
        <v>31909</v>
      </c>
      <c r="B498">
        <v>14.83</v>
      </c>
      <c r="C498">
        <v>8.17</v>
      </c>
      <c r="D498">
        <v>8.875</v>
      </c>
      <c r="F498">
        <v>2.5</v>
      </c>
      <c r="G498">
        <v>5</v>
      </c>
      <c r="H498">
        <v>6.5</v>
      </c>
    </row>
    <row r="499" spans="1:8" x14ac:dyDescent="0.3">
      <c r="A499" s="1">
        <v>31910</v>
      </c>
      <c r="B499">
        <v>14.4</v>
      </c>
      <c r="C499">
        <v>8.17</v>
      </c>
      <c r="D499">
        <v>8.875</v>
      </c>
      <c r="F499">
        <v>2.5</v>
      </c>
      <c r="G499">
        <v>5</v>
      </c>
      <c r="H499">
        <v>6.5</v>
      </c>
    </row>
    <row r="500" spans="1:8" x14ac:dyDescent="0.3">
      <c r="A500" s="1">
        <v>31911</v>
      </c>
      <c r="B500">
        <v>14.2</v>
      </c>
      <c r="C500">
        <v>8.07</v>
      </c>
      <c r="D500">
        <v>8.875</v>
      </c>
      <c r="F500">
        <v>2.5</v>
      </c>
      <c r="G500">
        <v>5</v>
      </c>
      <c r="H500">
        <v>6.5</v>
      </c>
    </row>
    <row r="501" spans="1:8" x14ac:dyDescent="0.3">
      <c r="A501" s="1">
        <v>31912</v>
      </c>
      <c r="B501">
        <v>13.25</v>
      </c>
      <c r="C501">
        <v>8.07</v>
      </c>
      <c r="D501">
        <v>8.875</v>
      </c>
      <c r="F501">
        <v>2.5</v>
      </c>
      <c r="G501">
        <v>5</v>
      </c>
      <c r="H501">
        <v>6.5</v>
      </c>
    </row>
    <row r="502" spans="1:8" x14ac:dyDescent="0.3">
      <c r="A502" s="1">
        <v>31913</v>
      </c>
      <c r="F502">
        <v>2.5</v>
      </c>
      <c r="G502">
        <v>5</v>
      </c>
      <c r="H502">
        <v>6.5</v>
      </c>
    </row>
    <row r="503" spans="1:8" x14ac:dyDescent="0.3">
      <c r="A503" s="1">
        <v>31914</v>
      </c>
      <c r="F503">
        <v>2.5</v>
      </c>
      <c r="G503">
        <v>5</v>
      </c>
      <c r="H503">
        <v>6.5</v>
      </c>
    </row>
    <row r="504" spans="1:8" x14ac:dyDescent="0.3">
      <c r="A504" s="1">
        <v>31915</v>
      </c>
      <c r="B504">
        <v>13.75</v>
      </c>
      <c r="C504">
        <v>8.07</v>
      </c>
      <c r="D504">
        <v>8.875</v>
      </c>
      <c r="F504">
        <v>2.5</v>
      </c>
      <c r="G504">
        <v>5</v>
      </c>
      <c r="H504">
        <v>6.5</v>
      </c>
    </row>
    <row r="505" spans="1:8" x14ac:dyDescent="0.3">
      <c r="A505" s="1">
        <v>31916</v>
      </c>
      <c r="B505">
        <v>14.25</v>
      </c>
      <c r="C505">
        <v>8.07</v>
      </c>
      <c r="D505">
        <v>8.875</v>
      </c>
      <c r="F505">
        <v>2.5</v>
      </c>
      <c r="G505">
        <v>5</v>
      </c>
      <c r="H505">
        <v>6.5</v>
      </c>
    </row>
    <row r="506" spans="1:8" x14ac:dyDescent="0.3">
      <c r="A506" s="1">
        <v>31917</v>
      </c>
      <c r="B506">
        <v>13.75</v>
      </c>
      <c r="C506">
        <v>8.07</v>
      </c>
      <c r="D506">
        <v>8.875</v>
      </c>
      <c r="F506">
        <v>2.5</v>
      </c>
      <c r="G506">
        <v>5</v>
      </c>
      <c r="H506">
        <v>6.5</v>
      </c>
    </row>
    <row r="507" spans="1:8" x14ac:dyDescent="0.3">
      <c r="A507" s="1">
        <v>31918</v>
      </c>
      <c r="B507">
        <v>14.13</v>
      </c>
      <c r="C507">
        <v>8.5399999999999991</v>
      </c>
      <c r="D507">
        <v>8.875</v>
      </c>
      <c r="F507">
        <v>2.5</v>
      </c>
      <c r="G507">
        <v>5</v>
      </c>
      <c r="H507">
        <v>6.5</v>
      </c>
    </row>
    <row r="508" spans="1:8" x14ac:dyDescent="0.3">
      <c r="A508" s="1">
        <v>31919</v>
      </c>
      <c r="B508">
        <v>13.5</v>
      </c>
      <c r="C508">
        <v>8.5399999999999991</v>
      </c>
      <c r="D508">
        <v>8.875</v>
      </c>
      <c r="F508">
        <v>2.5</v>
      </c>
      <c r="G508">
        <v>5</v>
      </c>
      <c r="H508">
        <v>6.75</v>
      </c>
    </row>
    <row r="509" spans="1:8" x14ac:dyDescent="0.3">
      <c r="A509" s="1">
        <v>31920</v>
      </c>
      <c r="F509">
        <v>2.5</v>
      </c>
      <c r="G509">
        <v>5</v>
      </c>
      <c r="H509">
        <v>6.75</v>
      </c>
    </row>
    <row r="510" spans="1:8" x14ac:dyDescent="0.3">
      <c r="A510" s="1">
        <v>31921</v>
      </c>
      <c r="F510">
        <v>2.5</v>
      </c>
      <c r="G510">
        <v>5</v>
      </c>
      <c r="H510">
        <v>6.75</v>
      </c>
    </row>
    <row r="511" spans="1:8" x14ac:dyDescent="0.3">
      <c r="A511" s="1">
        <v>31922</v>
      </c>
      <c r="B511">
        <v>13.5</v>
      </c>
      <c r="C511">
        <v>8.5399999999999991</v>
      </c>
      <c r="F511">
        <v>2.5</v>
      </c>
      <c r="G511">
        <v>5</v>
      </c>
      <c r="H511">
        <v>6.75</v>
      </c>
    </row>
    <row r="512" spans="1:8" x14ac:dyDescent="0.3">
      <c r="A512" s="1">
        <v>31923</v>
      </c>
      <c r="B512">
        <v>13.5</v>
      </c>
      <c r="C512">
        <v>8.5399999999999991</v>
      </c>
      <c r="D512">
        <v>8.875</v>
      </c>
      <c r="F512">
        <v>2.5</v>
      </c>
      <c r="G512">
        <v>5</v>
      </c>
      <c r="H512">
        <v>6.75</v>
      </c>
    </row>
    <row r="513" spans="1:8" x14ac:dyDescent="0.3">
      <c r="A513" s="1">
        <v>31924</v>
      </c>
      <c r="B513">
        <v>14</v>
      </c>
      <c r="C513">
        <v>8.5399999999999991</v>
      </c>
      <c r="D513">
        <v>8.875</v>
      </c>
      <c r="F513">
        <v>2.5</v>
      </c>
      <c r="G513">
        <v>5</v>
      </c>
      <c r="H513">
        <v>6.75</v>
      </c>
    </row>
    <row r="514" spans="1:8" x14ac:dyDescent="0.3">
      <c r="A514" s="1">
        <v>31925</v>
      </c>
      <c r="B514">
        <v>13.5</v>
      </c>
      <c r="C514">
        <v>8.44</v>
      </c>
      <c r="D514">
        <v>8.875</v>
      </c>
      <c r="F514">
        <v>2.5</v>
      </c>
      <c r="G514">
        <v>5</v>
      </c>
      <c r="H514">
        <v>6.75</v>
      </c>
    </row>
    <row r="515" spans="1:8" x14ac:dyDescent="0.3">
      <c r="A515" s="1">
        <v>31926</v>
      </c>
      <c r="B515">
        <v>13.38</v>
      </c>
      <c r="C515">
        <v>8.44</v>
      </c>
      <c r="D515">
        <v>8.875</v>
      </c>
      <c r="F515">
        <v>2.5</v>
      </c>
      <c r="G515">
        <v>5</v>
      </c>
      <c r="H515">
        <v>6.75</v>
      </c>
    </row>
    <row r="516" spans="1:8" x14ac:dyDescent="0.3">
      <c r="A516" s="1">
        <v>31927</v>
      </c>
      <c r="F516">
        <v>2.5</v>
      </c>
      <c r="G516">
        <v>5</v>
      </c>
      <c r="H516">
        <v>6.75</v>
      </c>
    </row>
    <row r="517" spans="1:8" x14ac:dyDescent="0.3">
      <c r="A517" s="1">
        <v>31928</v>
      </c>
      <c r="F517">
        <v>2.5</v>
      </c>
      <c r="G517">
        <v>5</v>
      </c>
      <c r="H517">
        <v>6.75</v>
      </c>
    </row>
    <row r="518" spans="1:8" x14ac:dyDescent="0.3">
      <c r="A518" s="1">
        <v>31929</v>
      </c>
      <c r="B518">
        <v>13.7</v>
      </c>
      <c r="C518">
        <v>8.44</v>
      </c>
      <c r="D518">
        <v>8.875</v>
      </c>
      <c r="F518">
        <v>2.5</v>
      </c>
      <c r="G518">
        <v>5</v>
      </c>
      <c r="H518">
        <v>6.75</v>
      </c>
    </row>
    <row r="519" spans="1:8" x14ac:dyDescent="0.3">
      <c r="A519" s="1">
        <v>31930</v>
      </c>
      <c r="B519">
        <v>13.7</v>
      </c>
      <c r="C519">
        <v>8.44</v>
      </c>
      <c r="D519">
        <v>8.875</v>
      </c>
      <c r="F519">
        <v>2.5</v>
      </c>
      <c r="G519">
        <v>5</v>
      </c>
      <c r="H519">
        <v>6.75</v>
      </c>
    </row>
    <row r="520" spans="1:8" x14ac:dyDescent="0.3">
      <c r="A520" s="1">
        <v>31931</v>
      </c>
      <c r="B520">
        <v>13.6</v>
      </c>
      <c r="C520">
        <v>8.44</v>
      </c>
      <c r="D520">
        <v>8.875</v>
      </c>
      <c r="F520">
        <v>2.5</v>
      </c>
      <c r="G520">
        <v>5</v>
      </c>
      <c r="H520">
        <v>6.75</v>
      </c>
    </row>
    <row r="521" spans="1:8" x14ac:dyDescent="0.3">
      <c r="A521" s="1">
        <v>31932</v>
      </c>
      <c r="B521">
        <v>13.5</v>
      </c>
      <c r="C521">
        <v>8.5</v>
      </c>
      <c r="D521">
        <v>8.875</v>
      </c>
      <c r="F521">
        <v>2.5</v>
      </c>
      <c r="G521">
        <v>5</v>
      </c>
      <c r="H521">
        <v>6.75</v>
      </c>
    </row>
    <row r="522" spans="1:8" x14ac:dyDescent="0.3">
      <c r="A522" s="1">
        <v>31933</v>
      </c>
      <c r="B522">
        <v>13.73</v>
      </c>
      <c r="C522">
        <v>8.5</v>
      </c>
      <c r="D522">
        <v>8.875</v>
      </c>
      <c r="F522">
        <v>2.5</v>
      </c>
      <c r="G522">
        <v>5</v>
      </c>
      <c r="H522">
        <v>6.75</v>
      </c>
    </row>
    <row r="523" spans="1:8" x14ac:dyDescent="0.3">
      <c r="A523" s="1">
        <v>31934</v>
      </c>
      <c r="F523">
        <v>2.5</v>
      </c>
      <c r="G523">
        <v>5</v>
      </c>
      <c r="H523">
        <v>6.75</v>
      </c>
    </row>
    <row r="524" spans="1:8" x14ac:dyDescent="0.3">
      <c r="A524" s="1">
        <v>31935</v>
      </c>
      <c r="F524">
        <v>2.5</v>
      </c>
      <c r="G524">
        <v>5</v>
      </c>
      <c r="H524">
        <v>6.75</v>
      </c>
    </row>
    <row r="525" spans="1:8" x14ac:dyDescent="0.3">
      <c r="A525" s="1">
        <v>31936</v>
      </c>
      <c r="C525">
        <v>8.5</v>
      </c>
      <c r="D525">
        <v>8.875</v>
      </c>
      <c r="F525">
        <v>2.5</v>
      </c>
      <c r="G525">
        <v>5</v>
      </c>
      <c r="H525">
        <v>6.75</v>
      </c>
    </row>
    <row r="526" spans="1:8" x14ac:dyDescent="0.3">
      <c r="A526" s="1">
        <v>31937</v>
      </c>
      <c r="B526">
        <v>14.78</v>
      </c>
      <c r="C526">
        <v>8.5</v>
      </c>
      <c r="D526">
        <v>8.875</v>
      </c>
      <c r="F526">
        <v>2.5</v>
      </c>
      <c r="G526">
        <v>5</v>
      </c>
      <c r="H526">
        <v>6.75</v>
      </c>
    </row>
    <row r="527" spans="1:8" x14ac:dyDescent="0.3">
      <c r="A527" s="1">
        <v>31938</v>
      </c>
      <c r="B527">
        <v>14.38</v>
      </c>
      <c r="C527">
        <v>8.5</v>
      </c>
      <c r="D527">
        <v>8.875</v>
      </c>
      <c r="F527">
        <v>2.5</v>
      </c>
      <c r="G527">
        <v>5</v>
      </c>
      <c r="H527">
        <v>6.75</v>
      </c>
    </row>
    <row r="528" spans="1:8" x14ac:dyDescent="0.3">
      <c r="A528" s="1">
        <v>31939</v>
      </c>
      <c r="B528">
        <v>13.55</v>
      </c>
      <c r="C528">
        <v>8.58</v>
      </c>
      <c r="D528">
        <v>8.875</v>
      </c>
      <c r="F528">
        <v>2.5</v>
      </c>
      <c r="G528">
        <v>5</v>
      </c>
      <c r="H528">
        <v>6.75</v>
      </c>
    </row>
    <row r="529" spans="1:8" x14ac:dyDescent="0.3">
      <c r="A529" s="1">
        <v>31940</v>
      </c>
      <c r="B529">
        <v>13.13</v>
      </c>
      <c r="C529">
        <v>8.58</v>
      </c>
      <c r="D529">
        <v>8.875</v>
      </c>
      <c r="F529">
        <v>2.5</v>
      </c>
      <c r="G529">
        <v>5</v>
      </c>
      <c r="H529">
        <v>6.75</v>
      </c>
    </row>
    <row r="530" spans="1:8" x14ac:dyDescent="0.3">
      <c r="A530" s="1">
        <v>31941</v>
      </c>
      <c r="F530">
        <v>2.5</v>
      </c>
      <c r="G530">
        <v>5</v>
      </c>
      <c r="H530">
        <v>6.75</v>
      </c>
    </row>
    <row r="531" spans="1:8" x14ac:dyDescent="0.3">
      <c r="A531" s="1">
        <v>31942</v>
      </c>
      <c r="F531">
        <v>2.5</v>
      </c>
      <c r="G531">
        <v>5</v>
      </c>
      <c r="H531">
        <v>6.75</v>
      </c>
    </row>
    <row r="532" spans="1:8" x14ac:dyDescent="0.3">
      <c r="A532" s="1">
        <v>31943</v>
      </c>
      <c r="B532">
        <v>13.13</v>
      </c>
      <c r="C532">
        <v>8.58</v>
      </c>
      <c r="D532">
        <v>8.875</v>
      </c>
      <c r="F532">
        <v>2.5</v>
      </c>
      <c r="G532">
        <v>5</v>
      </c>
      <c r="H532">
        <v>6.75</v>
      </c>
    </row>
    <row r="533" spans="1:8" x14ac:dyDescent="0.3">
      <c r="A533" s="1">
        <v>31944</v>
      </c>
      <c r="B533">
        <v>13.13</v>
      </c>
      <c r="C533">
        <v>8.58</v>
      </c>
      <c r="D533">
        <v>8.875</v>
      </c>
      <c r="F533">
        <v>2.5</v>
      </c>
      <c r="G533">
        <v>5</v>
      </c>
      <c r="H533">
        <v>6.75</v>
      </c>
    </row>
    <row r="534" spans="1:8" x14ac:dyDescent="0.3">
      <c r="A534" s="1">
        <v>31945</v>
      </c>
      <c r="B534">
        <v>12.7</v>
      </c>
      <c r="C534">
        <v>8.58</v>
      </c>
      <c r="D534">
        <v>8.875</v>
      </c>
      <c r="F534">
        <v>2.5</v>
      </c>
      <c r="G534">
        <v>5</v>
      </c>
      <c r="H534">
        <v>6.75</v>
      </c>
    </row>
    <row r="535" spans="1:8" x14ac:dyDescent="0.3">
      <c r="A535" s="1">
        <v>31946</v>
      </c>
      <c r="B535">
        <v>12.88</v>
      </c>
      <c r="C535">
        <v>8.59</v>
      </c>
      <c r="D535">
        <v>8.875</v>
      </c>
      <c r="F535">
        <v>2.5</v>
      </c>
      <c r="G535">
        <v>5</v>
      </c>
      <c r="H535">
        <v>6.75</v>
      </c>
    </row>
    <row r="536" spans="1:8" x14ac:dyDescent="0.3">
      <c r="A536" s="1">
        <v>31947</v>
      </c>
      <c r="B536">
        <v>12.38</v>
      </c>
      <c r="C536">
        <v>8.59</v>
      </c>
      <c r="D536">
        <v>8.875</v>
      </c>
      <c r="F536">
        <v>2.5</v>
      </c>
      <c r="G536">
        <v>5</v>
      </c>
      <c r="H536">
        <v>6.75</v>
      </c>
    </row>
    <row r="537" spans="1:8" x14ac:dyDescent="0.3">
      <c r="A537" s="1">
        <v>31948</v>
      </c>
      <c r="F537">
        <v>2.5</v>
      </c>
      <c r="G537">
        <v>5</v>
      </c>
      <c r="H537">
        <v>6.75</v>
      </c>
    </row>
    <row r="538" spans="1:8" x14ac:dyDescent="0.3">
      <c r="A538" s="1">
        <v>31949</v>
      </c>
      <c r="F538">
        <v>2.5</v>
      </c>
      <c r="G538">
        <v>5</v>
      </c>
      <c r="H538">
        <v>6.75</v>
      </c>
    </row>
    <row r="539" spans="1:8" x14ac:dyDescent="0.3">
      <c r="A539" s="1">
        <v>31950</v>
      </c>
      <c r="B539">
        <v>12.38</v>
      </c>
      <c r="C539">
        <v>8.59</v>
      </c>
      <c r="D539">
        <v>8.875</v>
      </c>
      <c r="F539">
        <v>2.5</v>
      </c>
      <c r="G539">
        <v>5</v>
      </c>
      <c r="H539">
        <v>6.75</v>
      </c>
    </row>
    <row r="540" spans="1:8" x14ac:dyDescent="0.3">
      <c r="A540" s="1">
        <v>31951</v>
      </c>
      <c r="B540">
        <v>12.25</v>
      </c>
      <c r="C540">
        <v>8.59</v>
      </c>
      <c r="D540">
        <v>8.875</v>
      </c>
      <c r="F540">
        <v>2.5</v>
      </c>
      <c r="G540">
        <v>5</v>
      </c>
      <c r="H540">
        <v>6.75</v>
      </c>
    </row>
    <row r="541" spans="1:8" x14ac:dyDescent="0.3">
      <c r="A541" s="1">
        <v>31952</v>
      </c>
      <c r="B541">
        <v>12</v>
      </c>
      <c r="C541">
        <v>8.59</v>
      </c>
      <c r="D541">
        <v>8.875</v>
      </c>
      <c r="F541">
        <v>2.5</v>
      </c>
      <c r="G541">
        <v>5</v>
      </c>
      <c r="H541">
        <v>6.75</v>
      </c>
    </row>
    <row r="542" spans="1:8" x14ac:dyDescent="0.3">
      <c r="A542" s="1">
        <v>31953</v>
      </c>
      <c r="B542">
        <v>12.38</v>
      </c>
      <c r="C542">
        <v>8.5399999999999991</v>
      </c>
      <c r="D542">
        <v>8.875</v>
      </c>
      <c r="F542">
        <v>2.5</v>
      </c>
      <c r="G542">
        <v>5</v>
      </c>
      <c r="H542">
        <v>6.75</v>
      </c>
    </row>
    <row r="543" spans="1:8" x14ac:dyDescent="0.3">
      <c r="A543" s="1">
        <v>31954</v>
      </c>
      <c r="B543">
        <v>12.63</v>
      </c>
      <c r="C543">
        <v>8.5399999999999991</v>
      </c>
      <c r="D543">
        <v>8.875</v>
      </c>
      <c r="F543">
        <v>2.5</v>
      </c>
      <c r="G543">
        <v>5</v>
      </c>
      <c r="H543">
        <v>6.75</v>
      </c>
    </row>
    <row r="544" spans="1:8" x14ac:dyDescent="0.3">
      <c r="A544" s="1">
        <v>31955</v>
      </c>
      <c r="F544">
        <v>2.5</v>
      </c>
      <c r="G544">
        <v>5</v>
      </c>
      <c r="H544">
        <v>6.75</v>
      </c>
    </row>
    <row r="545" spans="1:8" x14ac:dyDescent="0.3">
      <c r="A545" s="1">
        <v>31956</v>
      </c>
      <c r="F545">
        <v>2.5</v>
      </c>
      <c r="G545">
        <v>5</v>
      </c>
      <c r="H545">
        <v>6.75</v>
      </c>
    </row>
    <row r="546" spans="1:8" x14ac:dyDescent="0.3">
      <c r="A546" s="1">
        <v>31957</v>
      </c>
      <c r="B546">
        <v>12.75</v>
      </c>
      <c r="C546">
        <v>8.5399999999999991</v>
      </c>
      <c r="D546">
        <v>8.875</v>
      </c>
      <c r="F546">
        <v>2.5</v>
      </c>
      <c r="G546">
        <v>5</v>
      </c>
      <c r="H546">
        <v>6.75</v>
      </c>
    </row>
    <row r="547" spans="1:8" x14ac:dyDescent="0.3">
      <c r="A547" s="1">
        <v>31958</v>
      </c>
      <c r="B547">
        <v>14.25</v>
      </c>
      <c r="C547">
        <v>8.5399999999999991</v>
      </c>
      <c r="D547">
        <v>8.875</v>
      </c>
      <c r="F547">
        <v>2.5</v>
      </c>
      <c r="G547">
        <v>5</v>
      </c>
      <c r="H547">
        <v>6.75</v>
      </c>
    </row>
    <row r="548" spans="1:8" x14ac:dyDescent="0.3">
      <c r="A548" s="1">
        <v>31959</v>
      </c>
      <c r="B548">
        <v>12.75</v>
      </c>
      <c r="C548">
        <v>8.5399999999999991</v>
      </c>
      <c r="D548">
        <v>8.875</v>
      </c>
      <c r="F548">
        <v>2.5</v>
      </c>
      <c r="G548">
        <v>5</v>
      </c>
      <c r="H548">
        <v>6.75</v>
      </c>
    </row>
    <row r="549" spans="1:8" x14ac:dyDescent="0.3">
      <c r="A549" s="1">
        <v>31960</v>
      </c>
      <c r="B549">
        <v>12.43</v>
      </c>
      <c r="C549">
        <v>8.6</v>
      </c>
      <c r="D549">
        <v>8.875</v>
      </c>
      <c r="F549">
        <v>2.5</v>
      </c>
      <c r="G549">
        <v>5</v>
      </c>
      <c r="H549">
        <v>6.625</v>
      </c>
    </row>
    <row r="550" spans="1:8" x14ac:dyDescent="0.3">
      <c r="A550" s="1">
        <v>31961</v>
      </c>
      <c r="B550">
        <v>12</v>
      </c>
      <c r="C550">
        <v>8.6</v>
      </c>
      <c r="D550">
        <v>8.875</v>
      </c>
      <c r="F550">
        <v>2.5</v>
      </c>
      <c r="G550">
        <v>5</v>
      </c>
      <c r="H550">
        <v>6.625</v>
      </c>
    </row>
    <row r="551" spans="1:8" x14ac:dyDescent="0.3">
      <c r="A551" s="1">
        <v>31962</v>
      </c>
      <c r="F551">
        <v>2.5</v>
      </c>
      <c r="G551">
        <v>5</v>
      </c>
      <c r="H551">
        <v>6.625</v>
      </c>
    </row>
    <row r="552" spans="1:8" x14ac:dyDescent="0.3">
      <c r="A552" s="1">
        <v>31963</v>
      </c>
      <c r="F552">
        <v>2.5</v>
      </c>
      <c r="G552">
        <v>5</v>
      </c>
      <c r="H552">
        <v>6.625</v>
      </c>
    </row>
    <row r="553" spans="1:8" x14ac:dyDescent="0.3">
      <c r="A553" s="1">
        <v>31964</v>
      </c>
      <c r="B553">
        <v>12.23</v>
      </c>
      <c r="C553">
        <v>8.6</v>
      </c>
      <c r="D553">
        <v>8.875</v>
      </c>
      <c r="F553">
        <v>2.5</v>
      </c>
      <c r="G553">
        <v>5</v>
      </c>
      <c r="H553">
        <v>6.625</v>
      </c>
    </row>
    <row r="554" spans="1:8" x14ac:dyDescent="0.3">
      <c r="A554" s="1">
        <v>31965</v>
      </c>
      <c r="B554">
        <v>12.25</v>
      </c>
      <c r="C554">
        <v>8.6</v>
      </c>
      <c r="D554">
        <v>8.875</v>
      </c>
      <c r="F554">
        <v>2.5</v>
      </c>
      <c r="G554">
        <v>5</v>
      </c>
      <c r="H554">
        <v>6.625</v>
      </c>
    </row>
    <row r="555" spans="1:8" x14ac:dyDescent="0.3">
      <c r="A555" s="1">
        <v>31966</v>
      </c>
      <c r="B555">
        <v>12.63</v>
      </c>
      <c r="C555">
        <v>8.6</v>
      </c>
      <c r="D555">
        <v>8.875</v>
      </c>
      <c r="F555">
        <v>2.5</v>
      </c>
      <c r="G555">
        <v>5</v>
      </c>
      <c r="H555">
        <v>6.625</v>
      </c>
    </row>
    <row r="556" spans="1:8" x14ac:dyDescent="0.3">
      <c r="A556" s="1">
        <v>31967</v>
      </c>
      <c r="B556">
        <v>13.6</v>
      </c>
      <c r="C556">
        <v>8.64</v>
      </c>
      <c r="D556">
        <v>8.875</v>
      </c>
      <c r="F556">
        <v>2.5</v>
      </c>
      <c r="G556">
        <v>5</v>
      </c>
      <c r="H556">
        <v>6.625</v>
      </c>
    </row>
    <row r="557" spans="1:8" x14ac:dyDescent="0.3">
      <c r="A557" s="1">
        <v>31968</v>
      </c>
      <c r="B557">
        <v>14.13</v>
      </c>
      <c r="C557">
        <v>8.64</v>
      </c>
      <c r="D557">
        <v>8.875</v>
      </c>
      <c r="F557">
        <v>2.5</v>
      </c>
      <c r="G557">
        <v>5</v>
      </c>
      <c r="H557">
        <v>6.625</v>
      </c>
    </row>
    <row r="558" spans="1:8" x14ac:dyDescent="0.3">
      <c r="A558" s="1">
        <v>31969</v>
      </c>
      <c r="F558">
        <v>2.5</v>
      </c>
      <c r="G558">
        <v>5</v>
      </c>
      <c r="H558">
        <v>6.625</v>
      </c>
    </row>
    <row r="559" spans="1:8" x14ac:dyDescent="0.3">
      <c r="A559" s="1">
        <v>31970</v>
      </c>
      <c r="F559">
        <v>2.5</v>
      </c>
      <c r="G559">
        <v>5</v>
      </c>
      <c r="H559">
        <v>6.625</v>
      </c>
    </row>
    <row r="560" spans="1:8" x14ac:dyDescent="0.3">
      <c r="A560" s="1">
        <v>31971</v>
      </c>
      <c r="B560">
        <v>12.63</v>
      </c>
      <c r="C560">
        <v>8.64</v>
      </c>
      <c r="D560">
        <v>8.875</v>
      </c>
      <c r="F560">
        <v>2.5</v>
      </c>
      <c r="G560">
        <v>5</v>
      </c>
      <c r="H560">
        <v>6.625</v>
      </c>
    </row>
    <row r="561" spans="1:8" x14ac:dyDescent="0.3">
      <c r="A561" s="1">
        <v>31972</v>
      </c>
      <c r="B561">
        <v>12.88</v>
      </c>
      <c r="C561">
        <v>8.64</v>
      </c>
      <c r="D561">
        <v>8.875</v>
      </c>
      <c r="F561">
        <v>2.5</v>
      </c>
      <c r="G561">
        <v>5</v>
      </c>
      <c r="H561">
        <v>6.625</v>
      </c>
    </row>
    <row r="562" spans="1:8" x14ac:dyDescent="0.3">
      <c r="A562" s="1">
        <v>31973</v>
      </c>
      <c r="B562">
        <v>12.13</v>
      </c>
      <c r="C562">
        <v>8.64</v>
      </c>
      <c r="D562">
        <v>8.875</v>
      </c>
      <c r="F562">
        <v>2.5</v>
      </c>
      <c r="G562">
        <v>5</v>
      </c>
      <c r="H562">
        <v>6.625</v>
      </c>
    </row>
    <row r="563" spans="1:8" x14ac:dyDescent="0.3">
      <c r="A563" s="1">
        <v>31974</v>
      </c>
      <c r="B563">
        <v>12</v>
      </c>
      <c r="C563">
        <v>8.67</v>
      </c>
      <c r="D563">
        <v>8.875</v>
      </c>
      <c r="F563">
        <v>2.5</v>
      </c>
      <c r="G563">
        <v>5</v>
      </c>
      <c r="H563">
        <v>6.625</v>
      </c>
    </row>
    <row r="564" spans="1:8" x14ac:dyDescent="0.3">
      <c r="A564" s="1">
        <v>31975</v>
      </c>
      <c r="B564">
        <v>12.25</v>
      </c>
      <c r="C564">
        <v>8.67</v>
      </c>
      <c r="D564">
        <v>8.875</v>
      </c>
      <c r="F564">
        <v>2.5</v>
      </c>
      <c r="G564">
        <v>5</v>
      </c>
      <c r="H564">
        <v>6.625</v>
      </c>
    </row>
    <row r="565" spans="1:8" x14ac:dyDescent="0.3">
      <c r="A565" s="1">
        <v>31976</v>
      </c>
      <c r="F565">
        <v>2.5</v>
      </c>
      <c r="G565">
        <v>5</v>
      </c>
      <c r="H565">
        <v>6.625</v>
      </c>
    </row>
    <row r="566" spans="1:8" x14ac:dyDescent="0.3">
      <c r="A566" s="1">
        <v>31977</v>
      </c>
      <c r="F566">
        <v>2.5</v>
      </c>
      <c r="G566">
        <v>5</v>
      </c>
      <c r="H566">
        <v>6.625</v>
      </c>
    </row>
    <row r="567" spans="1:8" x14ac:dyDescent="0.3">
      <c r="A567" s="1">
        <v>31978</v>
      </c>
      <c r="B567">
        <v>12.43</v>
      </c>
      <c r="C567">
        <v>8.67</v>
      </c>
      <c r="D567">
        <v>8.875</v>
      </c>
      <c r="F567">
        <v>2.5</v>
      </c>
      <c r="G567">
        <v>5</v>
      </c>
      <c r="H567">
        <v>6.625</v>
      </c>
    </row>
    <row r="568" spans="1:8" x14ac:dyDescent="0.3">
      <c r="A568" s="1">
        <v>31979</v>
      </c>
      <c r="B568">
        <v>12.6</v>
      </c>
      <c r="C568">
        <v>8.67</v>
      </c>
      <c r="D568">
        <v>8.875</v>
      </c>
      <c r="F568">
        <v>2.5</v>
      </c>
      <c r="G568">
        <v>5</v>
      </c>
      <c r="H568">
        <v>6.625</v>
      </c>
    </row>
    <row r="569" spans="1:8" x14ac:dyDescent="0.3">
      <c r="A569" s="1">
        <v>31980</v>
      </c>
      <c r="B569">
        <v>12.18</v>
      </c>
      <c r="C569">
        <v>8.67</v>
      </c>
      <c r="D569">
        <v>8.875</v>
      </c>
      <c r="F569">
        <v>2.5</v>
      </c>
      <c r="G569">
        <v>5</v>
      </c>
      <c r="H569">
        <v>6.625</v>
      </c>
    </row>
    <row r="570" spans="1:8" x14ac:dyDescent="0.3">
      <c r="A570" s="1">
        <v>31981</v>
      </c>
      <c r="B570">
        <v>12.05</v>
      </c>
      <c r="C570">
        <v>8.76</v>
      </c>
      <c r="D570">
        <v>8.875</v>
      </c>
      <c r="F570">
        <v>2.5</v>
      </c>
      <c r="G570">
        <v>5</v>
      </c>
      <c r="H570">
        <v>6.625</v>
      </c>
    </row>
    <row r="571" spans="1:8" x14ac:dyDescent="0.3">
      <c r="A571" s="1">
        <v>31982</v>
      </c>
      <c r="B571">
        <v>11.93</v>
      </c>
      <c r="C571">
        <v>8.76</v>
      </c>
      <c r="D571">
        <v>8.875</v>
      </c>
      <c r="F571">
        <v>2.5</v>
      </c>
      <c r="G571">
        <v>5</v>
      </c>
      <c r="H571">
        <v>6.625</v>
      </c>
    </row>
    <row r="572" spans="1:8" x14ac:dyDescent="0.3">
      <c r="A572" s="1">
        <v>31983</v>
      </c>
      <c r="F572">
        <v>2.5</v>
      </c>
      <c r="G572">
        <v>5</v>
      </c>
      <c r="H572">
        <v>6.625</v>
      </c>
    </row>
    <row r="573" spans="1:8" x14ac:dyDescent="0.3">
      <c r="A573" s="1">
        <v>31984</v>
      </c>
      <c r="F573">
        <v>2.5</v>
      </c>
      <c r="G573">
        <v>5</v>
      </c>
      <c r="H573">
        <v>6.625</v>
      </c>
    </row>
    <row r="574" spans="1:8" x14ac:dyDescent="0.3">
      <c r="A574" s="1">
        <v>31985</v>
      </c>
      <c r="B574">
        <v>11.95</v>
      </c>
      <c r="C574">
        <v>8.76</v>
      </c>
      <c r="D574">
        <v>8.875</v>
      </c>
      <c r="F574">
        <v>2.5</v>
      </c>
      <c r="G574">
        <v>5</v>
      </c>
      <c r="H574">
        <v>6.625</v>
      </c>
    </row>
    <row r="575" spans="1:8" x14ac:dyDescent="0.3">
      <c r="A575" s="1">
        <v>31986</v>
      </c>
      <c r="B575">
        <v>11.85</v>
      </c>
      <c r="C575">
        <v>8.76</v>
      </c>
      <c r="D575">
        <v>8.875</v>
      </c>
      <c r="F575">
        <v>2.5</v>
      </c>
      <c r="G575">
        <v>5</v>
      </c>
      <c r="H575">
        <v>6.625</v>
      </c>
    </row>
    <row r="576" spans="1:8" x14ac:dyDescent="0.3">
      <c r="A576" s="1">
        <v>31987</v>
      </c>
      <c r="B576">
        <v>12.05</v>
      </c>
      <c r="C576">
        <v>8.76</v>
      </c>
      <c r="D576">
        <v>8.875</v>
      </c>
      <c r="F576">
        <v>2.5</v>
      </c>
      <c r="G576">
        <v>5</v>
      </c>
      <c r="H576">
        <v>6.625</v>
      </c>
    </row>
    <row r="577" spans="1:8" x14ac:dyDescent="0.3">
      <c r="A577" s="1">
        <v>31988</v>
      </c>
      <c r="B577">
        <v>12.43</v>
      </c>
      <c r="C577">
        <v>9.2200000000000006</v>
      </c>
      <c r="D577">
        <v>8.875</v>
      </c>
      <c r="F577">
        <v>2.5</v>
      </c>
      <c r="G577">
        <v>5</v>
      </c>
      <c r="H577">
        <v>6.625</v>
      </c>
    </row>
    <row r="578" spans="1:8" x14ac:dyDescent="0.3">
      <c r="A578" s="1">
        <v>31989</v>
      </c>
      <c r="B578">
        <v>12.5</v>
      </c>
      <c r="C578">
        <v>9.2200000000000006</v>
      </c>
      <c r="D578">
        <v>8.875</v>
      </c>
      <c r="F578">
        <v>2.5</v>
      </c>
      <c r="G578">
        <v>5</v>
      </c>
      <c r="H578">
        <v>6.625</v>
      </c>
    </row>
    <row r="579" spans="1:8" x14ac:dyDescent="0.3">
      <c r="A579" s="1">
        <v>31990</v>
      </c>
      <c r="F579">
        <v>2.5</v>
      </c>
      <c r="G579">
        <v>5</v>
      </c>
      <c r="H579">
        <v>6.625</v>
      </c>
    </row>
    <row r="580" spans="1:8" x14ac:dyDescent="0.3">
      <c r="A580" s="1">
        <v>31991</v>
      </c>
      <c r="F580">
        <v>2.5</v>
      </c>
      <c r="G580">
        <v>5</v>
      </c>
      <c r="H580">
        <v>6.625</v>
      </c>
    </row>
    <row r="581" spans="1:8" x14ac:dyDescent="0.3">
      <c r="A581" s="1">
        <v>31992</v>
      </c>
      <c r="B581">
        <v>12.65</v>
      </c>
      <c r="C581">
        <v>9.2200000000000006</v>
      </c>
      <c r="D581">
        <v>8.875</v>
      </c>
      <c r="F581">
        <v>2.5</v>
      </c>
      <c r="G581">
        <v>5</v>
      </c>
      <c r="H581">
        <v>6.625</v>
      </c>
    </row>
    <row r="582" spans="1:8" x14ac:dyDescent="0.3">
      <c r="A582" s="1">
        <v>31993</v>
      </c>
      <c r="B582">
        <v>12.5</v>
      </c>
      <c r="C582">
        <v>9.2200000000000006</v>
      </c>
      <c r="D582">
        <v>8.875</v>
      </c>
      <c r="F582">
        <v>2.5</v>
      </c>
      <c r="G582">
        <v>5</v>
      </c>
      <c r="H582">
        <v>6.625</v>
      </c>
    </row>
    <row r="583" spans="1:8" x14ac:dyDescent="0.3">
      <c r="A583" s="1">
        <v>31994</v>
      </c>
      <c r="B583">
        <v>12.2</v>
      </c>
      <c r="C583">
        <v>9.2200000000000006</v>
      </c>
      <c r="D583">
        <v>8.875</v>
      </c>
      <c r="F583">
        <v>2.5</v>
      </c>
      <c r="G583">
        <v>5</v>
      </c>
      <c r="H583">
        <v>6.625</v>
      </c>
    </row>
    <row r="584" spans="1:8" x14ac:dyDescent="0.3">
      <c r="A584" s="1">
        <v>31995</v>
      </c>
      <c r="B584">
        <v>12</v>
      </c>
      <c r="C584">
        <v>9.19</v>
      </c>
      <c r="D584">
        <v>9.875</v>
      </c>
      <c r="F584">
        <v>2.5</v>
      </c>
      <c r="G584">
        <v>5</v>
      </c>
      <c r="H584">
        <v>6.625</v>
      </c>
    </row>
    <row r="585" spans="1:8" x14ac:dyDescent="0.3">
      <c r="A585" s="1">
        <v>31996</v>
      </c>
      <c r="B585">
        <v>12</v>
      </c>
      <c r="C585">
        <v>9.19</v>
      </c>
      <c r="D585">
        <v>9.875</v>
      </c>
      <c r="F585">
        <v>2.5</v>
      </c>
      <c r="G585">
        <v>5</v>
      </c>
      <c r="H585">
        <v>6.625</v>
      </c>
    </row>
    <row r="586" spans="1:8" x14ac:dyDescent="0.3">
      <c r="A586" s="1">
        <v>31997</v>
      </c>
      <c r="F586">
        <v>2.5</v>
      </c>
      <c r="G586">
        <v>5</v>
      </c>
      <c r="H586">
        <v>6.625</v>
      </c>
    </row>
    <row r="587" spans="1:8" x14ac:dyDescent="0.3">
      <c r="A587" s="1">
        <v>31998</v>
      </c>
      <c r="F587">
        <v>2.5</v>
      </c>
      <c r="G587">
        <v>5</v>
      </c>
      <c r="H587">
        <v>6.625</v>
      </c>
    </row>
    <row r="588" spans="1:8" x14ac:dyDescent="0.3">
      <c r="A588" s="1">
        <v>31999</v>
      </c>
      <c r="B588">
        <v>12.35</v>
      </c>
      <c r="C588">
        <v>9.19</v>
      </c>
      <c r="D588">
        <v>9.875</v>
      </c>
      <c r="F588">
        <v>2.5</v>
      </c>
      <c r="G588">
        <v>5</v>
      </c>
      <c r="H588">
        <v>6.625</v>
      </c>
    </row>
    <row r="589" spans="1:8" x14ac:dyDescent="0.3">
      <c r="A589" s="1">
        <v>32000</v>
      </c>
      <c r="B589">
        <v>12.55</v>
      </c>
      <c r="C589">
        <v>9.19</v>
      </c>
      <c r="D589">
        <v>9.875</v>
      </c>
      <c r="F589">
        <v>2.5</v>
      </c>
      <c r="G589">
        <v>5</v>
      </c>
      <c r="H589">
        <v>6.625</v>
      </c>
    </row>
    <row r="590" spans="1:8" x14ac:dyDescent="0.3">
      <c r="A590" s="1">
        <v>32001</v>
      </c>
      <c r="B590">
        <v>12.03</v>
      </c>
      <c r="C590">
        <v>9.19</v>
      </c>
      <c r="D590">
        <v>9.875</v>
      </c>
      <c r="F590">
        <v>2.5</v>
      </c>
      <c r="G590">
        <v>5</v>
      </c>
      <c r="H590">
        <v>6.625</v>
      </c>
    </row>
    <row r="591" spans="1:8" x14ac:dyDescent="0.3">
      <c r="A591" s="1">
        <v>32002</v>
      </c>
      <c r="B591">
        <v>12</v>
      </c>
      <c r="C591">
        <v>9.14</v>
      </c>
      <c r="D591">
        <v>9.875</v>
      </c>
      <c r="F591">
        <v>2.5</v>
      </c>
      <c r="G591">
        <v>5</v>
      </c>
      <c r="H591">
        <v>6.625</v>
      </c>
    </row>
    <row r="592" spans="1:8" x14ac:dyDescent="0.3">
      <c r="A592" s="1">
        <v>32003</v>
      </c>
      <c r="B592">
        <v>11.6</v>
      </c>
      <c r="C592">
        <v>9.14</v>
      </c>
      <c r="D592">
        <v>9.875</v>
      </c>
      <c r="F592">
        <v>2.5</v>
      </c>
      <c r="G592">
        <v>5</v>
      </c>
      <c r="H592">
        <v>6.625</v>
      </c>
    </row>
    <row r="593" spans="1:8" x14ac:dyDescent="0.3">
      <c r="A593" s="1">
        <v>32004</v>
      </c>
      <c r="F593">
        <v>2.5</v>
      </c>
      <c r="G593">
        <v>5</v>
      </c>
      <c r="H593">
        <v>6.625</v>
      </c>
    </row>
    <row r="594" spans="1:8" x14ac:dyDescent="0.3">
      <c r="A594" s="1">
        <v>32005</v>
      </c>
      <c r="F594">
        <v>2.5</v>
      </c>
      <c r="G594">
        <v>5</v>
      </c>
      <c r="H594">
        <v>6.625</v>
      </c>
    </row>
    <row r="595" spans="1:8" x14ac:dyDescent="0.3">
      <c r="A595" s="1">
        <v>32006</v>
      </c>
      <c r="B595">
        <v>11.78</v>
      </c>
      <c r="C595">
        <v>9.14</v>
      </c>
      <c r="D595">
        <v>9.875</v>
      </c>
      <c r="F595">
        <v>2.5</v>
      </c>
      <c r="G595">
        <v>5</v>
      </c>
      <c r="H595">
        <v>6.625</v>
      </c>
    </row>
    <row r="596" spans="1:8" x14ac:dyDescent="0.3">
      <c r="A596" s="1">
        <v>32007</v>
      </c>
      <c r="B596">
        <v>12.65</v>
      </c>
      <c r="C596">
        <v>9.14</v>
      </c>
      <c r="D596">
        <v>9.875</v>
      </c>
      <c r="F596">
        <v>2.5</v>
      </c>
      <c r="G596">
        <v>5</v>
      </c>
      <c r="H596">
        <v>6.625</v>
      </c>
    </row>
    <row r="597" spans="1:8" x14ac:dyDescent="0.3">
      <c r="A597" s="1">
        <v>32008</v>
      </c>
      <c r="B597">
        <v>12.3</v>
      </c>
      <c r="C597">
        <v>9.14</v>
      </c>
      <c r="D597">
        <v>9.875</v>
      </c>
      <c r="F597">
        <v>2.5</v>
      </c>
      <c r="G597">
        <v>5</v>
      </c>
      <c r="H597">
        <v>6.625</v>
      </c>
    </row>
    <row r="598" spans="1:8" x14ac:dyDescent="0.3">
      <c r="A598" s="1">
        <v>32009</v>
      </c>
      <c r="B598">
        <v>12.2</v>
      </c>
      <c r="C598">
        <v>9.24</v>
      </c>
      <c r="D598">
        <v>9.875</v>
      </c>
      <c r="F598">
        <v>2.5</v>
      </c>
      <c r="G598">
        <v>5</v>
      </c>
      <c r="H598">
        <v>6.625</v>
      </c>
    </row>
    <row r="599" spans="1:8" x14ac:dyDescent="0.3">
      <c r="A599" s="1">
        <v>32010</v>
      </c>
      <c r="B599">
        <v>12.23</v>
      </c>
      <c r="C599">
        <v>9.24</v>
      </c>
      <c r="D599">
        <v>9.875</v>
      </c>
      <c r="F599">
        <v>2.5</v>
      </c>
      <c r="G599">
        <v>5</v>
      </c>
      <c r="H599">
        <v>6.625</v>
      </c>
    </row>
    <row r="600" spans="1:8" x14ac:dyDescent="0.3">
      <c r="A600" s="1">
        <v>32011</v>
      </c>
      <c r="F600">
        <v>2.5</v>
      </c>
      <c r="G600">
        <v>5</v>
      </c>
      <c r="H600">
        <v>6.625</v>
      </c>
    </row>
    <row r="601" spans="1:8" x14ac:dyDescent="0.3">
      <c r="A601" s="1">
        <v>32012</v>
      </c>
      <c r="F601">
        <v>2.5</v>
      </c>
      <c r="G601">
        <v>5</v>
      </c>
      <c r="H601">
        <v>6.625</v>
      </c>
    </row>
    <row r="602" spans="1:8" x14ac:dyDescent="0.3">
      <c r="A602" s="1">
        <v>32013</v>
      </c>
      <c r="B602">
        <v>12.13</v>
      </c>
      <c r="C602">
        <v>9.24</v>
      </c>
      <c r="D602">
        <v>9.875</v>
      </c>
      <c r="F602">
        <v>2.5</v>
      </c>
      <c r="G602">
        <v>5</v>
      </c>
      <c r="H602">
        <v>6.625</v>
      </c>
    </row>
    <row r="603" spans="1:8" x14ac:dyDescent="0.3">
      <c r="A603" s="1">
        <v>32014</v>
      </c>
      <c r="B603">
        <v>12.05</v>
      </c>
      <c r="C603">
        <v>9.24</v>
      </c>
      <c r="D603">
        <v>9.875</v>
      </c>
      <c r="F603">
        <v>2.5</v>
      </c>
      <c r="G603">
        <v>5</v>
      </c>
      <c r="H603">
        <v>6.625</v>
      </c>
    </row>
    <row r="604" spans="1:8" x14ac:dyDescent="0.3">
      <c r="A604" s="1">
        <v>32015</v>
      </c>
      <c r="B604">
        <v>12</v>
      </c>
      <c r="C604">
        <v>9.24</v>
      </c>
      <c r="D604">
        <v>9.875</v>
      </c>
      <c r="F604">
        <v>2.5</v>
      </c>
      <c r="G604">
        <v>5</v>
      </c>
      <c r="H604">
        <v>6.625</v>
      </c>
    </row>
    <row r="605" spans="1:8" x14ac:dyDescent="0.3">
      <c r="A605" s="1">
        <v>32016</v>
      </c>
      <c r="B605">
        <v>12.18</v>
      </c>
      <c r="C605">
        <v>9.24</v>
      </c>
      <c r="D605">
        <v>9.875</v>
      </c>
      <c r="F605">
        <v>2.5</v>
      </c>
      <c r="G605">
        <v>5</v>
      </c>
      <c r="H605">
        <v>6.75</v>
      </c>
    </row>
    <row r="606" spans="1:8" x14ac:dyDescent="0.3">
      <c r="A606" s="1">
        <v>32017</v>
      </c>
      <c r="B606">
        <v>12</v>
      </c>
      <c r="C606">
        <v>9.24</v>
      </c>
      <c r="D606">
        <v>9.875</v>
      </c>
      <c r="F606">
        <v>2.5</v>
      </c>
      <c r="G606">
        <v>5</v>
      </c>
      <c r="H606">
        <v>6.75</v>
      </c>
    </row>
    <row r="607" spans="1:8" x14ac:dyDescent="0.3">
      <c r="A607" s="1">
        <v>32018</v>
      </c>
      <c r="F607">
        <v>2.5</v>
      </c>
      <c r="G607">
        <v>5</v>
      </c>
      <c r="H607">
        <v>6.75</v>
      </c>
    </row>
    <row r="608" spans="1:8" x14ac:dyDescent="0.3">
      <c r="A608" s="1">
        <v>32019</v>
      </c>
      <c r="F608">
        <v>2.5</v>
      </c>
      <c r="G608">
        <v>5</v>
      </c>
      <c r="H608">
        <v>6.75</v>
      </c>
    </row>
    <row r="609" spans="1:8" x14ac:dyDescent="0.3">
      <c r="A609" s="1">
        <v>32020</v>
      </c>
      <c r="B609">
        <v>12.05</v>
      </c>
      <c r="C609">
        <v>9.24</v>
      </c>
      <c r="F609">
        <v>2.5</v>
      </c>
      <c r="G609">
        <v>5</v>
      </c>
      <c r="H609">
        <v>6.75</v>
      </c>
    </row>
    <row r="610" spans="1:8" x14ac:dyDescent="0.3">
      <c r="A610" s="1">
        <v>32021</v>
      </c>
      <c r="B610">
        <v>12.05</v>
      </c>
      <c r="C610">
        <v>9.24</v>
      </c>
      <c r="D610">
        <v>9.875</v>
      </c>
      <c r="F610">
        <v>2.5</v>
      </c>
      <c r="G610">
        <v>5</v>
      </c>
      <c r="H610">
        <v>6.75</v>
      </c>
    </row>
    <row r="611" spans="1:8" x14ac:dyDescent="0.3">
      <c r="A611" s="1">
        <v>32022</v>
      </c>
      <c r="B611">
        <v>11.9</v>
      </c>
      <c r="C611">
        <v>9.24</v>
      </c>
      <c r="D611">
        <v>9.875</v>
      </c>
      <c r="F611">
        <v>2.5</v>
      </c>
      <c r="G611">
        <v>5</v>
      </c>
      <c r="H611">
        <v>6.75</v>
      </c>
    </row>
    <row r="612" spans="1:8" x14ac:dyDescent="0.3">
      <c r="A612" s="1">
        <v>32023</v>
      </c>
      <c r="B612">
        <v>11.8</v>
      </c>
      <c r="C612">
        <v>9.3000000000000007</v>
      </c>
      <c r="D612">
        <v>9.875</v>
      </c>
      <c r="F612">
        <v>2.5</v>
      </c>
      <c r="G612">
        <v>5</v>
      </c>
      <c r="H612">
        <v>6.875</v>
      </c>
    </row>
    <row r="613" spans="1:8" x14ac:dyDescent="0.3">
      <c r="A613" s="1">
        <v>32024</v>
      </c>
      <c r="B613">
        <v>11.75</v>
      </c>
      <c r="C613">
        <v>9.3000000000000007</v>
      </c>
      <c r="D613">
        <v>9.875</v>
      </c>
      <c r="F613">
        <v>2.5</v>
      </c>
      <c r="G613">
        <v>5</v>
      </c>
      <c r="H613">
        <v>7.25</v>
      </c>
    </row>
    <row r="614" spans="1:8" x14ac:dyDescent="0.3">
      <c r="A614" s="1">
        <v>32025</v>
      </c>
      <c r="F614">
        <v>2.5</v>
      </c>
      <c r="G614">
        <v>5</v>
      </c>
      <c r="H614">
        <v>7.25</v>
      </c>
    </row>
    <row r="615" spans="1:8" x14ac:dyDescent="0.3">
      <c r="A615" s="1">
        <v>32026</v>
      </c>
      <c r="F615">
        <v>2.5</v>
      </c>
      <c r="G615">
        <v>5</v>
      </c>
      <c r="H615">
        <v>7.25</v>
      </c>
    </row>
    <row r="616" spans="1:8" x14ac:dyDescent="0.3">
      <c r="A616" s="1">
        <v>32027</v>
      </c>
      <c r="B616">
        <v>11.95</v>
      </c>
      <c r="C616">
        <v>9.3000000000000007</v>
      </c>
      <c r="D616">
        <v>9.875</v>
      </c>
      <c r="F616">
        <v>2.5</v>
      </c>
      <c r="G616">
        <v>5</v>
      </c>
      <c r="H616">
        <v>7.25</v>
      </c>
    </row>
    <row r="617" spans="1:8" x14ac:dyDescent="0.3">
      <c r="A617" s="1">
        <v>32028</v>
      </c>
      <c r="B617">
        <v>12.1</v>
      </c>
      <c r="C617">
        <v>9.3000000000000007</v>
      </c>
      <c r="D617">
        <v>9.875</v>
      </c>
      <c r="F617">
        <v>2.5</v>
      </c>
      <c r="G617">
        <v>5</v>
      </c>
      <c r="H617">
        <v>7.25</v>
      </c>
    </row>
    <row r="618" spans="1:8" x14ac:dyDescent="0.3">
      <c r="A618" s="1">
        <v>32029</v>
      </c>
      <c r="B618">
        <v>12.38</v>
      </c>
      <c r="C618">
        <v>9.3000000000000007</v>
      </c>
      <c r="D618">
        <v>9.875</v>
      </c>
      <c r="F618">
        <v>2.5</v>
      </c>
      <c r="G618">
        <v>5</v>
      </c>
      <c r="H618">
        <v>7.25</v>
      </c>
    </row>
    <row r="619" spans="1:8" x14ac:dyDescent="0.3">
      <c r="A619" s="1">
        <v>32030</v>
      </c>
      <c r="B619">
        <v>12</v>
      </c>
      <c r="C619">
        <v>9.4600000000000009</v>
      </c>
      <c r="D619">
        <v>9.875</v>
      </c>
      <c r="F619">
        <v>2.5</v>
      </c>
      <c r="G619">
        <v>5</v>
      </c>
      <c r="H619">
        <v>7.25</v>
      </c>
    </row>
    <row r="620" spans="1:8" x14ac:dyDescent="0.3">
      <c r="A620" s="1">
        <v>32031</v>
      </c>
      <c r="B620">
        <v>11.95</v>
      </c>
      <c r="C620">
        <v>9.4600000000000009</v>
      </c>
      <c r="D620">
        <v>9.875</v>
      </c>
      <c r="F620">
        <v>2.5</v>
      </c>
      <c r="G620">
        <v>5</v>
      </c>
      <c r="H620">
        <v>7.25</v>
      </c>
    </row>
    <row r="621" spans="1:8" x14ac:dyDescent="0.3">
      <c r="A621" s="1">
        <v>32032</v>
      </c>
      <c r="F621">
        <v>2.5</v>
      </c>
      <c r="G621">
        <v>5</v>
      </c>
      <c r="H621">
        <v>7.25</v>
      </c>
    </row>
    <row r="622" spans="1:8" x14ac:dyDescent="0.3">
      <c r="A622" s="1">
        <v>32033</v>
      </c>
      <c r="F622">
        <v>2.5</v>
      </c>
      <c r="G622">
        <v>5</v>
      </c>
      <c r="H622">
        <v>7.25</v>
      </c>
    </row>
    <row r="623" spans="1:8" x14ac:dyDescent="0.3">
      <c r="A623" s="1">
        <v>32034</v>
      </c>
      <c r="B623">
        <v>11.98</v>
      </c>
      <c r="C623">
        <v>9.4600000000000009</v>
      </c>
      <c r="D623">
        <v>9.875</v>
      </c>
      <c r="F623">
        <v>2.5</v>
      </c>
      <c r="G623">
        <v>5</v>
      </c>
      <c r="H623">
        <v>7.25</v>
      </c>
    </row>
    <row r="624" spans="1:8" x14ac:dyDescent="0.3">
      <c r="A624" s="1">
        <v>32035</v>
      </c>
      <c r="B624">
        <v>12.18</v>
      </c>
      <c r="C624">
        <v>9.4600000000000009</v>
      </c>
      <c r="D624">
        <v>9.875</v>
      </c>
      <c r="F624">
        <v>2.5</v>
      </c>
      <c r="G624">
        <v>5</v>
      </c>
      <c r="H624">
        <v>7.25</v>
      </c>
    </row>
    <row r="625" spans="1:8" x14ac:dyDescent="0.3">
      <c r="A625" s="1">
        <v>32036</v>
      </c>
      <c r="B625">
        <v>12.2</v>
      </c>
      <c r="C625">
        <v>9.4600000000000009</v>
      </c>
      <c r="D625">
        <v>9.875</v>
      </c>
      <c r="F625">
        <v>2.5</v>
      </c>
      <c r="G625">
        <v>5</v>
      </c>
      <c r="H625">
        <v>7.25</v>
      </c>
    </row>
    <row r="626" spans="1:8" x14ac:dyDescent="0.3">
      <c r="A626" s="1">
        <v>32037</v>
      </c>
      <c r="B626">
        <v>12.58</v>
      </c>
      <c r="C626">
        <v>9.44</v>
      </c>
      <c r="D626">
        <v>9.875</v>
      </c>
      <c r="F626">
        <v>2.5</v>
      </c>
      <c r="G626">
        <v>5</v>
      </c>
      <c r="H626">
        <v>7.25</v>
      </c>
    </row>
    <row r="627" spans="1:8" x14ac:dyDescent="0.3">
      <c r="A627" s="1">
        <v>32038</v>
      </c>
      <c r="B627">
        <v>11.5</v>
      </c>
      <c r="C627">
        <v>9.44</v>
      </c>
      <c r="D627">
        <v>9.875</v>
      </c>
      <c r="F627">
        <v>2.5</v>
      </c>
      <c r="G627">
        <v>5</v>
      </c>
      <c r="H627">
        <v>7.25</v>
      </c>
    </row>
    <row r="628" spans="1:8" x14ac:dyDescent="0.3">
      <c r="A628" s="1">
        <v>32039</v>
      </c>
      <c r="F628">
        <v>2.5</v>
      </c>
      <c r="G628">
        <v>5</v>
      </c>
      <c r="H628">
        <v>7.25</v>
      </c>
    </row>
    <row r="629" spans="1:8" x14ac:dyDescent="0.3">
      <c r="A629" s="1">
        <v>32040</v>
      </c>
      <c r="F629">
        <v>2.5</v>
      </c>
      <c r="G629">
        <v>5</v>
      </c>
      <c r="H629">
        <v>7.25</v>
      </c>
    </row>
    <row r="630" spans="1:8" x14ac:dyDescent="0.3">
      <c r="A630" s="1">
        <v>32041</v>
      </c>
      <c r="B630">
        <v>11.5</v>
      </c>
      <c r="C630">
        <v>9.44</v>
      </c>
      <c r="D630">
        <v>9.875</v>
      </c>
      <c r="F630">
        <v>2.5</v>
      </c>
      <c r="G630">
        <v>5</v>
      </c>
      <c r="H630">
        <v>7.25</v>
      </c>
    </row>
    <row r="631" spans="1:8" x14ac:dyDescent="0.3">
      <c r="A631" s="1">
        <v>32042</v>
      </c>
      <c r="B631">
        <v>11.55</v>
      </c>
      <c r="C631">
        <v>9.44</v>
      </c>
      <c r="D631">
        <v>9.875</v>
      </c>
      <c r="F631">
        <v>2.5</v>
      </c>
      <c r="G631">
        <v>5</v>
      </c>
      <c r="H631">
        <v>7.25</v>
      </c>
    </row>
    <row r="632" spans="1:8" x14ac:dyDescent="0.3">
      <c r="A632" s="1">
        <v>32043</v>
      </c>
      <c r="B632">
        <v>11.43</v>
      </c>
      <c r="C632">
        <v>9.44</v>
      </c>
      <c r="D632">
        <v>9.875</v>
      </c>
      <c r="F632">
        <v>2.5</v>
      </c>
      <c r="G632">
        <v>5</v>
      </c>
      <c r="H632">
        <v>7.25</v>
      </c>
    </row>
    <row r="633" spans="1:8" x14ac:dyDescent="0.3">
      <c r="A633" s="1">
        <v>32044</v>
      </c>
      <c r="B633">
        <v>11.7</v>
      </c>
      <c r="C633">
        <v>9.57</v>
      </c>
      <c r="D633">
        <v>9.875</v>
      </c>
      <c r="F633">
        <v>2.5</v>
      </c>
      <c r="G633">
        <v>5</v>
      </c>
      <c r="H633">
        <v>7.3125</v>
      </c>
    </row>
    <row r="634" spans="1:8" x14ac:dyDescent="0.3">
      <c r="A634" s="1">
        <v>32045</v>
      </c>
      <c r="B634">
        <v>11.1</v>
      </c>
      <c r="C634">
        <v>9.57</v>
      </c>
      <c r="D634">
        <v>9.875</v>
      </c>
      <c r="F634">
        <v>2.5</v>
      </c>
      <c r="G634">
        <v>5</v>
      </c>
      <c r="H634">
        <v>7.3125</v>
      </c>
    </row>
    <row r="635" spans="1:8" x14ac:dyDescent="0.3">
      <c r="A635" s="1">
        <v>32046</v>
      </c>
      <c r="F635">
        <v>2.5</v>
      </c>
      <c r="G635">
        <v>5</v>
      </c>
      <c r="H635">
        <v>7.3125</v>
      </c>
    </row>
    <row r="636" spans="1:8" x14ac:dyDescent="0.3">
      <c r="A636" s="1">
        <v>32047</v>
      </c>
      <c r="F636">
        <v>2.5</v>
      </c>
      <c r="G636">
        <v>5</v>
      </c>
      <c r="H636">
        <v>7.3125</v>
      </c>
    </row>
    <row r="637" spans="1:8" x14ac:dyDescent="0.3">
      <c r="A637" s="1">
        <v>32048</v>
      </c>
      <c r="B637">
        <v>11.18</v>
      </c>
      <c r="C637">
        <v>9.57</v>
      </c>
      <c r="D637">
        <v>9.875</v>
      </c>
      <c r="F637">
        <v>2.5</v>
      </c>
      <c r="G637">
        <v>5</v>
      </c>
      <c r="H637">
        <v>7.3125</v>
      </c>
    </row>
    <row r="638" spans="1:8" x14ac:dyDescent="0.3">
      <c r="A638" s="1">
        <v>32049</v>
      </c>
      <c r="B638">
        <v>11.28</v>
      </c>
      <c r="C638">
        <v>9.57</v>
      </c>
      <c r="D638">
        <v>9.875</v>
      </c>
      <c r="F638">
        <v>2.5</v>
      </c>
      <c r="G638">
        <v>5</v>
      </c>
      <c r="H638">
        <v>7.3125</v>
      </c>
    </row>
    <row r="639" spans="1:8" x14ac:dyDescent="0.3">
      <c r="A639" s="1">
        <v>32050</v>
      </c>
      <c r="B639">
        <v>11.63</v>
      </c>
      <c r="C639">
        <v>9.57</v>
      </c>
      <c r="D639">
        <v>9.875</v>
      </c>
      <c r="F639">
        <v>2.5</v>
      </c>
      <c r="G639">
        <v>5</v>
      </c>
      <c r="H639">
        <v>7.3125</v>
      </c>
    </row>
    <row r="640" spans="1:8" x14ac:dyDescent="0.3">
      <c r="A640" s="1">
        <v>32051</v>
      </c>
      <c r="B640">
        <v>11.4</v>
      </c>
      <c r="C640">
        <v>9.6</v>
      </c>
      <c r="D640">
        <v>9.875</v>
      </c>
      <c r="F640">
        <v>2.5</v>
      </c>
      <c r="G640">
        <v>5</v>
      </c>
      <c r="H640">
        <v>7.3125</v>
      </c>
    </row>
    <row r="641" spans="1:8" x14ac:dyDescent="0.3">
      <c r="A641" s="1">
        <v>32052</v>
      </c>
      <c r="B641">
        <v>11.18</v>
      </c>
      <c r="C641">
        <v>9.6</v>
      </c>
      <c r="D641">
        <v>9.875</v>
      </c>
      <c r="F641">
        <v>2.5</v>
      </c>
      <c r="G641">
        <v>5</v>
      </c>
      <c r="H641">
        <v>7.3125</v>
      </c>
    </row>
    <row r="642" spans="1:8" x14ac:dyDescent="0.3">
      <c r="A642" s="1">
        <v>32053</v>
      </c>
      <c r="F642">
        <v>2.5</v>
      </c>
      <c r="G642">
        <v>5</v>
      </c>
      <c r="H642">
        <v>7.3125</v>
      </c>
    </row>
    <row r="643" spans="1:8" x14ac:dyDescent="0.3">
      <c r="A643" s="1">
        <v>32054</v>
      </c>
      <c r="F643">
        <v>2.5</v>
      </c>
      <c r="G643">
        <v>5</v>
      </c>
      <c r="H643">
        <v>7.3125</v>
      </c>
    </row>
    <row r="644" spans="1:8" x14ac:dyDescent="0.3">
      <c r="A644" s="1">
        <v>32055</v>
      </c>
      <c r="B644">
        <v>11.05</v>
      </c>
      <c r="C644">
        <v>9.6</v>
      </c>
      <c r="D644">
        <v>9.875</v>
      </c>
      <c r="F644">
        <v>2.5</v>
      </c>
      <c r="G644">
        <v>5</v>
      </c>
      <c r="H644">
        <v>7.3125</v>
      </c>
    </row>
    <row r="645" spans="1:8" x14ac:dyDescent="0.3">
      <c r="A645" s="1">
        <v>32056</v>
      </c>
      <c r="B645">
        <v>10.98</v>
      </c>
      <c r="C645">
        <v>9.6</v>
      </c>
      <c r="D645">
        <v>9.875</v>
      </c>
      <c r="F645">
        <v>2.5</v>
      </c>
      <c r="G645">
        <v>5</v>
      </c>
      <c r="H645">
        <v>7.3125</v>
      </c>
    </row>
    <row r="646" spans="1:8" x14ac:dyDescent="0.3">
      <c r="A646" s="1">
        <v>32057</v>
      </c>
      <c r="B646">
        <v>11.18</v>
      </c>
      <c r="C646">
        <v>9.6</v>
      </c>
      <c r="D646">
        <v>9.875</v>
      </c>
      <c r="F646">
        <v>2.5</v>
      </c>
      <c r="G646">
        <v>5</v>
      </c>
      <c r="H646">
        <v>7.3125</v>
      </c>
    </row>
    <row r="647" spans="1:8" x14ac:dyDescent="0.3">
      <c r="A647" s="1">
        <v>32058</v>
      </c>
      <c r="B647">
        <v>11.28</v>
      </c>
      <c r="C647">
        <v>9.7200000000000006</v>
      </c>
      <c r="D647">
        <v>9.875</v>
      </c>
      <c r="F647">
        <v>2.5</v>
      </c>
      <c r="G647">
        <v>5</v>
      </c>
      <c r="H647">
        <v>7.3125</v>
      </c>
    </row>
    <row r="648" spans="1:8" x14ac:dyDescent="0.3">
      <c r="A648" s="1">
        <v>32059</v>
      </c>
      <c r="B648">
        <v>11.4</v>
      </c>
      <c r="C648">
        <v>9.7200000000000006</v>
      </c>
      <c r="D648">
        <v>9.875</v>
      </c>
      <c r="F648">
        <v>2.5</v>
      </c>
      <c r="G648">
        <v>5</v>
      </c>
      <c r="H648">
        <v>7.3125</v>
      </c>
    </row>
    <row r="649" spans="1:8" x14ac:dyDescent="0.3">
      <c r="A649" s="1">
        <v>32060</v>
      </c>
      <c r="F649">
        <v>2.5</v>
      </c>
      <c r="G649">
        <v>5</v>
      </c>
      <c r="H649">
        <v>7.3125</v>
      </c>
    </row>
    <row r="650" spans="1:8" x14ac:dyDescent="0.3">
      <c r="A650" s="1">
        <v>32061</v>
      </c>
      <c r="F650">
        <v>2.5</v>
      </c>
      <c r="G650">
        <v>5</v>
      </c>
      <c r="H650">
        <v>7.3125</v>
      </c>
    </row>
    <row r="651" spans="1:8" x14ac:dyDescent="0.3">
      <c r="A651" s="1">
        <v>32062</v>
      </c>
      <c r="B651">
        <v>11.23</v>
      </c>
      <c r="C651">
        <v>9.7200000000000006</v>
      </c>
      <c r="D651">
        <v>9.875</v>
      </c>
      <c r="F651">
        <v>2.5</v>
      </c>
      <c r="G651">
        <v>5</v>
      </c>
      <c r="H651">
        <v>7.3125</v>
      </c>
    </row>
    <row r="652" spans="1:8" x14ac:dyDescent="0.3">
      <c r="A652" s="1">
        <v>32063</v>
      </c>
      <c r="B652">
        <v>11.15</v>
      </c>
      <c r="C652">
        <v>9.7200000000000006</v>
      </c>
      <c r="D652">
        <v>9.875</v>
      </c>
      <c r="F652">
        <v>2.5</v>
      </c>
      <c r="G652">
        <v>5</v>
      </c>
      <c r="H652">
        <v>7.3125</v>
      </c>
    </row>
    <row r="653" spans="1:8" x14ac:dyDescent="0.3">
      <c r="A653" s="1">
        <v>32064</v>
      </c>
      <c r="B653">
        <v>10.98</v>
      </c>
      <c r="C653">
        <v>9.7200000000000006</v>
      </c>
      <c r="D653">
        <v>9.875</v>
      </c>
      <c r="F653">
        <v>2.5</v>
      </c>
      <c r="G653">
        <v>5</v>
      </c>
      <c r="H653">
        <v>7.3125</v>
      </c>
    </row>
    <row r="654" spans="1:8" x14ac:dyDescent="0.3">
      <c r="A654" s="1">
        <v>32065</v>
      </c>
      <c r="B654">
        <v>11.23</v>
      </c>
      <c r="C654">
        <v>9.83</v>
      </c>
      <c r="D654">
        <v>9.875</v>
      </c>
      <c r="F654">
        <v>2.5</v>
      </c>
      <c r="G654">
        <v>5</v>
      </c>
      <c r="H654">
        <v>7.3125</v>
      </c>
    </row>
    <row r="655" spans="1:8" x14ac:dyDescent="0.3">
      <c r="A655" s="1">
        <v>32066</v>
      </c>
      <c r="B655">
        <v>11.13</v>
      </c>
      <c r="C655">
        <v>9.83</v>
      </c>
      <c r="D655">
        <v>9.875</v>
      </c>
      <c r="F655">
        <v>2.5</v>
      </c>
      <c r="G655">
        <v>5</v>
      </c>
      <c r="H655">
        <v>7.3125</v>
      </c>
    </row>
    <row r="656" spans="1:8" x14ac:dyDescent="0.3">
      <c r="A656" s="1">
        <v>32067</v>
      </c>
      <c r="F656">
        <v>2.5</v>
      </c>
      <c r="G656">
        <v>5</v>
      </c>
      <c r="H656">
        <v>7.3125</v>
      </c>
    </row>
    <row r="657" spans="1:8" x14ac:dyDescent="0.3">
      <c r="A657" s="1">
        <v>32068</v>
      </c>
      <c r="F657">
        <v>2.5</v>
      </c>
      <c r="G657">
        <v>5</v>
      </c>
      <c r="H657">
        <v>7.3125</v>
      </c>
    </row>
    <row r="658" spans="1:8" x14ac:dyDescent="0.3">
      <c r="A658" s="1">
        <v>32069</v>
      </c>
      <c r="B658">
        <v>11.05</v>
      </c>
      <c r="C658">
        <v>9.83</v>
      </c>
      <c r="D658">
        <v>9.875</v>
      </c>
      <c r="F658">
        <v>2.5</v>
      </c>
      <c r="G658">
        <v>5</v>
      </c>
      <c r="H658">
        <v>7.3125</v>
      </c>
    </row>
    <row r="659" spans="1:8" x14ac:dyDescent="0.3">
      <c r="A659" s="1">
        <v>32070</v>
      </c>
      <c r="B659">
        <v>12.63</v>
      </c>
      <c r="C659">
        <v>9.83</v>
      </c>
      <c r="D659">
        <v>9.875</v>
      </c>
      <c r="F659">
        <v>2.5</v>
      </c>
      <c r="G659">
        <v>5</v>
      </c>
      <c r="H659">
        <v>7.3125</v>
      </c>
    </row>
    <row r="660" spans="1:8" x14ac:dyDescent="0.3">
      <c r="A660" s="1">
        <v>32071</v>
      </c>
      <c r="B660">
        <v>12.25</v>
      </c>
      <c r="C660">
        <v>9.83</v>
      </c>
      <c r="D660">
        <v>9.875</v>
      </c>
      <c r="F660">
        <v>2.5</v>
      </c>
      <c r="G660">
        <v>5</v>
      </c>
      <c r="H660">
        <v>7.3125</v>
      </c>
    </row>
    <row r="661" spans="1:8" x14ac:dyDescent="0.3">
      <c r="A661" s="1">
        <v>32072</v>
      </c>
      <c r="B661">
        <v>11.63</v>
      </c>
      <c r="C661">
        <v>8.26</v>
      </c>
      <c r="D661">
        <v>9.875</v>
      </c>
      <c r="F661">
        <v>2.5</v>
      </c>
      <c r="G661">
        <v>5</v>
      </c>
      <c r="H661">
        <v>7.3125</v>
      </c>
    </row>
    <row r="662" spans="1:8" x14ac:dyDescent="0.3">
      <c r="A662" s="1">
        <v>32073</v>
      </c>
      <c r="B662">
        <v>11.48</v>
      </c>
      <c r="C662">
        <v>8.26</v>
      </c>
      <c r="D662">
        <v>9.375</v>
      </c>
      <c r="F662">
        <v>2.5</v>
      </c>
      <c r="G662">
        <v>5</v>
      </c>
      <c r="H662">
        <v>7.3125</v>
      </c>
    </row>
    <row r="663" spans="1:8" x14ac:dyDescent="0.3">
      <c r="A663" s="1">
        <v>32074</v>
      </c>
      <c r="F663">
        <v>2.5</v>
      </c>
      <c r="G663">
        <v>5</v>
      </c>
      <c r="H663">
        <v>7.3125</v>
      </c>
    </row>
    <row r="664" spans="1:8" x14ac:dyDescent="0.3">
      <c r="A664" s="1">
        <v>32075</v>
      </c>
      <c r="F664">
        <v>2.5</v>
      </c>
      <c r="G664">
        <v>5</v>
      </c>
      <c r="H664">
        <v>7.3125</v>
      </c>
    </row>
    <row r="665" spans="1:8" x14ac:dyDescent="0.3">
      <c r="A665" s="1">
        <v>32076</v>
      </c>
      <c r="B665">
        <v>10.75</v>
      </c>
      <c r="C665">
        <v>8.26</v>
      </c>
      <c r="D665">
        <v>9.375</v>
      </c>
      <c r="F665">
        <v>2.5</v>
      </c>
      <c r="G665">
        <v>5</v>
      </c>
      <c r="H665">
        <v>7.3125</v>
      </c>
    </row>
    <row r="666" spans="1:8" x14ac:dyDescent="0.3">
      <c r="A666" s="1">
        <v>32077</v>
      </c>
      <c r="B666">
        <v>8.5</v>
      </c>
      <c r="C666">
        <v>8.26</v>
      </c>
      <c r="D666">
        <v>9.375</v>
      </c>
      <c r="F666">
        <v>2.5</v>
      </c>
      <c r="G666">
        <v>5</v>
      </c>
      <c r="H666">
        <v>7.3125</v>
      </c>
    </row>
    <row r="667" spans="1:8" x14ac:dyDescent="0.3">
      <c r="A667" s="1">
        <v>32078</v>
      </c>
      <c r="B667">
        <v>10.75</v>
      </c>
      <c r="C667">
        <v>8.26</v>
      </c>
      <c r="D667">
        <v>9.375</v>
      </c>
      <c r="F667">
        <v>2.5</v>
      </c>
      <c r="G667">
        <v>5</v>
      </c>
      <c r="H667">
        <v>7.3125</v>
      </c>
    </row>
    <row r="668" spans="1:8" x14ac:dyDescent="0.3">
      <c r="A668" s="1">
        <v>32079</v>
      </c>
      <c r="B668">
        <v>13.25</v>
      </c>
      <c r="C668">
        <v>8.09</v>
      </c>
      <c r="D668">
        <v>9.375</v>
      </c>
      <c r="F668">
        <v>2.5</v>
      </c>
      <c r="G668">
        <v>5</v>
      </c>
      <c r="H668">
        <v>7.3125</v>
      </c>
    </row>
    <row r="669" spans="1:8" x14ac:dyDescent="0.3">
      <c r="A669" s="1">
        <v>32080</v>
      </c>
      <c r="B669">
        <v>12.25</v>
      </c>
      <c r="C669">
        <v>8.09</v>
      </c>
      <c r="D669">
        <v>9.375</v>
      </c>
      <c r="F669">
        <v>2.5</v>
      </c>
      <c r="G669">
        <v>5</v>
      </c>
      <c r="H669">
        <v>7.3125</v>
      </c>
    </row>
    <row r="670" spans="1:8" x14ac:dyDescent="0.3">
      <c r="A670" s="1">
        <v>32081</v>
      </c>
      <c r="F670">
        <v>2.5</v>
      </c>
      <c r="G670">
        <v>5</v>
      </c>
      <c r="H670">
        <v>7.3125</v>
      </c>
    </row>
    <row r="671" spans="1:8" x14ac:dyDescent="0.3">
      <c r="A671" s="1">
        <v>32082</v>
      </c>
      <c r="F671">
        <v>2.5</v>
      </c>
      <c r="G671">
        <v>5</v>
      </c>
      <c r="H671">
        <v>7.3125</v>
      </c>
    </row>
    <row r="672" spans="1:8" x14ac:dyDescent="0.3">
      <c r="A672" s="1">
        <v>32083</v>
      </c>
      <c r="B672">
        <v>12.25</v>
      </c>
      <c r="C672">
        <v>8.09</v>
      </c>
      <c r="D672">
        <v>9.375</v>
      </c>
      <c r="F672">
        <v>2.5</v>
      </c>
      <c r="G672">
        <v>5</v>
      </c>
      <c r="H672">
        <v>7.3125</v>
      </c>
    </row>
    <row r="673" spans="1:8" x14ac:dyDescent="0.3">
      <c r="A673" s="1">
        <v>32084</v>
      </c>
      <c r="B673">
        <v>11.88</v>
      </c>
      <c r="C673">
        <v>8.09</v>
      </c>
      <c r="D673">
        <v>9.375</v>
      </c>
      <c r="F673">
        <v>2.5</v>
      </c>
      <c r="G673">
        <v>5</v>
      </c>
      <c r="H673">
        <v>7.3125</v>
      </c>
    </row>
    <row r="674" spans="1:8" x14ac:dyDescent="0.3">
      <c r="A674" s="1">
        <v>32085</v>
      </c>
      <c r="B674">
        <v>11.63</v>
      </c>
      <c r="C674">
        <v>8.09</v>
      </c>
      <c r="D674">
        <v>8.875</v>
      </c>
      <c r="F674">
        <v>2.5</v>
      </c>
      <c r="G674">
        <v>4.75</v>
      </c>
      <c r="H674">
        <v>6.8125</v>
      </c>
    </row>
    <row r="675" spans="1:8" x14ac:dyDescent="0.3">
      <c r="A675" s="1">
        <v>32086</v>
      </c>
      <c r="B675">
        <v>11.75</v>
      </c>
      <c r="C675">
        <v>8.3800000000000008</v>
      </c>
      <c r="D675">
        <v>8.875</v>
      </c>
      <c r="F675">
        <v>2.5</v>
      </c>
      <c r="G675">
        <v>4.75</v>
      </c>
      <c r="H675">
        <v>6.8125</v>
      </c>
    </row>
    <row r="676" spans="1:8" x14ac:dyDescent="0.3">
      <c r="A676" s="1">
        <v>32087</v>
      </c>
      <c r="B676">
        <v>11.75</v>
      </c>
      <c r="C676">
        <v>8.3800000000000008</v>
      </c>
      <c r="D676">
        <v>8.875</v>
      </c>
      <c r="F676">
        <v>2.5</v>
      </c>
      <c r="G676">
        <v>4.75</v>
      </c>
      <c r="H676">
        <v>6.8125</v>
      </c>
    </row>
    <row r="677" spans="1:8" x14ac:dyDescent="0.3">
      <c r="A677" s="1">
        <v>32088</v>
      </c>
      <c r="F677">
        <v>2.5</v>
      </c>
      <c r="G677">
        <v>4.75</v>
      </c>
      <c r="H677">
        <v>6.8125</v>
      </c>
    </row>
    <row r="678" spans="1:8" x14ac:dyDescent="0.3">
      <c r="A678" s="1">
        <v>32089</v>
      </c>
      <c r="F678">
        <v>2.5</v>
      </c>
      <c r="G678">
        <v>4.75</v>
      </c>
      <c r="H678">
        <v>6.8125</v>
      </c>
    </row>
    <row r="679" spans="1:8" x14ac:dyDescent="0.3">
      <c r="A679" s="1">
        <v>32090</v>
      </c>
      <c r="B679">
        <v>12.38</v>
      </c>
      <c r="C679">
        <v>8.3800000000000008</v>
      </c>
      <c r="D679">
        <v>8.875</v>
      </c>
      <c r="F679">
        <v>2.5</v>
      </c>
      <c r="G679">
        <v>4.75</v>
      </c>
      <c r="H679">
        <v>6.8125</v>
      </c>
    </row>
    <row r="680" spans="1:8" x14ac:dyDescent="0.3">
      <c r="A680" s="1">
        <v>32091</v>
      </c>
      <c r="B680">
        <v>12.63</v>
      </c>
      <c r="C680">
        <v>8.3800000000000008</v>
      </c>
      <c r="D680">
        <v>8.875</v>
      </c>
      <c r="F680">
        <v>2.5</v>
      </c>
      <c r="G680">
        <v>4.75</v>
      </c>
      <c r="H680">
        <v>6.8125</v>
      </c>
    </row>
    <row r="681" spans="1:8" x14ac:dyDescent="0.3">
      <c r="A681" s="1">
        <v>32092</v>
      </c>
      <c r="B681">
        <v>12.38</v>
      </c>
      <c r="C681">
        <v>8.3800000000000008</v>
      </c>
      <c r="D681">
        <v>8.875</v>
      </c>
      <c r="F681">
        <v>2.5</v>
      </c>
      <c r="G681">
        <v>4.75</v>
      </c>
      <c r="H681">
        <v>6.8125</v>
      </c>
    </row>
    <row r="682" spans="1:8" x14ac:dyDescent="0.3">
      <c r="A682" s="1">
        <v>32093</v>
      </c>
      <c r="B682">
        <v>11.38</v>
      </c>
      <c r="C682">
        <v>8.5500000000000007</v>
      </c>
      <c r="D682">
        <v>8.875</v>
      </c>
      <c r="F682">
        <v>2.5</v>
      </c>
      <c r="G682">
        <v>4.75</v>
      </c>
      <c r="H682">
        <v>6.8125</v>
      </c>
    </row>
    <row r="683" spans="1:8" x14ac:dyDescent="0.3">
      <c r="A683" s="1">
        <v>32094</v>
      </c>
      <c r="B683">
        <v>11.13</v>
      </c>
      <c r="C683">
        <v>8.5500000000000007</v>
      </c>
      <c r="D683">
        <v>8.875</v>
      </c>
      <c r="F683">
        <v>2.5</v>
      </c>
      <c r="G683">
        <v>4.75</v>
      </c>
      <c r="H683">
        <v>6.8125</v>
      </c>
    </row>
    <row r="684" spans="1:8" x14ac:dyDescent="0.3">
      <c r="A684" s="1">
        <v>32095</v>
      </c>
      <c r="F684">
        <v>2.5</v>
      </c>
      <c r="G684">
        <v>4.75</v>
      </c>
      <c r="H684">
        <v>6.8125</v>
      </c>
    </row>
    <row r="685" spans="1:8" x14ac:dyDescent="0.3">
      <c r="A685" s="1">
        <v>32096</v>
      </c>
      <c r="F685">
        <v>2.5</v>
      </c>
      <c r="G685">
        <v>4.75</v>
      </c>
      <c r="H685">
        <v>6.8125</v>
      </c>
    </row>
    <row r="686" spans="1:8" x14ac:dyDescent="0.3">
      <c r="A686" s="1">
        <v>32097</v>
      </c>
      <c r="B686">
        <v>11.38</v>
      </c>
      <c r="C686">
        <v>8.5500000000000007</v>
      </c>
      <c r="D686">
        <v>8.875</v>
      </c>
      <c r="F686">
        <v>2.5</v>
      </c>
      <c r="G686">
        <v>4.75</v>
      </c>
      <c r="H686">
        <v>6.8125</v>
      </c>
    </row>
    <row r="687" spans="1:8" x14ac:dyDescent="0.3">
      <c r="A687" s="1">
        <v>32098</v>
      </c>
      <c r="B687">
        <v>12.3</v>
      </c>
      <c r="C687">
        <v>8.5500000000000007</v>
      </c>
      <c r="D687">
        <v>8.875</v>
      </c>
      <c r="F687">
        <v>2.5</v>
      </c>
      <c r="G687">
        <v>4.75</v>
      </c>
      <c r="H687">
        <v>6.8125</v>
      </c>
    </row>
    <row r="688" spans="1:8" x14ac:dyDescent="0.3">
      <c r="A688" s="1">
        <v>32099</v>
      </c>
      <c r="B688">
        <v>11.25</v>
      </c>
      <c r="C688">
        <v>8.5500000000000007</v>
      </c>
      <c r="D688">
        <v>8.875</v>
      </c>
      <c r="F688">
        <v>2.5</v>
      </c>
      <c r="G688">
        <v>4.75</v>
      </c>
      <c r="H688">
        <v>6.8125</v>
      </c>
    </row>
    <row r="689" spans="1:8" x14ac:dyDescent="0.3">
      <c r="A689" s="1">
        <v>32100</v>
      </c>
      <c r="B689">
        <v>11.25</v>
      </c>
      <c r="C689">
        <v>8.48</v>
      </c>
      <c r="D689">
        <v>8.875</v>
      </c>
      <c r="F689">
        <v>2.5</v>
      </c>
      <c r="G689">
        <v>4.75</v>
      </c>
      <c r="H689">
        <v>6.8125</v>
      </c>
    </row>
    <row r="690" spans="1:8" x14ac:dyDescent="0.3">
      <c r="A690" s="1">
        <v>32101</v>
      </c>
      <c r="B690">
        <v>11.38</v>
      </c>
      <c r="C690">
        <v>8.48</v>
      </c>
      <c r="D690">
        <v>8.875</v>
      </c>
      <c r="F690">
        <v>2.5</v>
      </c>
      <c r="G690">
        <v>4.75</v>
      </c>
      <c r="H690">
        <v>6.8125</v>
      </c>
    </row>
    <row r="691" spans="1:8" x14ac:dyDescent="0.3">
      <c r="A691" s="1">
        <v>32102</v>
      </c>
      <c r="F691">
        <v>2.5</v>
      </c>
      <c r="G691">
        <v>4.75</v>
      </c>
      <c r="H691">
        <v>6.8125</v>
      </c>
    </row>
    <row r="692" spans="1:8" x14ac:dyDescent="0.3">
      <c r="A692" s="1">
        <v>32103</v>
      </c>
      <c r="F692">
        <v>2.5</v>
      </c>
      <c r="G692">
        <v>4.75</v>
      </c>
      <c r="H692">
        <v>6.8125</v>
      </c>
    </row>
    <row r="693" spans="1:8" x14ac:dyDescent="0.3">
      <c r="A693" s="1">
        <v>32104</v>
      </c>
      <c r="B693">
        <v>11.48</v>
      </c>
      <c r="C693">
        <v>8.48</v>
      </c>
      <c r="D693">
        <v>8.875</v>
      </c>
      <c r="F693">
        <v>2.5</v>
      </c>
      <c r="G693">
        <v>4.75</v>
      </c>
      <c r="H693">
        <v>6.8125</v>
      </c>
    </row>
    <row r="694" spans="1:8" x14ac:dyDescent="0.3">
      <c r="A694" s="1">
        <v>32105</v>
      </c>
      <c r="B694">
        <v>11.53</v>
      </c>
      <c r="C694">
        <v>8.48</v>
      </c>
      <c r="D694">
        <v>8.875</v>
      </c>
      <c r="F694">
        <v>2.5</v>
      </c>
      <c r="G694">
        <v>4.75</v>
      </c>
      <c r="H694">
        <v>6.8125</v>
      </c>
    </row>
    <row r="695" spans="1:8" x14ac:dyDescent="0.3">
      <c r="A695" s="1">
        <v>32106</v>
      </c>
      <c r="B695">
        <v>11.25</v>
      </c>
      <c r="C695">
        <v>8.48</v>
      </c>
      <c r="D695">
        <v>8.875</v>
      </c>
      <c r="F695">
        <v>2.5</v>
      </c>
      <c r="G695">
        <v>4.5</v>
      </c>
      <c r="H695">
        <v>6.8125</v>
      </c>
    </row>
    <row r="696" spans="1:8" x14ac:dyDescent="0.3">
      <c r="A696" s="1">
        <v>32107</v>
      </c>
      <c r="B696">
        <v>11.3</v>
      </c>
      <c r="C696">
        <v>8.56</v>
      </c>
      <c r="D696">
        <v>8.875</v>
      </c>
      <c r="F696">
        <v>2.5</v>
      </c>
      <c r="G696">
        <v>4.5</v>
      </c>
      <c r="H696">
        <v>6.8125</v>
      </c>
    </row>
    <row r="697" spans="1:8" x14ac:dyDescent="0.3">
      <c r="A697" s="1">
        <v>32108</v>
      </c>
      <c r="B697">
        <v>11.55</v>
      </c>
      <c r="C697">
        <v>8.56</v>
      </c>
      <c r="D697">
        <v>8.875</v>
      </c>
      <c r="F697">
        <v>2.5</v>
      </c>
      <c r="G697">
        <v>4.5</v>
      </c>
      <c r="H697">
        <v>6.8125</v>
      </c>
    </row>
    <row r="698" spans="1:8" x14ac:dyDescent="0.3">
      <c r="A698" s="1">
        <v>32109</v>
      </c>
      <c r="F698">
        <v>2.5</v>
      </c>
      <c r="G698">
        <v>4.5</v>
      </c>
      <c r="H698">
        <v>6.8125</v>
      </c>
    </row>
    <row r="699" spans="1:8" x14ac:dyDescent="0.3">
      <c r="A699" s="1">
        <v>32110</v>
      </c>
      <c r="F699">
        <v>2.5</v>
      </c>
      <c r="G699">
        <v>4.5</v>
      </c>
      <c r="H699">
        <v>6.8125</v>
      </c>
    </row>
    <row r="700" spans="1:8" x14ac:dyDescent="0.3">
      <c r="A700" s="1">
        <v>32111</v>
      </c>
      <c r="B700">
        <v>11.75</v>
      </c>
      <c r="C700">
        <v>8.56</v>
      </c>
      <c r="D700">
        <v>8.875</v>
      </c>
      <c r="F700">
        <v>2.5</v>
      </c>
      <c r="G700">
        <v>4.5</v>
      </c>
      <c r="H700">
        <v>6.8125</v>
      </c>
    </row>
    <row r="701" spans="1:8" x14ac:dyDescent="0.3">
      <c r="A701" s="1">
        <v>32112</v>
      </c>
      <c r="B701">
        <v>12.13</v>
      </c>
      <c r="C701">
        <v>8.56</v>
      </c>
      <c r="D701">
        <v>8.875</v>
      </c>
      <c r="F701">
        <v>2.5</v>
      </c>
      <c r="G701">
        <v>4.5</v>
      </c>
      <c r="H701">
        <v>6.8125</v>
      </c>
    </row>
    <row r="702" spans="1:8" x14ac:dyDescent="0.3">
      <c r="A702" s="1">
        <v>32113</v>
      </c>
      <c r="B702">
        <v>11.63</v>
      </c>
      <c r="C702">
        <v>8.56</v>
      </c>
      <c r="D702">
        <v>8.875</v>
      </c>
      <c r="F702">
        <v>2.5</v>
      </c>
      <c r="G702">
        <v>4.5</v>
      </c>
      <c r="H702">
        <v>6.8125</v>
      </c>
    </row>
    <row r="703" spans="1:8" x14ac:dyDescent="0.3">
      <c r="A703" s="1">
        <v>32114</v>
      </c>
      <c r="B703">
        <v>11.18</v>
      </c>
      <c r="C703">
        <v>8.6999999999999993</v>
      </c>
      <c r="D703">
        <v>8.375</v>
      </c>
      <c r="F703">
        <v>2.5</v>
      </c>
      <c r="G703">
        <v>4.5</v>
      </c>
      <c r="H703">
        <v>6.8125</v>
      </c>
    </row>
    <row r="704" spans="1:8" x14ac:dyDescent="0.3">
      <c r="A704" s="1">
        <v>32115</v>
      </c>
      <c r="B704">
        <v>10.88</v>
      </c>
      <c r="C704">
        <v>8.6999999999999993</v>
      </c>
      <c r="D704">
        <v>8.375</v>
      </c>
      <c r="F704">
        <v>2.5</v>
      </c>
      <c r="G704">
        <v>4.25</v>
      </c>
      <c r="H704">
        <v>6.8125</v>
      </c>
    </row>
    <row r="705" spans="1:8" x14ac:dyDescent="0.3">
      <c r="A705" s="1">
        <v>32116</v>
      </c>
      <c r="F705">
        <v>2.5</v>
      </c>
      <c r="G705">
        <v>4.25</v>
      </c>
      <c r="H705">
        <v>6.8125</v>
      </c>
    </row>
    <row r="706" spans="1:8" x14ac:dyDescent="0.3">
      <c r="A706" s="1">
        <v>32117</v>
      </c>
      <c r="F706">
        <v>2.5</v>
      </c>
      <c r="G706">
        <v>4.25</v>
      </c>
      <c r="H706">
        <v>6.8125</v>
      </c>
    </row>
    <row r="707" spans="1:8" x14ac:dyDescent="0.3">
      <c r="A707" s="1">
        <v>32118</v>
      </c>
      <c r="B707">
        <v>11.88</v>
      </c>
      <c r="C707">
        <v>8.6999999999999993</v>
      </c>
      <c r="D707">
        <v>8.375</v>
      </c>
      <c r="F707">
        <v>2.5</v>
      </c>
      <c r="G707">
        <v>4.25</v>
      </c>
      <c r="H707">
        <v>6.8125</v>
      </c>
    </row>
    <row r="708" spans="1:8" x14ac:dyDescent="0.3">
      <c r="A708" s="1">
        <v>32119</v>
      </c>
      <c r="B708">
        <v>12.35</v>
      </c>
      <c r="C708">
        <v>8.6999999999999993</v>
      </c>
      <c r="D708">
        <v>8.375</v>
      </c>
      <c r="F708">
        <v>2.5</v>
      </c>
      <c r="G708">
        <v>4.25</v>
      </c>
      <c r="H708">
        <v>6.8125</v>
      </c>
    </row>
    <row r="709" spans="1:8" x14ac:dyDescent="0.3">
      <c r="A709" s="1">
        <v>32120</v>
      </c>
      <c r="B709">
        <v>11.5</v>
      </c>
      <c r="C709">
        <v>8.6999999999999993</v>
      </c>
      <c r="D709">
        <v>8.375</v>
      </c>
      <c r="F709">
        <v>2.5</v>
      </c>
      <c r="G709">
        <v>4.25</v>
      </c>
      <c r="H709">
        <v>6.8125</v>
      </c>
    </row>
    <row r="710" spans="1:8" x14ac:dyDescent="0.3">
      <c r="A710" s="1">
        <v>32121</v>
      </c>
      <c r="B710">
        <v>11.65</v>
      </c>
      <c r="C710">
        <v>8.75</v>
      </c>
      <c r="D710">
        <v>8.375</v>
      </c>
      <c r="F710">
        <v>2.5</v>
      </c>
      <c r="G710">
        <v>4.25</v>
      </c>
      <c r="H710">
        <v>6.8125</v>
      </c>
    </row>
    <row r="711" spans="1:8" x14ac:dyDescent="0.3">
      <c r="A711" s="1">
        <v>32122</v>
      </c>
      <c r="B711">
        <v>11.88</v>
      </c>
      <c r="C711">
        <v>8.75</v>
      </c>
      <c r="D711">
        <v>8.375</v>
      </c>
      <c r="F711">
        <v>2.5</v>
      </c>
      <c r="G711">
        <v>4.25</v>
      </c>
      <c r="H711">
        <v>6.8125</v>
      </c>
    </row>
    <row r="712" spans="1:8" x14ac:dyDescent="0.3">
      <c r="A712" s="1">
        <v>32123</v>
      </c>
      <c r="F712">
        <v>2.5</v>
      </c>
      <c r="G712">
        <v>4.25</v>
      </c>
      <c r="H712">
        <v>6.8125</v>
      </c>
    </row>
    <row r="713" spans="1:8" x14ac:dyDescent="0.3">
      <c r="A713" s="1">
        <v>32124</v>
      </c>
      <c r="F713">
        <v>2.5</v>
      </c>
      <c r="G713">
        <v>4.25</v>
      </c>
      <c r="H713">
        <v>6.8125</v>
      </c>
    </row>
    <row r="714" spans="1:8" x14ac:dyDescent="0.3">
      <c r="A714" s="1">
        <v>32125</v>
      </c>
      <c r="B714">
        <v>11.68</v>
      </c>
      <c r="C714">
        <v>8.75</v>
      </c>
      <c r="D714">
        <v>8.375</v>
      </c>
      <c r="F714">
        <v>2.5</v>
      </c>
      <c r="G714">
        <v>4.25</v>
      </c>
      <c r="H714">
        <v>6.8125</v>
      </c>
    </row>
    <row r="715" spans="1:8" x14ac:dyDescent="0.3">
      <c r="A715" s="1">
        <v>32126</v>
      </c>
      <c r="B715">
        <v>11.75</v>
      </c>
      <c r="C715">
        <v>8.75</v>
      </c>
      <c r="D715">
        <v>8.375</v>
      </c>
      <c r="F715">
        <v>2.5</v>
      </c>
      <c r="G715">
        <v>4.25</v>
      </c>
      <c r="H715">
        <v>6.8125</v>
      </c>
    </row>
    <row r="716" spans="1:8" x14ac:dyDescent="0.3">
      <c r="A716" s="1">
        <v>32127</v>
      </c>
      <c r="B716">
        <v>11.13</v>
      </c>
      <c r="C716">
        <v>8.75</v>
      </c>
      <c r="D716">
        <v>8.375</v>
      </c>
      <c r="F716">
        <v>2.5</v>
      </c>
      <c r="G716">
        <v>4.25</v>
      </c>
      <c r="H716">
        <v>6.8125</v>
      </c>
    </row>
    <row r="717" spans="1:8" x14ac:dyDescent="0.3">
      <c r="A717" s="1">
        <v>32128</v>
      </c>
      <c r="B717">
        <v>10.25</v>
      </c>
      <c r="C717">
        <v>8.6999999999999993</v>
      </c>
      <c r="D717">
        <v>8.375</v>
      </c>
      <c r="F717">
        <v>2.5</v>
      </c>
      <c r="G717">
        <v>4.25</v>
      </c>
      <c r="H717">
        <v>6.8125</v>
      </c>
    </row>
    <row r="718" spans="1:8" x14ac:dyDescent="0.3">
      <c r="A718" s="1">
        <v>32129</v>
      </c>
      <c r="B718">
        <v>10.25</v>
      </c>
      <c r="C718">
        <v>8.6999999999999993</v>
      </c>
      <c r="D718">
        <v>8.375</v>
      </c>
      <c r="F718">
        <v>2.5</v>
      </c>
      <c r="G718">
        <v>4.25</v>
      </c>
      <c r="H718">
        <v>6.8125</v>
      </c>
    </row>
    <row r="719" spans="1:8" x14ac:dyDescent="0.3">
      <c r="A719" s="1">
        <v>32130</v>
      </c>
      <c r="F719">
        <v>2.5</v>
      </c>
      <c r="G719">
        <v>4.25</v>
      </c>
      <c r="H719">
        <v>6.8125</v>
      </c>
    </row>
    <row r="720" spans="1:8" x14ac:dyDescent="0.3">
      <c r="A720" s="1">
        <v>32131</v>
      </c>
      <c r="F720">
        <v>2.5</v>
      </c>
      <c r="G720">
        <v>4.25</v>
      </c>
      <c r="H720">
        <v>6.8125</v>
      </c>
    </row>
    <row r="721" spans="1:8" x14ac:dyDescent="0.3">
      <c r="A721" s="1">
        <v>32132</v>
      </c>
      <c r="B721">
        <v>10.8</v>
      </c>
      <c r="C721">
        <v>8.6999999999999993</v>
      </c>
      <c r="D721">
        <v>8.375</v>
      </c>
      <c r="F721">
        <v>2.5</v>
      </c>
      <c r="G721">
        <v>4.25</v>
      </c>
      <c r="H721">
        <v>6.8125</v>
      </c>
    </row>
    <row r="722" spans="1:8" x14ac:dyDescent="0.3">
      <c r="A722" s="1">
        <v>32133</v>
      </c>
      <c r="B722">
        <v>11.88</v>
      </c>
      <c r="C722">
        <v>8.6999999999999993</v>
      </c>
      <c r="D722">
        <v>8.375</v>
      </c>
      <c r="F722">
        <v>2.5</v>
      </c>
      <c r="G722">
        <v>4.25</v>
      </c>
      <c r="H722">
        <v>6.8125</v>
      </c>
    </row>
    <row r="723" spans="1:8" x14ac:dyDescent="0.3">
      <c r="A723" s="1">
        <v>32134</v>
      </c>
      <c r="B723">
        <v>10.5</v>
      </c>
      <c r="C723">
        <v>8.68</v>
      </c>
      <c r="D723">
        <v>8.375</v>
      </c>
      <c r="F723">
        <v>2.5</v>
      </c>
      <c r="G723">
        <v>4.25</v>
      </c>
      <c r="H723">
        <v>6.8125</v>
      </c>
    </row>
    <row r="724" spans="1:8" x14ac:dyDescent="0.3">
      <c r="A724" s="1">
        <v>32135</v>
      </c>
      <c r="B724">
        <v>10.83</v>
      </c>
      <c r="C724">
        <v>8.68</v>
      </c>
      <c r="D724">
        <v>8.375</v>
      </c>
      <c r="F724">
        <v>2.5</v>
      </c>
      <c r="G724">
        <v>4.25</v>
      </c>
      <c r="H724">
        <v>6.8125</v>
      </c>
    </row>
    <row r="725" spans="1:8" x14ac:dyDescent="0.3">
      <c r="A725" s="1">
        <v>32136</v>
      </c>
      <c r="C725">
        <v>8.68</v>
      </c>
      <c r="F725">
        <v>2.5</v>
      </c>
      <c r="G725">
        <v>4.25</v>
      </c>
      <c r="H725">
        <v>6.8125</v>
      </c>
    </row>
    <row r="726" spans="1:8" x14ac:dyDescent="0.3">
      <c r="A726" s="1">
        <v>32137</v>
      </c>
      <c r="F726">
        <v>2.5</v>
      </c>
      <c r="G726">
        <v>4.25</v>
      </c>
      <c r="H726">
        <v>6.8125</v>
      </c>
    </row>
    <row r="727" spans="1:8" x14ac:dyDescent="0.3">
      <c r="A727" s="1">
        <v>32138</v>
      </c>
      <c r="F727">
        <v>2.5</v>
      </c>
      <c r="G727">
        <v>4.25</v>
      </c>
      <c r="H727">
        <v>6.8125</v>
      </c>
    </row>
    <row r="728" spans="1:8" x14ac:dyDescent="0.3">
      <c r="A728" s="1">
        <v>32139</v>
      </c>
      <c r="C728">
        <v>8.68</v>
      </c>
      <c r="F728">
        <v>2.5</v>
      </c>
      <c r="G728">
        <v>4.25</v>
      </c>
      <c r="H728">
        <v>6.8125</v>
      </c>
    </row>
    <row r="729" spans="1:8" x14ac:dyDescent="0.3">
      <c r="A729" s="1">
        <v>32140</v>
      </c>
      <c r="B729">
        <v>10.88</v>
      </c>
      <c r="C729">
        <v>8.68</v>
      </c>
      <c r="D729">
        <v>8.375</v>
      </c>
      <c r="F729">
        <v>2.5</v>
      </c>
      <c r="G729">
        <v>4.25</v>
      </c>
      <c r="H729">
        <v>6.8125</v>
      </c>
    </row>
    <row r="730" spans="1:8" x14ac:dyDescent="0.3">
      <c r="A730" s="1">
        <v>32141</v>
      </c>
      <c r="B730">
        <v>11.13</v>
      </c>
      <c r="C730">
        <v>8.66</v>
      </c>
      <c r="D730">
        <v>8.375</v>
      </c>
      <c r="F730">
        <v>2.5</v>
      </c>
      <c r="G730">
        <v>4.25</v>
      </c>
      <c r="H730">
        <v>6.8125</v>
      </c>
    </row>
    <row r="731" spans="1:8" x14ac:dyDescent="0.3">
      <c r="A731" s="1">
        <v>32142</v>
      </c>
      <c r="B731">
        <v>11.25</v>
      </c>
      <c r="C731">
        <v>8.66</v>
      </c>
      <c r="D731">
        <v>8.375</v>
      </c>
      <c r="F731">
        <v>2.5</v>
      </c>
      <c r="G731">
        <v>4.25</v>
      </c>
      <c r="H731">
        <v>6.8125</v>
      </c>
    </row>
  </sheetData>
  <hyperlinks>
    <hyperlink ref="P1" r:id="rId1" display="https://data.bis.org/topics/CBPOL/data" xr:uid="{5B6D1428-37DB-4BFB-B3B2-813192842A5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70D0-604A-4423-8472-6E592CC804F4}">
  <dimension ref="A1:D11"/>
  <sheetViews>
    <sheetView workbookViewId="0">
      <selection activeCell="D23" sqref="D23"/>
    </sheetView>
  </sheetViews>
  <sheetFormatPr defaultRowHeight="14.4" x14ac:dyDescent="0.3"/>
  <cols>
    <col min="1" max="1" width="14" bestFit="1" customWidth="1"/>
    <col min="2" max="2" width="12.44140625" customWidth="1"/>
    <col min="3" max="3" width="18.109375" bestFit="1" customWidth="1"/>
    <col min="4" max="4" width="21.77734375" bestFit="1" customWidth="1"/>
  </cols>
  <sheetData>
    <row r="1" spans="1:4" x14ac:dyDescent="0.3">
      <c r="A1" s="2" t="s">
        <v>15</v>
      </c>
      <c r="B1" s="2" t="s">
        <v>16</v>
      </c>
      <c r="C1" s="2" t="s">
        <v>21</v>
      </c>
      <c r="D1" s="2" t="s">
        <v>17</v>
      </c>
    </row>
    <row r="2" spans="1:4" x14ac:dyDescent="0.3">
      <c r="A2" t="s">
        <v>18</v>
      </c>
      <c r="B2" t="s">
        <v>22</v>
      </c>
      <c r="C2" t="s">
        <v>23</v>
      </c>
      <c r="D2" s="3" t="s">
        <v>24</v>
      </c>
    </row>
    <row r="3" spans="1:4" x14ac:dyDescent="0.3">
      <c r="A3" t="s">
        <v>9</v>
      </c>
      <c r="B3" t="s">
        <v>25</v>
      </c>
      <c r="C3" t="s">
        <v>23</v>
      </c>
      <c r="D3" s="3" t="s">
        <v>26</v>
      </c>
    </row>
    <row r="4" spans="1:4" x14ac:dyDescent="0.3">
      <c r="A4" t="s">
        <v>8</v>
      </c>
      <c r="B4" t="s">
        <v>27</v>
      </c>
      <c r="C4" t="s">
        <v>23</v>
      </c>
      <c r="D4" s="3" t="s">
        <v>28</v>
      </c>
    </row>
    <row r="5" spans="1:4" x14ac:dyDescent="0.3">
      <c r="A5" t="s">
        <v>10</v>
      </c>
      <c r="B5" t="s">
        <v>37</v>
      </c>
      <c r="C5" t="s">
        <v>23</v>
      </c>
      <c r="D5" s="3" t="s">
        <v>29</v>
      </c>
    </row>
    <row r="6" spans="1:4" x14ac:dyDescent="0.3">
      <c r="A6" t="s">
        <v>11</v>
      </c>
      <c r="C6" t="s">
        <v>30</v>
      </c>
      <c r="D6" t="s">
        <v>31</v>
      </c>
    </row>
    <row r="7" spans="1:4" x14ac:dyDescent="0.3">
      <c r="A7" t="s">
        <v>12</v>
      </c>
      <c r="B7" t="s">
        <v>34</v>
      </c>
      <c r="C7" t="s">
        <v>32</v>
      </c>
      <c r="D7" s="3" t="s">
        <v>33</v>
      </c>
    </row>
    <row r="8" spans="1:4" x14ac:dyDescent="0.3">
      <c r="A8" t="s">
        <v>13</v>
      </c>
      <c r="B8" t="s">
        <v>1</v>
      </c>
    </row>
    <row r="9" spans="1:4" x14ac:dyDescent="0.3">
      <c r="A9" t="s">
        <v>44</v>
      </c>
    </row>
    <row r="10" spans="1:4" x14ac:dyDescent="0.3">
      <c r="A10" t="s">
        <v>45</v>
      </c>
    </row>
    <row r="11" spans="1:4" x14ac:dyDescent="0.3">
      <c r="A11" t="s">
        <v>46</v>
      </c>
    </row>
  </sheetData>
  <hyperlinks>
    <hyperlink ref="D4" r:id="rId1" xr:uid="{7177D03D-8847-4477-AFF5-1239C836C91C}"/>
    <hyperlink ref="D3" r:id="rId2" xr:uid="{3235B26F-7A1F-4BF7-A409-5C28D7E21634}"/>
    <hyperlink ref="D2" r:id="rId3" xr:uid="{D6D2A579-DC52-4CE2-B681-C6F23838F57C}"/>
    <hyperlink ref="D5" r:id="rId4" xr:uid="{668A2449-F574-41F1-9369-B5AAEA1DD930}"/>
    <hyperlink ref="D7" r:id="rId5" xr:uid="{86B72823-5D2B-4750-BB0F-209236E9EC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Prices</vt:lpstr>
      <vt:lpstr>rates</vt:lpstr>
      <vt:lpstr>BLANK</vt:lpstr>
      <vt:lpstr>Short-term interest Rates daily</vt:lpstr>
      <vt:lpstr>STOCK DATA</vt:lpstr>
      <vt:lpstr>Policy_interest rates</vt:lpstr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Nkuansambu</cp:lastModifiedBy>
  <dcterms:created xsi:type="dcterms:W3CDTF">2026-02-17T16:32:43Z</dcterms:created>
  <dcterms:modified xsi:type="dcterms:W3CDTF">2026-06-25T23:47:42Z</dcterms:modified>
</cp:coreProperties>
</file>